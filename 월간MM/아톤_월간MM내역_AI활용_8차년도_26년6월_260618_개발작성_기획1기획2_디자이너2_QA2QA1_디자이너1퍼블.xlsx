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ton/work/aton-local/passbyU_new-local/월간MM/"/>
    </mc:Choice>
  </mc:AlternateContent>
  <xr:revisionPtr revIDLastSave="0" documentId="13_ncr:1_{7C50599B-BB55-224F-B477-4815A21E4EE1}" xr6:coauthVersionLast="47" xr6:coauthVersionMax="47" xr10:uidLastSave="{00000000-0000-0000-0000-000000000000}"/>
  <bookViews>
    <workbookView xWindow="0" yWindow="600" windowWidth="33600" windowHeight="20400" activeTab="1" xr2:uid="{00000000-000D-0000-FFFF-FFFF00000000}"/>
  </bookViews>
  <sheets>
    <sheet name="CSR" sheetId="5" r:id="rId1"/>
    <sheet name="26년06월" sheetId="6" r:id="rId2"/>
    <sheet name="AI활용 현황 분석_유플러스 작성 예정" sheetId="2" r:id="rId3"/>
    <sheet name="26년05월" sheetId="7" r:id="rId4"/>
    <sheet name="26년04월" sheetId="8" r:id="rId5"/>
    <sheet name="26년03월" sheetId="9" r:id="rId6"/>
    <sheet name="26년02월" sheetId="10" r:id="rId7"/>
    <sheet name="26년01월" sheetId="11" r:id="rId8"/>
    <sheet name="25년12월" sheetId="12" r:id="rId9"/>
    <sheet name="25년11월" sheetId="13" r:id="rId10"/>
    <sheet name="AI활용 가이드" sheetId="4" r:id="rId11"/>
    <sheet name="26년05월(AI활용)" sheetId="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9" hidden="1">'25년11월'!$A$1:$L$237</definedName>
    <definedName name="_xlnm._FilterDatabase" localSheetId="8" hidden="1">'25년12월'!$A$1:$K$212</definedName>
    <definedName name="_xlnm._FilterDatabase" localSheetId="7" hidden="1">'26년01월'!$A$1:$S$228</definedName>
    <definedName name="_xlnm._FilterDatabase" localSheetId="6" hidden="1">'26년02월'!$A$1:$S$209</definedName>
    <definedName name="_xlnm._FilterDatabase" localSheetId="5" hidden="1">'26년03월'!$A$1:$L$234</definedName>
    <definedName name="_xlnm._FilterDatabase" localSheetId="4" hidden="1">'26년04월'!$A$1:$K$235</definedName>
    <definedName name="_xlnm._FilterDatabase" localSheetId="3" hidden="1">'26년05월'!$A$1:$K$263</definedName>
    <definedName name="_xlnm._FilterDatabase" localSheetId="1" hidden="1">'26년06월'!$A$1:$M$166</definedName>
    <definedName name="_xlnm._FilterDatabase" localSheetId="0" hidden="1">CSR!$A$10:$AC$114</definedName>
    <definedName name="└_KAID_명의도용_방지서비스__Msafer">CSR!#REF!</definedName>
    <definedName name="공통">CSR!$D$93:$D$112</definedName>
    <definedName name="구분">#REF!</definedName>
    <definedName name="기능고도화">#REF!</definedName>
    <definedName name="마케팅">#REF!</definedName>
    <definedName name="사업담당">#REF!</definedName>
    <definedName name="서비스운영">CSR!$D$93:$D$112</definedName>
    <definedName name="서비스품질관리">#REF!</definedName>
    <definedName name="시스템운영">CSR!#REF!</definedName>
    <definedName name="신규사업개발">#REF!</definedName>
    <definedName name="신규서비스개발">CSR!#REF!</definedName>
    <definedName name="인증플랫폼">CSR!#REF!</definedName>
    <definedName name="PASS기능개발">CSR!$D$68:$D$77</definedName>
    <definedName name="PASS활성화이벤트">CSR!$D$82:$D$89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8" i="6" l="1"/>
  <c r="I218" i="6"/>
  <c r="I217" i="6"/>
  <c r="F217" i="6"/>
  <c r="I216" i="6"/>
  <c r="F216" i="6"/>
  <c r="I215" i="6"/>
  <c r="F215" i="6"/>
  <c r="I214" i="6"/>
  <c r="F214" i="6"/>
  <c r="I213" i="6"/>
  <c r="F213" i="6"/>
  <c r="I212" i="6"/>
  <c r="F212" i="6"/>
  <c r="I211" i="6"/>
  <c r="F211" i="6"/>
  <c r="I210" i="6"/>
  <c r="F210" i="6"/>
  <c r="I199" i="6" l="1"/>
  <c r="F199" i="6"/>
  <c r="I198" i="6"/>
  <c r="F198" i="6"/>
  <c r="I197" i="6"/>
  <c r="F197" i="6"/>
  <c r="I196" i="6"/>
  <c r="F196" i="6"/>
  <c r="I195" i="6"/>
  <c r="F195" i="6"/>
  <c r="I209" i="6" l="1"/>
  <c r="F209" i="6"/>
  <c r="I208" i="6"/>
  <c r="F208" i="6"/>
  <c r="I207" i="6"/>
  <c r="F207" i="6"/>
  <c r="I206" i="6"/>
  <c r="F206" i="6"/>
  <c r="I205" i="6"/>
  <c r="F205" i="6"/>
  <c r="F204" i="6"/>
  <c r="I204" i="6"/>
  <c r="I203" i="6"/>
  <c r="F203" i="6"/>
  <c r="I202" i="6"/>
  <c r="F202" i="6"/>
  <c r="I201" i="6"/>
  <c r="F201" i="6"/>
  <c r="I200" i="6"/>
  <c r="F200" i="6"/>
  <c r="I189" i="6"/>
  <c r="F189" i="6"/>
  <c r="I194" i="6"/>
  <c r="F194" i="6"/>
  <c r="I190" i="6"/>
  <c r="F190" i="6"/>
  <c r="I191" i="6"/>
  <c r="F191" i="6"/>
  <c r="I193" i="6"/>
  <c r="F193" i="6"/>
  <c r="I187" i="6"/>
  <c r="F187" i="6"/>
  <c r="I192" i="6"/>
  <c r="F192" i="6"/>
  <c r="I188" i="6"/>
  <c r="F188" i="6"/>
  <c r="I186" i="6"/>
  <c r="F186" i="6"/>
  <c r="I185" i="6"/>
  <c r="F185" i="6"/>
  <c r="I183" i="6"/>
  <c r="F183" i="6"/>
  <c r="I181" i="6"/>
  <c r="F181" i="6"/>
  <c r="I182" i="6"/>
  <c r="F182" i="6"/>
  <c r="F184" i="6"/>
  <c r="I184" i="6"/>
  <c r="I170" i="6" l="1"/>
  <c r="F170" i="6"/>
  <c r="I172" i="6"/>
  <c r="F172" i="6"/>
  <c r="I168" i="6"/>
  <c r="F168" i="6"/>
  <c r="I178" i="6"/>
  <c r="F178" i="6"/>
  <c r="I176" i="6"/>
  <c r="F176" i="6"/>
  <c r="F175" i="6"/>
  <c r="I175" i="6"/>
  <c r="I179" i="6"/>
  <c r="F179" i="6"/>
  <c r="F169" i="6" l="1"/>
  <c r="I169" i="6"/>
  <c r="F171" i="6"/>
  <c r="I171" i="6"/>
  <c r="F173" i="6"/>
  <c r="I173" i="6"/>
  <c r="F174" i="6"/>
  <c r="I174" i="6"/>
  <c r="F177" i="6"/>
  <c r="I177" i="6"/>
  <c r="F180" i="6"/>
  <c r="I180" i="6"/>
  <c r="I164" i="6" l="1"/>
  <c r="I165" i="6"/>
  <c r="I166" i="6"/>
  <c r="F164" i="6"/>
  <c r="F165" i="6"/>
  <c r="F166" i="6"/>
  <c r="I56" i="6"/>
  <c r="F56" i="6"/>
  <c r="I45" i="6" l="1"/>
  <c r="I46" i="6"/>
  <c r="I47" i="6"/>
  <c r="I48" i="6"/>
  <c r="I49" i="6"/>
  <c r="I50" i="6"/>
  <c r="I51" i="6"/>
  <c r="I52" i="6"/>
  <c r="I53" i="6"/>
  <c r="I54" i="6"/>
  <c r="I55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45" i="6"/>
  <c r="F46" i="6"/>
  <c r="F47" i="6"/>
  <c r="F48" i="6"/>
  <c r="F49" i="6"/>
  <c r="F50" i="6"/>
  <c r="F51" i="6"/>
  <c r="F52" i="6"/>
  <c r="F53" i="6"/>
  <c r="F54" i="6"/>
  <c r="F55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4" i="6"/>
  <c r="F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I5" i="6"/>
  <c r="I4" i="6"/>
  <c r="I3" i="6"/>
  <c r="F3" i="6"/>
  <c r="I2" i="6"/>
  <c r="F2" i="6"/>
  <c r="P45" i="5"/>
  <c r="P44" i="5"/>
  <c r="I237" i="13"/>
  <c r="F237" i="13"/>
  <c r="I236" i="13"/>
  <c r="F236" i="13"/>
  <c r="I235" i="13"/>
  <c r="F235" i="13"/>
  <c r="I234" i="13"/>
  <c r="F234" i="13"/>
  <c r="I233" i="13"/>
  <c r="F233" i="13"/>
  <c r="I232" i="13"/>
  <c r="F232" i="13"/>
  <c r="I231" i="13"/>
  <c r="F231" i="13"/>
  <c r="I230" i="13"/>
  <c r="F230" i="13"/>
  <c r="I229" i="13"/>
  <c r="F229" i="13"/>
  <c r="I228" i="13"/>
  <c r="F228" i="13"/>
  <c r="I227" i="13"/>
  <c r="F227" i="13"/>
  <c r="I226" i="13"/>
  <c r="F226" i="13"/>
  <c r="I225" i="13"/>
  <c r="F225" i="13"/>
  <c r="I224" i="13"/>
  <c r="F224" i="13"/>
  <c r="I223" i="13"/>
  <c r="F223" i="13"/>
  <c r="I222" i="13"/>
  <c r="F222" i="13"/>
  <c r="I221" i="13"/>
  <c r="F221" i="13"/>
  <c r="I220" i="13"/>
  <c r="F220" i="13"/>
  <c r="I219" i="13"/>
  <c r="F219" i="13"/>
  <c r="I218" i="13"/>
  <c r="F218" i="13"/>
  <c r="I217" i="13"/>
  <c r="F217" i="13"/>
  <c r="I216" i="13"/>
  <c r="F216" i="13"/>
  <c r="I215" i="13"/>
  <c r="F215" i="13"/>
  <c r="I214" i="13"/>
  <c r="F214" i="13"/>
  <c r="I213" i="13"/>
  <c r="F213" i="13"/>
  <c r="I212" i="13"/>
  <c r="F212" i="13"/>
  <c r="I211" i="13"/>
  <c r="F211" i="13"/>
  <c r="I210" i="13"/>
  <c r="F210" i="13"/>
  <c r="I209" i="13"/>
  <c r="F209" i="13"/>
  <c r="I208" i="13"/>
  <c r="F208" i="13"/>
  <c r="I207" i="13"/>
  <c r="F207" i="13"/>
  <c r="I206" i="13"/>
  <c r="F206" i="13"/>
  <c r="I205" i="13"/>
  <c r="F205" i="13"/>
  <c r="I204" i="13"/>
  <c r="F204" i="13"/>
  <c r="I203" i="13"/>
  <c r="F203" i="13"/>
  <c r="I202" i="13"/>
  <c r="F202" i="13"/>
  <c r="I201" i="13"/>
  <c r="F201" i="13"/>
  <c r="I200" i="13"/>
  <c r="F200" i="13"/>
  <c r="I199" i="13"/>
  <c r="F199" i="13"/>
  <c r="I198" i="13"/>
  <c r="F198" i="13"/>
  <c r="I197" i="13"/>
  <c r="F197" i="13"/>
  <c r="I196" i="13"/>
  <c r="F196" i="13"/>
  <c r="I195" i="13"/>
  <c r="F195" i="13"/>
  <c r="I194" i="13"/>
  <c r="F194" i="13"/>
  <c r="I193" i="13"/>
  <c r="F193" i="13"/>
  <c r="I192" i="13"/>
  <c r="F192" i="13"/>
  <c r="I191" i="13"/>
  <c r="F191" i="13"/>
  <c r="I190" i="13"/>
  <c r="F190" i="13"/>
  <c r="I189" i="13"/>
  <c r="F189" i="13"/>
  <c r="I188" i="13"/>
  <c r="F188" i="13"/>
  <c r="I187" i="13"/>
  <c r="F187" i="13"/>
  <c r="I186" i="13"/>
  <c r="F186" i="13"/>
  <c r="I185" i="13"/>
  <c r="F185" i="13"/>
  <c r="I184" i="13"/>
  <c r="F184" i="13"/>
  <c r="I183" i="13"/>
  <c r="F183" i="13"/>
  <c r="I182" i="13"/>
  <c r="F182" i="13"/>
  <c r="I181" i="13"/>
  <c r="F181" i="13"/>
  <c r="I180" i="13"/>
  <c r="F180" i="13"/>
  <c r="I179" i="13"/>
  <c r="F179" i="13"/>
  <c r="I178" i="13"/>
  <c r="F178" i="13"/>
  <c r="I177" i="13"/>
  <c r="F177" i="13"/>
  <c r="I176" i="13"/>
  <c r="F176" i="13"/>
  <c r="I175" i="13"/>
  <c r="F175" i="13"/>
  <c r="I174" i="13"/>
  <c r="F174" i="13"/>
  <c r="I173" i="13"/>
  <c r="F173" i="13"/>
  <c r="I172" i="13"/>
  <c r="F172" i="13"/>
  <c r="I171" i="13"/>
  <c r="F171" i="13"/>
  <c r="I170" i="13"/>
  <c r="F170" i="13"/>
  <c r="I169" i="13"/>
  <c r="F169" i="13"/>
  <c r="I168" i="13"/>
  <c r="F168" i="13"/>
  <c r="I167" i="13"/>
  <c r="F167" i="13"/>
  <c r="I166" i="13"/>
  <c r="F166" i="13"/>
  <c r="I165" i="13"/>
  <c r="F165" i="13"/>
  <c r="I164" i="13"/>
  <c r="F164" i="13"/>
  <c r="I163" i="13"/>
  <c r="F163" i="13"/>
  <c r="I162" i="13"/>
  <c r="F162" i="13"/>
  <c r="I161" i="13"/>
  <c r="F161" i="13"/>
  <c r="I160" i="13"/>
  <c r="F160" i="13"/>
  <c r="I159" i="13"/>
  <c r="F159" i="13"/>
  <c r="I158" i="13"/>
  <c r="F158" i="13"/>
  <c r="I157" i="13"/>
  <c r="F157" i="13"/>
  <c r="I156" i="13"/>
  <c r="F156" i="13"/>
  <c r="I155" i="13"/>
  <c r="F155" i="13"/>
  <c r="I154" i="13"/>
  <c r="F154" i="13"/>
  <c r="I153" i="13"/>
  <c r="F153" i="13"/>
  <c r="I152" i="13"/>
  <c r="F152" i="13"/>
  <c r="I151" i="13"/>
  <c r="F151" i="13"/>
  <c r="I150" i="13"/>
  <c r="F150" i="13"/>
  <c r="I149" i="13"/>
  <c r="F149" i="13"/>
  <c r="I148" i="13"/>
  <c r="F148" i="13"/>
  <c r="I147" i="13"/>
  <c r="F147" i="13"/>
  <c r="I146" i="13"/>
  <c r="F146" i="13"/>
  <c r="I145" i="13"/>
  <c r="F145" i="13"/>
  <c r="I144" i="13"/>
  <c r="F144" i="13"/>
  <c r="I143" i="13"/>
  <c r="F143" i="13"/>
  <c r="I142" i="13"/>
  <c r="F142" i="13"/>
  <c r="I141" i="13"/>
  <c r="F141" i="13"/>
  <c r="I140" i="13"/>
  <c r="F140" i="13"/>
  <c r="I139" i="13"/>
  <c r="F139" i="13"/>
  <c r="I138" i="13"/>
  <c r="F138" i="13"/>
  <c r="I137" i="13"/>
  <c r="F137" i="13"/>
  <c r="I136" i="13"/>
  <c r="F136" i="13"/>
  <c r="I135" i="13"/>
  <c r="F135" i="13"/>
  <c r="I134" i="13"/>
  <c r="F134" i="13"/>
  <c r="I133" i="13"/>
  <c r="F133" i="13"/>
  <c r="I132" i="13"/>
  <c r="F132" i="13"/>
  <c r="I131" i="13"/>
  <c r="F131" i="13"/>
  <c r="I130" i="13"/>
  <c r="F130" i="13"/>
  <c r="I129" i="13"/>
  <c r="F129" i="13"/>
  <c r="I128" i="13"/>
  <c r="F128" i="13"/>
  <c r="I127" i="13"/>
  <c r="F127" i="13"/>
  <c r="I126" i="13"/>
  <c r="F126" i="13"/>
  <c r="I125" i="13"/>
  <c r="F125" i="13"/>
  <c r="I124" i="13"/>
  <c r="F124" i="13"/>
  <c r="I123" i="13"/>
  <c r="F123" i="13"/>
  <c r="I122" i="13"/>
  <c r="F122" i="13"/>
  <c r="I121" i="13"/>
  <c r="F121" i="13"/>
  <c r="I120" i="13"/>
  <c r="F120" i="13"/>
  <c r="I119" i="13"/>
  <c r="F119" i="13"/>
  <c r="I118" i="13"/>
  <c r="F118" i="13"/>
  <c r="I117" i="13"/>
  <c r="F117" i="13"/>
  <c r="I116" i="13"/>
  <c r="F116" i="13"/>
  <c r="I115" i="13"/>
  <c r="F115" i="13"/>
  <c r="I114" i="13"/>
  <c r="F114" i="13"/>
  <c r="I113" i="13"/>
  <c r="F113" i="13"/>
  <c r="I112" i="13"/>
  <c r="F112" i="13"/>
  <c r="I111" i="13"/>
  <c r="F111" i="13"/>
  <c r="I110" i="13"/>
  <c r="F110" i="13"/>
  <c r="I109" i="13"/>
  <c r="F109" i="13"/>
  <c r="I108" i="13"/>
  <c r="F108" i="13"/>
  <c r="I107" i="13"/>
  <c r="F107" i="13"/>
  <c r="I106" i="13"/>
  <c r="F106" i="13"/>
  <c r="I105" i="13"/>
  <c r="F105" i="13"/>
  <c r="I104" i="13"/>
  <c r="F104" i="13"/>
  <c r="I103" i="13"/>
  <c r="F103" i="13"/>
  <c r="F96" i="13"/>
  <c r="F95" i="13"/>
  <c r="F94" i="13"/>
  <c r="F93" i="13"/>
  <c r="F92" i="13"/>
  <c r="F91" i="13"/>
  <c r="F90" i="13"/>
  <c r="I89" i="13"/>
  <c r="F89" i="13"/>
  <c r="I88" i="13"/>
  <c r="F88" i="13"/>
  <c r="I87" i="13"/>
  <c r="F87" i="13"/>
  <c r="I86" i="13"/>
  <c r="F86" i="13"/>
  <c r="I85" i="13"/>
  <c r="F85" i="13"/>
  <c r="I84" i="13"/>
  <c r="F84" i="13"/>
  <c r="I83" i="13"/>
  <c r="F83" i="13"/>
  <c r="I82" i="13"/>
  <c r="F82" i="13"/>
  <c r="I81" i="13"/>
  <c r="F81" i="13"/>
  <c r="I80" i="13"/>
  <c r="F80" i="13"/>
  <c r="I79" i="13"/>
  <c r="F79" i="13"/>
  <c r="I78" i="13"/>
  <c r="F78" i="13"/>
  <c r="I77" i="13"/>
  <c r="F77" i="13"/>
  <c r="I76" i="13"/>
  <c r="F76" i="13"/>
  <c r="I75" i="13"/>
  <c r="F75" i="13"/>
  <c r="I74" i="13"/>
  <c r="F74" i="13"/>
  <c r="I73" i="13"/>
  <c r="F73" i="13"/>
  <c r="I72" i="13"/>
  <c r="F72" i="13"/>
  <c r="I71" i="13"/>
  <c r="F71" i="13"/>
  <c r="I70" i="13"/>
  <c r="F70" i="13"/>
  <c r="I69" i="13"/>
  <c r="F69" i="13"/>
  <c r="I68" i="13"/>
  <c r="F68" i="13"/>
  <c r="I67" i="13"/>
  <c r="F67" i="13"/>
  <c r="I66" i="13"/>
  <c r="F66" i="13"/>
  <c r="I65" i="13"/>
  <c r="F65" i="13"/>
  <c r="I64" i="13"/>
  <c r="F64" i="13"/>
  <c r="I63" i="13"/>
  <c r="F63" i="13"/>
  <c r="I62" i="13"/>
  <c r="F62" i="13"/>
  <c r="I61" i="13"/>
  <c r="F61" i="13"/>
  <c r="I60" i="13"/>
  <c r="F60" i="13"/>
  <c r="I59" i="13"/>
  <c r="F59" i="13"/>
  <c r="I58" i="13"/>
  <c r="F58" i="13"/>
  <c r="I57" i="13"/>
  <c r="F57" i="13"/>
  <c r="I56" i="13"/>
  <c r="F56" i="13"/>
  <c r="I55" i="13"/>
  <c r="F55" i="13"/>
  <c r="I54" i="13"/>
  <c r="F54" i="13"/>
  <c r="I53" i="13"/>
  <c r="F53" i="13"/>
  <c r="I52" i="13"/>
  <c r="F52" i="13"/>
  <c r="I51" i="13"/>
  <c r="F51" i="13"/>
  <c r="I50" i="13"/>
  <c r="F50" i="13"/>
  <c r="I49" i="13"/>
  <c r="F49" i="13"/>
  <c r="I48" i="13"/>
  <c r="F48" i="13"/>
  <c r="I47" i="13"/>
  <c r="F47" i="13"/>
  <c r="I46" i="13"/>
  <c r="F46" i="13"/>
  <c r="I45" i="13"/>
  <c r="F45" i="13"/>
  <c r="I44" i="13"/>
  <c r="F44" i="13"/>
  <c r="I43" i="13"/>
  <c r="F43" i="13"/>
  <c r="I42" i="13"/>
  <c r="F42" i="13"/>
  <c r="I41" i="13"/>
  <c r="F41" i="13"/>
  <c r="I40" i="13"/>
  <c r="F40" i="13"/>
  <c r="I39" i="13"/>
  <c r="F39" i="13"/>
  <c r="I38" i="13"/>
  <c r="F38" i="13"/>
  <c r="I37" i="13"/>
  <c r="F37" i="13"/>
  <c r="I36" i="13"/>
  <c r="F36" i="13"/>
  <c r="I35" i="13"/>
  <c r="F35" i="13"/>
  <c r="I34" i="13"/>
  <c r="F34" i="13"/>
  <c r="I33" i="13"/>
  <c r="F33" i="13"/>
  <c r="I32" i="13"/>
  <c r="F32" i="13"/>
  <c r="I31" i="13"/>
  <c r="F31" i="13"/>
  <c r="I30" i="13"/>
  <c r="F30" i="13"/>
  <c r="I29" i="13"/>
  <c r="F29" i="13"/>
  <c r="I28" i="13"/>
  <c r="F28" i="13"/>
  <c r="I27" i="13"/>
  <c r="F27" i="13"/>
  <c r="I26" i="13"/>
  <c r="F26" i="13"/>
  <c r="I25" i="13"/>
  <c r="F25" i="13"/>
  <c r="I24" i="13"/>
  <c r="F24" i="13"/>
  <c r="I23" i="13"/>
  <c r="F23" i="13"/>
  <c r="I22" i="13"/>
  <c r="F22" i="13"/>
  <c r="I21" i="13"/>
  <c r="F21" i="13"/>
  <c r="I20" i="13"/>
  <c r="F20" i="13"/>
  <c r="I19" i="13"/>
  <c r="F19" i="13"/>
  <c r="I18" i="13"/>
  <c r="F18" i="13"/>
  <c r="I17" i="13"/>
  <c r="F17" i="13"/>
  <c r="I16" i="13"/>
  <c r="F16" i="13"/>
  <c r="I15" i="13"/>
  <c r="F15" i="13"/>
  <c r="I14" i="13"/>
  <c r="F14" i="13"/>
  <c r="I13" i="13"/>
  <c r="F13" i="13"/>
  <c r="I12" i="13"/>
  <c r="F12" i="13"/>
  <c r="I11" i="13"/>
  <c r="F11" i="13"/>
  <c r="I10" i="13"/>
  <c r="F10" i="13"/>
  <c r="I9" i="13"/>
  <c r="F9" i="13"/>
  <c r="I8" i="13"/>
  <c r="F8" i="13"/>
  <c r="I7" i="13"/>
  <c r="F7" i="13"/>
  <c r="I6" i="13"/>
  <c r="F6" i="13"/>
  <c r="I5" i="13"/>
  <c r="F5" i="13"/>
  <c r="I4" i="13"/>
  <c r="F4" i="13"/>
  <c r="I3" i="13"/>
  <c r="F3" i="13"/>
  <c r="I2" i="13"/>
  <c r="F2" i="13"/>
  <c r="L1" i="13"/>
  <c r="I212" i="12"/>
  <c r="F212" i="12"/>
  <c r="I211" i="12"/>
  <c r="F211" i="12"/>
  <c r="I210" i="12"/>
  <c r="F210" i="12"/>
  <c r="I209" i="12"/>
  <c r="F209" i="12"/>
  <c r="I208" i="12"/>
  <c r="F208" i="12"/>
  <c r="I207" i="12"/>
  <c r="F207" i="12"/>
  <c r="I206" i="12"/>
  <c r="F206" i="12"/>
  <c r="I205" i="12"/>
  <c r="F205" i="12"/>
  <c r="I204" i="12"/>
  <c r="F204" i="12"/>
  <c r="I203" i="12"/>
  <c r="F203" i="12"/>
  <c r="I202" i="12"/>
  <c r="F202" i="12"/>
  <c r="I201" i="12"/>
  <c r="F201" i="12"/>
  <c r="I200" i="12"/>
  <c r="F200" i="12"/>
  <c r="I199" i="12"/>
  <c r="F199" i="12"/>
  <c r="I198" i="12"/>
  <c r="F198" i="12"/>
  <c r="I197" i="12"/>
  <c r="F197" i="12"/>
  <c r="I196" i="12"/>
  <c r="F196" i="12"/>
  <c r="I195" i="12"/>
  <c r="F195" i="12"/>
  <c r="I194" i="12"/>
  <c r="F194" i="12"/>
  <c r="I193" i="12"/>
  <c r="F193" i="12"/>
  <c r="I192" i="12"/>
  <c r="F192" i="12"/>
  <c r="I191" i="12"/>
  <c r="F191" i="12"/>
  <c r="I190" i="12"/>
  <c r="F190" i="12"/>
  <c r="I189" i="12"/>
  <c r="F189" i="12"/>
  <c r="I188" i="12"/>
  <c r="F188" i="12"/>
  <c r="I187" i="12"/>
  <c r="F187" i="12"/>
  <c r="I186" i="12"/>
  <c r="F186" i="12"/>
  <c r="I185" i="12"/>
  <c r="F185" i="12"/>
  <c r="I184" i="12"/>
  <c r="F184" i="12"/>
  <c r="I183" i="12"/>
  <c r="F183" i="12"/>
  <c r="I182" i="12"/>
  <c r="F182" i="12"/>
  <c r="I181" i="12"/>
  <c r="F181" i="12"/>
  <c r="I180" i="12"/>
  <c r="F180" i="12"/>
  <c r="I179" i="12"/>
  <c r="F179" i="12"/>
  <c r="I178" i="12"/>
  <c r="F178" i="12"/>
  <c r="I177" i="12"/>
  <c r="F177" i="12"/>
  <c r="I176" i="12"/>
  <c r="F176" i="12"/>
  <c r="I175" i="12"/>
  <c r="F175" i="12"/>
  <c r="I174" i="12"/>
  <c r="F174" i="12"/>
  <c r="I173" i="12"/>
  <c r="F173" i="12"/>
  <c r="I172" i="12"/>
  <c r="F172" i="12"/>
  <c r="I171" i="12"/>
  <c r="F171" i="12"/>
  <c r="I170" i="12"/>
  <c r="F170" i="12"/>
  <c r="I169" i="12"/>
  <c r="F169" i="12"/>
  <c r="I168" i="12"/>
  <c r="F168" i="12"/>
  <c r="I167" i="12"/>
  <c r="F167" i="12"/>
  <c r="I166" i="12"/>
  <c r="F166" i="12"/>
  <c r="I165" i="12"/>
  <c r="F165" i="12"/>
  <c r="I164" i="12"/>
  <c r="F164" i="12"/>
  <c r="I163" i="12"/>
  <c r="F163" i="12"/>
  <c r="I162" i="12"/>
  <c r="F162" i="12"/>
  <c r="I161" i="12"/>
  <c r="F161" i="12"/>
  <c r="I160" i="12"/>
  <c r="F160" i="12"/>
  <c r="I159" i="12"/>
  <c r="F159" i="12"/>
  <c r="I158" i="12"/>
  <c r="F158" i="12"/>
  <c r="I157" i="12"/>
  <c r="F157" i="12"/>
  <c r="I156" i="12"/>
  <c r="F156" i="12"/>
  <c r="I155" i="12"/>
  <c r="F155" i="12"/>
  <c r="I154" i="12"/>
  <c r="F154" i="12"/>
  <c r="I153" i="12"/>
  <c r="F153" i="12"/>
  <c r="I152" i="12"/>
  <c r="F152" i="12"/>
  <c r="I151" i="12"/>
  <c r="F151" i="12"/>
  <c r="I150" i="12"/>
  <c r="F150" i="12"/>
  <c r="I149" i="12"/>
  <c r="F149" i="12"/>
  <c r="I148" i="12"/>
  <c r="F148" i="12"/>
  <c r="I147" i="12"/>
  <c r="F147" i="12"/>
  <c r="I146" i="12"/>
  <c r="F146" i="12"/>
  <c r="I145" i="12"/>
  <c r="F145" i="12"/>
  <c r="I144" i="12"/>
  <c r="F144" i="12"/>
  <c r="I143" i="12"/>
  <c r="F143" i="12"/>
  <c r="I142" i="12"/>
  <c r="F142" i="12"/>
  <c r="I141" i="12"/>
  <c r="F141" i="12"/>
  <c r="I140" i="12"/>
  <c r="F140" i="12"/>
  <c r="I139" i="12"/>
  <c r="F139" i="12"/>
  <c r="I138" i="12"/>
  <c r="F138" i="12"/>
  <c r="I137" i="12"/>
  <c r="F137" i="12"/>
  <c r="I136" i="12"/>
  <c r="F136" i="12"/>
  <c r="I135" i="12"/>
  <c r="F135" i="12"/>
  <c r="I134" i="12"/>
  <c r="F134" i="12"/>
  <c r="I133" i="12"/>
  <c r="F133" i="12"/>
  <c r="I132" i="12"/>
  <c r="F132" i="12"/>
  <c r="I131" i="12"/>
  <c r="F131" i="12"/>
  <c r="I130" i="12"/>
  <c r="F130" i="12"/>
  <c r="I129" i="12"/>
  <c r="F129" i="12"/>
  <c r="I128" i="12"/>
  <c r="F128" i="12"/>
  <c r="I127" i="12"/>
  <c r="F127" i="12"/>
  <c r="I126" i="12"/>
  <c r="F126" i="12"/>
  <c r="I125" i="12"/>
  <c r="F125" i="12"/>
  <c r="I124" i="12"/>
  <c r="F124" i="12"/>
  <c r="I123" i="12"/>
  <c r="F123" i="12"/>
  <c r="I122" i="12"/>
  <c r="F122" i="12"/>
  <c r="I121" i="12"/>
  <c r="F121" i="12"/>
  <c r="I120" i="12"/>
  <c r="F120" i="12"/>
  <c r="I119" i="12"/>
  <c r="F119" i="12"/>
  <c r="I118" i="12"/>
  <c r="F118" i="12"/>
  <c r="I117" i="12"/>
  <c r="F117" i="12"/>
  <c r="I116" i="12"/>
  <c r="F116" i="12"/>
  <c r="I115" i="12"/>
  <c r="F115" i="12"/>
  <c r="I114" i="12"/>
  <c r="F114" i="12"/>
  <c r="I113" i="12"/>
  <c r="F113" i="12"/>
  <c r="I112" i="12"/>
  <c r="F112" i="12"/>
  <c r="I111" i="12"/>
  <c r="F111" i="12"/>
  <c r="I110" i="12"/>
  <c r="F110" i="12"/>
  <c r="I109" i="12"/>
  <c r="F109" i="12"/>
  <c r="I108" i="12"/>
  <c r="F108" i="12"/>
  <c r="I107" i="12"/>
  <c r="F107" i="12"/>
  <c r="I106" i="12"/>
  <c r="F106" i="12"/>
  <c r="I105" i="12"/>
  <c r="F105" i="12"/>
  <c r="I104" i="12"/>
  <c r="F104" i="12"/>
  <c r="I103" i="12"/>
  <c r="F103" i="12"/>
  <c r="I102" i="12"/>
  <c r="F102" i="12"/>
  <c r="I101" i="12"/>
  <c r="F101" i="12"/>
  <c r="I100" i="12"/>
  <c r="F100" i="12"/>
  <c r="I99" i="12"/>
  <c r="F99" i="12"/>
  <c r="I98" i="12"/>
  <c r="F98" i="12"/>
  <c r="I97" i="12"/>
  <c r="F97" i="12"/>
  <c r="I96" i="12"/>
  <c r="F96" i="12"/>
  <c r="I95" i="12"/>
  <c r="F95" i="12"/>
  <c r="I94" i="12"/>
  <c r="F94" i="12"/>
  <c r="I93" i="12"/>
  <c r="F93" i="12"/>
  <c r="I92" i="12"/>
  <c r="F92" i="12"/>
  <c r="F91" i="12"/>
  <c r="F90" i="12"/>
  <c r="F89" i="12"/>
  <c r="F88" i="12"/>
  <c r="F87" i="12"/>
  <c r="F86" i="12"/>
  <c r="F85" i="12"/>
  <c r="F84" i="12"/>
  <c r="F83" i="12"/>
  <c r="I82" i="12"/>
  <c r="F82" i="12"/>
  <c r="I81" i="12"/>
  <c r="F81" i="12"/>
  <c r="I80" i="12"/>
  <c r="F80" i="12"/>
  <c r="I79" i="12"/>
  <c r="F79" i="12"/>
  <c r="I78" i="12"/>
  <c r="F78" i="12"/>
  <c r="I77" i="12"/>
  <c r="F77" i="12"/>
  <c r="I76" i="12"/>
  <c r="F76" i="12"/>
  <c r="I75" i="12"/>
  <c r="F75" i="12"/>
  <c r="I74" i="12"/>
  <c r="F74" i="12"/>
  <c r="I73" i="12"/>
  <c r="F73" i="12"/>
  <c r="I72" i="12"/>
  <c r="F72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3" i="12"/>
  <c r="F63" i="12"/>
  <c r="I62" i="12"/>
  <c r="F62" i="12"/>
  <c r="I61" i="12"/>
  <c r="F61" i="12"/>
  <c r="I60" i="12"/>
  <c r="F60" i="12"/>
  <c r="I59" i="12"/>
  <c r="F59" i="12"/>
  <c r="I58" i="12"/>
  <c r="F58" i="12"/>
  <c r="I57" i="12"/>
  <c r="F57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I48" i="12"/>
  <c r="F48" i="12"/>
  <c r="I47" i="12"/>
  <c r="F47" i="12"/>
  <c r="I46" i="12"/>
  <c r="F46" i="12"/>
  <c r="I45" i="12"/>
  <c r="F45" i="12"/>
  <c r="I44" i="12"/>
  <c r="F44" i="12"/>
  <c r="I43" i="12"/>
  <c r="F43" i="12"/>
  <c r="I42" i="12"/>
  <c r="F42" i="12"/>
  <c r="I41" i="12"/>
  <c r="F41" i="12"/>
  <c r="I40" i="12"/>
  <c r="F40" i="12"/>
  <c r="I39" i="12"/>
  <c r="F39" i="12"/>
  <c r="I38" i="12"/>
  <c r="F38" i="12"/>
  <c r="I37" i="12"/>
  <c r="F37" i="12"/>
  <c r="I36" i="12"/>
  <c r="F36" i="12"/>
  <c r="I35" i="12"/>
  <c r="F35" i="12"/>
  <c r="I34" i="12"/>
  <c r="F34" i="12"/>
  <c r="I33" i="12"/>
  <c r="F33" i="12"/>
  <c r="I32" i="12"/>
  <c r="F32" i="12"/>
  <c r="I31" i="12"/>
  <c r="F31" i="12"/>
  <c r="I30" i="12"/>
  <c r="F30" i="12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I7" i="12"/>
  <c r="F7" i="12"/>
  <c r="I6" i="12"/>
  <c r="F6" i="12"/>
  <c r="I5" i="12"/>
  <c r="F5" i="12"/>
  <c r="I4" i="12"/>
  <c r="F4" i="12"/>
  <c r="I3" i="12"/>
  <c r="F3" i="12"/>
  <c r="I2" i="12"/>
  <c r="F2" i="12"/>
  <c r="I228" i="11"/>
  <c r="F228" i="11"/>
  <c r="I227" i="11"/>
  <c r="F227" i="11"/>
  <c r="I226" i="11"/>
  <c r="F226" i="11"/>
  <c r="I225" i="11"/>
  <c r="F225" i="11"/>
  <c r="I224" i="11"/>
  <c r="F224" i="11"/>
  <c r="I223" i="11"/>
  <c r="F223" i="11"/>
  <c r="I222" i="11"/>
  <c r="F222" i="11"/>
  <c r="I221" i="11"/>
  <c r="F221" i="11"/>
  <c r="I220" i="11"/>
  <c r="F220" i="11"/>
  <c r="I219" i="11"/>
  <c r="F219" i="11"/>
  <c r="I218" i="11"/>
  <c r="F218" i="11"/>
  <c r="I217" i="11"/>
  <c r="F217" i="11"/>
  <c r="I216" i="11"/>
  <c r="F216" i="11"/>
  <c r="I215" i="11"/>
  <c r="F215" i="11"/>
  <c r="I214" i="11"/>
  <c r="F214" i="11"/>
  <c r="I213" i="11"/>
  <c r="F213" i="11"/>
  <c r="I212" i="11"/>
  <c r="F212" i="11"/>
  <c r="I211" i="11"/>
  <c r="F211" i="11"/>
  <c r="I210" i="11"/>
  <c r="F210" i="11"/>
  <c r="I209" i="11"/>
  <c r="F209" i="11"/>
  <c r="I208" i="11"/>
  <c r="F208" i="11"/>
  <c r="I207" i="11"/>
  <c r="F207" i="11"/>
  <c r="I206" i="11"/>
  <c r="F206" i="11"/>
  <c r="I205" i="11"/>
  <c r="F205" i="11"/>
  <c r="I204" i="11"/>
  <c r="F204" i="11"/>
  <c r="I203" i="11"/>
  <c r="F203" i="11"/>
  <c r="I202" i="11"/>
  <c r="F202" i="11"/>
  <c r="I201" i="11"/>
  <c r="F201" i="11"/>
  <c r="I200" i="11"/>
  <c r="F200" i="11"/>
  <c r="I199" i="11"/>
  <c r="F199" i="11"/>
  <c r="I198" i="11"/>
  <c r="F198" i="11"/>
  <c r="I197" i="11"/>
  <c r="F197" i="11"/>
  <c r="I196" i="11"/>
  <c r="F196" i="11"/>
  <c r="I195" i="11"/>
  <c r="F195" i="11"/>
  <c r="I194" i="11"/>
  <c r="F194" i="11"/>
  <c r="I193" i="11"/>
  <c r="F193" i="11"/>
  <c r="I192" i="11"/>
  <c r="F192" i="11"/>
  <c r="I191" i="11"/>
  <c r="F191" i="11"/>
  <c r="I190" i="11"/>
  <c r="F190" i="11"/>
  <c r="I189" i="11"/>
  <c r="F189" i="11"/>
  <c r="I188" i="11"/>
  <c r="F188" i="11"/>
  <c r="I187" i="11"/>
  <c r="F187" i="11"/>
  <c r="I186" i="11"/>
  <c r="F186" i="11"/>
  <c r="I185" i="11"/>
  <c r="F185" i="11"/>
  <c r="I184" i="11"/>
  <c r="F184" i="11"/>
  <c r="I183" i="11"/>
  <c r="F183" i="11"/>
  <c r="I182" i="11"/>
  <c r="F182" i="11"/>
  <c r="I181" i="11"/>
  <c r="F181" i="11"/>
  <c r="I180" i="11"/>
  <c r="F180" i="11"/>
  <c r="I179" i="11"/>
  <c r="F179" i="11"/>
  <c r="I178" i="11"/>
  <c r="F178" i="11"/>
  <c r="I177" i="11"/>
  <c r="F177" i="11"/>
  <c r="I176" i="11"/>
  <c r="F176" i="11"/>
  <c r="I175" i="11"/>
  <c r="F175" i="11"/>
  <c r="I174" i="11"/>
  <c r="F174" i="11"/>
  <c r="I173" i="11"/>
  <c r="F173" i="11"/>
  <c r="I172" i="11"/>
  <c r="F172" i="11"/>
  <c r="I171" i="11"/>
  <c r="F171" i="11"/>
  <c r="I170" i="11"/>
  <c r="F170" i="11"/>
  <c r="I169" i="11"/>
  <c r="F169" i="11"/>
  <c r="I168" i="11"/>
  <c r="F168" i="11"/>
  <c r="I167" i="11"/>
  <c r="F167" i="11"/>
  <c r="I166" i="11"/>
  <c r="F166" i="11"/>
  <c r="I165" i="11"/>
  <c r="F165" i="11"/>
  <c r="I164" i="11"/>
  <c r="F164" i="11"/>
  <c r="I163" i="11"/>
  <c r="F163" i="11"/>
  <c r="I162" i="11"/>
  <c r="F162" i="11"/>
  <c r="I161" i="11"/>
  <c r="F161" i="11"/>
  <c r="I160" i="11"/>
  <c r="F160" i="11"/>
  <c r="I159" i="11"/>
  <c r="F159" i="11"/>
  <c r="I158" i="11"/>
  <c r="F158" i="11"/>
  <c r="I157" i="11"/>
  <c r="F157" i="11"/>
  <c r="I156" i="11"/>
  <c r="F156" i="11"/>
  <c r="I155" i="11"/>
  <c r="F155" i="11"/>
  <c r="I154" i="11"/>
  <c r="F154" i="11"/>
  <c r="I153" i="11"/>
  <c r="F153" i="11"/>
  <c r="I152" i="11"/>
  <c r="F152" i="11"/>
  <c r="I151" i="11"/>
  <c r="F151" i="11"/>
  <c r="I150" i="11"/>
  <c r="F150" i="11"/>
  <c r="I149" i="11"/>
  <c r="F149" i="11"/>
  <c r="I148" i="11"/>
  <c r="F148" i="11"/>
  <c r="I147" i="11"/>
  <c r="F147" i="11"/>
  <c r="I146" i="11"/>
  <c r="F146" i="11"/>
  <c r="I145" i="11"/>
  <c r="F145" i="11"/>
  <c r="I144" i="11"/>
  <c r="F144" i="11"/>
  <c r="I143" i="11"/>
  <c r="F143" i="11"/>
  <c r="I142" i="11"/>
  <c r="F142" i="11"/>
  <c r="I141" i="11"/>
  <c r="F141" i="11"/>
  <c r="I140" i="11"/>
  <c r="F140" i="11"/>
  <c r="I139" i="11"/>
  <c r="F139" i="11"/>
  <c r="I138" i="11"/>
  <c r="F138" i="11"/>
  <c r="I137" i="11"/>
  <c r="F137" i="11"/>
  <c r="I136" i="11"/>
  <c r="F136" i="11"/>
  <c r="I135" i="11"/>
  <c r="F135" i="11"/>
  <c r="I134" i="11"/>
  <c r="F134" i="11"/>
  <c r="I133" i="11"/>
  <c r="F133" i="11"/>
  <c r="I132" i="11"/>
  <c r="F132" i="11"/>
  <c r="I131" i="11"/>
  <c r="F131" i="11"/>
  <c r="I130" i="11"/>
  <c r="F130" i="11"/>
  <c r="I129" i="11"/>
  <c r="F129" i="11"/>
  <c r="I128" i="11"/>
  <c r="F128" i="11"/>
  <c r="I127" i="11"/>
  <c r="F127" i="11"/>
  <c r="I126" i="11"/>
  <c r="F126" i="11"/>
  <c r="I125" i="11"/>
  <c r="F125" i="11"/>
  <c r="I124" i="11"/>
  <c r="F124" i="11"/>
  <c r="I123" i="11"/>
  <c r="F123" i="11"/>
  <c r="I122" i="11"/>
  <c r="F122" i="11"/>
  <c r="I121" i="11"/>
  <c r="F121" i="11"/>
  <c r="I120" i="11"/>
  <c r="F120" i="11"/>
  <c r="I119" i="11"/>
  <c r="F119" i="11"/>
  <c r="I118" i="11"/>
  <c r="F118" i="11"/>
  <c r="I117" i="11"/>
  <c r="F117" i="11"/>
  <c r="I116" i="11"/>
  <c r="F116" i="11"/>
  <c r="I115" i="11"/>
  <c r="F115" i="11"/>
  <c r="I114" i="11"/>
  <c r="F114" i="11"/>
  <c r="I113" i="11"/>
  <c r="F113" i="11"/>
  <c r="I112" i="11"/>
  <c r="F112" i="11"/>
  <c r="I111" i="11"/>
  <c r="F111" i="11"/>
  <c r="I110" i="11"/>
  <c r="F110" i="11"/>
  <c r="I109" i="11"/>
  <c r="F109" i="11"/>
  <c r="I108" i="11"/>
  <c r="F108" i="11"/>
  <c r="I107" i="11"/>
  <c r="F107" i="11"/>
  <c r="I106" i="11"/>
  <c r="F106" i="11"/>
  <c r="I105" i="11"/>
  <c r="F105" i="11"/>
  <c r="I104" i="11"/>
  <c r="F104" i="11"/>
  <c r="I103" i="11"/>
  <c r="F103" i="11"/>
  <c r="I102" i="11"/>
  <c r="F102" i="11"/>
  <c r="I101" i="11"/>
  <c r="F101" i="11"/>
  <c r="I100" i="11"/>
  <c r="F100" i="11"/>
  <c r="I99" i="11"/>
  <c r="F99" i="11"/>
  <c r="I98" i="11"/>
  <c r="F98" i="11"/>
  <c r="I97" i="11"/>
  <c r="F97" i="11"/>
  <c r="I96" i="11"/>
  <c r="F96" i="11"/>
  <c r="I95" i="11"/>
  <c r="F95" i="11"/>
  <c r="I94" i="11"/>
  <c r="F94" i="11"/>
  <c r="I93" i="11"/>
  <c r="F93" i="11"/>
  <c r="I92" i="11"/>
  <c r="F92" i="11"/>
  <c r="I91" i="11"/>
  <c r="F91" i="11"/>
  <c r="I90" i="11"/>
  <c r="F90" i="11"/>
  <c r="I89" i="11"/>
  <c r="F89" i="11"/>
  <c r="I88" i="11"/>
  <c r="F88" i="11"/>
  <c r="I87" i="11"/>
  <c r="F87" i="11"/>
  <c r="I86" i="11"/>
  <c r="F86" i="11"/>
  <c r="I85" i="11"/>
  <c r="F85" i="11"/>
  <c r="I84" i="11"/>
  <c r="F84" i="11"/>
  <c r="I83" i="11"/>
  <c r="F83" i="11"/>
  <c r="I82" i="11"/>
  <c r="F82" i="11"/>
  <c r="I81" i="11"/>
  <c r="F81" i="11"/>
  <c r="I80" i="11"/>
  <c r="F80" i="11"/>
  <c r="I79" i="11"/>
  <c r="F79" i="11"/>
  <c r="I78" i="11"/>
  <c r="F78" i="11"/>
  <c r="I77" i="11"/>
  <c r="F77" i="11"/>
  <c r="I76" i="11"/>
  <c r="F76" i="11"/>
  <c r="I75" i="11"/>
  <c r="F75" i="11"/>
  <c r="I74" i="11"/>
  <c r="F74" i="11"/>
  <c r="I73" i="11"/>
  <c r="F73" i="11"/>
  <c r="I72" i="11"/>
  <c r="F72" i="11"/>
  <c r="I71" i="11"/>
  <c r="F71" i="11"/>
  <c r="I70" i="11"/>
  <c r="F70" i="11"/>
  <c r="I69" i="11"/>
  <c r="F69" i="11"/>
  <c r="I68" i="11"/>
  <c r="F68" i="11"/>
  <c r="I67" i="11"/>
  <c r="F67" i="11"/>
  <c r="I66" i="11"/>
  <c r="F66" i="11"/>
  <c r="I65" i="11"/>
  <c r="F65" i="11"/>
  <c r="I64" i="11"/>
  <c r="F64" i="11"/>
  <c r="I63" i="11"/>
  <c r="F63" i="11"/>
  <c r="I62" i="11"/>
  <c r="F62" i="11"/>
  <c r="I61" i="11"/>
  <c r="F61" i="11"/>
  <c r="I60" i="11"/>
  <c r="F60" i="11"/>
  <c r="I59" i="11"/>
  <c r="F59" i="11"/>
  <c r="I58" i="11"/>
  <c r="F58" i="11"/>
  <c r="I57" i="11"/>
  <c r="F57" i="11"/>
  <c r="I56" i="11"/>
  <c r="F56" i="11"/>
  <c r="I55" i="11"/>
  <c r="F55" i="11"/>
  <c r="I54" i="11"/>
  <c r="F54" i="11"/>
  <c r="I53" i="11"/>
  <c r="F53" i="11"/>
  <c r="I52" i="11"/>
  <c r="F52" i="11"/>
  <c r="I51" i="11"/>
  <c r="F51" i="11"/>
  <c r="I50" i="11"/>
  <c r="F50" i="11"/>
  <c r="I49" i="11"/>
  <c r="F49" i="11"/>
  <c r="I48" i="11"/>
  <c r="F48" i="11"/>
  <c r="I47" i="11"/>
  <c r="F47" i="11"/>
  <c r="I46" i="11"/>
  <c r="F46" i="11"/>
  <c r="I45" i="11"/>
  <c r="F45" i="11"/>
  <c r="I44" i="11"/>
  <c r="F44" i="11"/>
  <c r="I43" i="11"/>
  <c r="F43" i="11"/>
  <c r="I42" i="11"/>
  <c r="F42" i="11"/>
  <c r="I41" i="11"/>
  <c r="F41" i="11"/>
  <c r="I40" i="11"/>
  <c r="F40" i="11"/>
  <c r="I39" i="11"/>
  <c r="F39" i="11"/>
  <c r="I38" i="11"/>
  <c r="F38" i="11"/>
  <c r="I37" i="11"/>
  <c r="F37" i="11"/>
  <c r="I36" i="11"/>
  <c r="F36" i="11"/>
  <c r="I35" i="11"/>
  <c r="F35" i="11"/>
  <c r="I34" i="11"/>
  <c r="F34" i="11"/>
  <c r="I33" i="11"/>
  <c r="F33" i="11"/>
  <c r="I32" i="11"/>
  <c r="F32" i="11"/>
  <c r="I31" i="11"/>
  <c r="F31" i="11"/>
  <c r="I30" i="11"/>
  <c r="F30" i="11"/>
  <c r="I29" i="11"/>
  <c r="F29" i="11"/>
  <c r="I28" i="11"/>
  <c r="F28" i="11"/>
  <c r="I27" i="11"/>
  <c r="F27" i="11"/>
  <c r="I26" i="11"/>
  <c r="F26" i="11"/>
  <c r="I25" i="11"/>
  <c r="F25" i="11"/>
  <c r="I24" i="11"/>
  <c r="F24" i="11"/>
  <c r="I23" i="11"/>
  <c r="F23" i="11"/>
  <c r="I22" i="11"/>
  <c r="F22" i="11"/>
  <c r="I21" i="11"/>
  <c r="F21" i="11"/>
  <c r="I20" i="11"/>
  <c r="F20" i="11"/>
  <c r="I19" i="11"/>
  <c r="F19" i="11"/>
  <c r="I18" i="11"/>
  <c r="F18" i="11"/>
  <c r="I17" i="11"/>
  <c r="F17" i="11"/>
  <c r="I16" i="11"/>
  <c r="F16" i="11"/>
  <c r="I15" i="11"/>
  <c r="F15" i="11"/>
  <c r="I14" i="11"/>
  <c r="F14" i="11"/>
  <c r="I13" i="11"/>
  <c r="F13" i="11"/>
  <c r="I12" i="11"/>
  <c r="F12" i="11"/>
  <c r="I11" i="11"/>
  <c r="F11" i="11"/>
  <c r="I10" i="11"/>
  <c r="F10" i="11"/>
  <c r="I9" i="11"/>
  <c r="F9" i="11"/>
  <c r="I8" i="11"/>
  <c r="F8" i="11"/>
  <c r="I7" i="11"/>
  <c r="F7" i="11"/>
  <c r="I6" i="11"/>
  <c r="F6" i="11"/>
  <c r="I5" i="11"/>
  <c r="F5" i="11"/>
  <c r="I4" i="11"/>
  <c r="F4" i="11"/>
  <c r="I3" i="11"/>
  <c r="F3" i="11"/>
  <c r="I2" i="11"/>
  <c r="F2" i="11"/>
  <c r="I209" i="10"/>
  <c r="F209" i="10"/>
  <c r="I208" i="10"/>
  <c r="F208" i="10"/>
  <c r="I207" i="10"/>
  <c r="F207" i="10"/>
  <c r="I206" i="10"/>
  <c r="F206" i="10"/>
  <c r="I205" i="10"/>
  <c r="F205" i="10"/>
  <c r="I204" i="10"/>
  <c r="F204" i="10"/>
  <c r="I203" i="10"/>
  <c r="F203" i="10"/>
  <c r="I202" i="10"/>
  <c r="F202" i="10"/>
  <c r="I201" i="10"/>
  <c r="F201" i="10"/>
  <c r="I200" i="10"/>
  <c r="F200" i="10"/>
  <c r="I199" i="10"/>
  <c r="F199" i="10"/>
  <c r="I198" i="10"/>
  <c r="F198" i="10"/>
  <c r="I197" i="10"/>
  <c r="F197" i="10"/>
  <c r="I196" i="10"/>
  <c r="F196" i="10"/>
  <c r="I195" i="10"/>
  <c r="F195" i="10"/>
  <c r="I194" i="10"/>
  <c r="F194" i="10"/>
  <c r="I193" i="10"/>
  <c r="F193" i="10"/>
  <c r="I192" i="10"/>
  <c r="F192" i="10"/>
  <c r="I191" i="10"/>
  <c r="F191" i="10"/>
  <c r="I190" i="10"/>
  <c r="F190" i="10"/>
  <c r="I189" i="10"/>
  <c r="F189" i="10"/>
  <c r="I188" i="10"/>
  <c r="F188" i="10"/>
  <c r="I187" i="10"/>
  <c r="F187" i="10"/>
  <c r="I186" i="10"/>
  <c r="F186" i="10"/>
  <c r="I185" i="10"/>
  <c r="F185" i="10"/>
  <c r="I184" i="10"/>
  <c r="F184" i="10"/>
  <c r="I183" i="10"/>
  <c r="F183" i="10"/>
  <c r="I182" i="10"/>
  <c r="F182" i="10"/>
  <c r="I181" i="10"/>
  <c r="F181" i="10"/>
  <c r="I180" i="10"/>
  <c r="F180" i="10"/>
  <c r="I179" i="10"/>
  <c r="F179" i="10"/>
  <c r="I178" i="10"/>
  <c r="F178" i="10"/>
  <c r="I177" i="10"/>
  <c r="F177" i="10"/>
  <c r="I176" i="10"/>
  <c r="F176" i="10"/>
  <c r="I175" i="10"/>
  <c r="F175" i="10"/>
  <c r="I174" i="10"/>
  <c r="F174" i="10"/>
  <c r="I173" i="10"/>
  <c r="F173" i="10"/>
  <c r="I172" i="10"/>
  <c r="F172" i="10"/>
  <c r="I171" i="10"/>
  <c r="F171" i="10"/>
  <c r="I170" i="10"/>
  <c r="F170" i="10"/>
  <c r="I169" i="10"/>
  <c r="F169" i="10"/>
  <c r="I168" i="10"/>
  <c r="F168" i="10"/>
  <c r="I167" i="10"/>
  <c r="F167" i="10"/>
  <c r="I166" i="10"/>
  <c r="F166" i="10"/>
  <c r="I165" i="10"/>
  <c r="F165" i="10"/>
  <c r="I164" i="10"/>
  <c r="F164" i="10"/>
  <c r="I163" i="10"/>
  <c r="F163" i="10"/>
  <c r="I162" i="10"/>
  <c r="F162" i="10"/>
  <c r="I161" i="10"/>
  <c r="F161" i="10"/>
  <c r="I160" i="10"/>
  <c r="F160" i="10"/>
  <c r="I159" i="10"/>
  <c r="F159" i="10"/>
  <c r="I158" i="10"/>
  <c r="F158" i="10"/>
  <c r="I157" i="10"/>
  <c r="F157" i="10"/>
  <c r="I156" i="10"/>
  <c r="F156" i="10"/>
  <c r="I155" i="10"/>
  <c r="F155" i="10"/>
  <c r="I154" i="10"/>
  <c r="F154" i="10"/>
  <c r="I153" i="10"/>
  <c r="F153" i="10"/>
  <c r="I152" i="10"/>
  <c r="F152" i="10"/>
  <c r="I151" i="10"/>
  <c r="F151" i="10"/>
  <c r="I150" i="10"/>
  <c r="F150" i="10"/>
  <c r="I149" i="10"/>
  <c r="F149" i="10"/>
  <c r="I148" i="10"/>
  <c r="F148" i="10"/>
  <c r="I147" i="10"/>
  <c r="F147" i="10"/>
  <c r="I146" i="10"/>
  <c r="F146" i="10"/>
  <c r="I145" i="10"/>
  <c r="F145" i="10"/>
  <c r="I144" i="10"/>
  <c r="F144" i="10"/>
  <c r="I143" i="10"/>
  <c r="F143" i="10"/>
  <c r="I142" i="10"/>
  <c r="F142" i="10"/>
  <c r="I141" i="10"/>
  <c r="F141" i="10"/>
  <c r="I140" i="10"/>
  <c r="F140" i="10"/>
  <c r="I139" i="10"/>
  <c r="F139" i="10"/>
  <c r="I138" i="10"/>
  <c r="F138" i="10"/>
  <c r="I137" i="10"/>
  <c r="F137" i="10"/>
  <c r="I136" i="10"/>
  <c r="F136" i="10"/>
  <c r="I135" i="10"/>
  <c r="F135" i="10"/>
  <c r="I134" i="10"/>
  <c r="F134" i="10"/>
  <c r="I133" i="10"/>
  <c r="F133" i="10"/>
  <c r="I132" i="10"/>
  <c r="F132" i="10"/>
  <c r="I131" i="10"/>
  <c r="F131" i="10"/>
  <c r="I130" i="10"/>
  <c r="F130" i="10"/>
  <c r="I129" i="10"/>
  <c r="F129" i="10"/>
  <c r="I128" i="10"/>
  <c r="F128" i="10"/>
  <c r="I127" i="10"/>
  <c r="F127" i="10"/>
  <c r="I126" i="10"/>
  <c r="F126" i="10"/>
  <c r="I125" i="10"/>
  <c r="F125" i="10"/>
  <c r="I124" i="10"/>
  <c r="F124" i="10"/>
  <c r="I123" i="10"/>
  <c r="F123" i="10"/>
  <c r="I122" i="10"/>
  <c r="F122" i="10"/>
  <c r="I121" i="10"/>
  <c r="F121" i="10"/>
  <c r="I120" i="10"/>
  <c r="F120" i="10"/>
  <c r="I119" i="10"/>
  <c r="F119" i="10"/>
  <c r="I118" i="10"/>
  <c r="F118" i="10"/>
  <c r="I117" i="10"/>
  <c r="F117" i="10"/>
  <c r="I116" i="10"/>
  <c r="F116" i="10"/>
  <c r="I115" i="10"/>
  <c r="F115" i="10"/>
  <c r="I114" i="10"/>
  <c r="F114" i="10"/>
  <c r="I113" i="10"/>
  <c r="F113" i="10"/>
  <c r="I112" i="10"/>
  <c r="F112" i="10"/>
  <c r="I111" i="10"/>
  <c r="F111" i="10"/>
  <c r="I110" i="10"/>
  <c r="F110" i="10"/>
  <c r="I109" i="10"/>
  <c r="F109" i="10"/>
  <c r="I108" i="10"/>
  <c r="F108" i="10"/>
  <c r="I107" i="10"/>
  <c r="F107" i="10"/>
  <c r="I106" i="10"/>
  <c r="F106" i="10"/>
  <c r="I105" i="10"/>
  <c r="F105" i="10"/>
  <c r="I104" i="10"/>
  <c r="F104" i="10"/>
  <c r="I103" i="10"/>
  <c r="F103" i="10"/>
  <c r="I102" i="10"/>
  <c r="F102" i="10"/>
  <c r="I101" i="10"/>
  <c r="F101" i="10"/>
  <c r="I100" i="10"/>
  <c r="F100" i="10"/>
  <c r="I99" i="10"/>
  <c r="F99" i="10"/>
  <c r="I98" i="10"/>
  <c r="F98" i="10"/>
  <c r="I97" i="10"/>
  <c r="F97" i="10"/>
  <c r="I96" i="10"/>
  <c r="F96" i="10"/>
  <c r="I95" i="10"/>
  <c r="F95" i="10"/>
  <c r="I94" i="10"/>
  <c r="F94" i="10"/>
  <c r="I93" i="10"/>
  <c r="F93" i="10"/>
  <c r="I92" i="10"/>
  <c r="F92" i="10"/>
  <c r="I91" i="10"/>
  <c r="F91" i="10"/>
  <c r="I90" i="10"/>
  <c r="F90" i="10"/>
  <c r="I89" i="10"/>
  <c r="F89" i="10"/>
  <c r="I88" i="10"/>
  <c r="F88" i="10"/>
  <c r="I87" i="10"/>
  <c r="F87" i="10"/>
  <c r="I86" i="10"/>
  <c r="F86" i="10"/>
  <c r="I85" i="10"/>
  <c r="F85" i="10"/>
  <c r="I84" i="10"/>
  <c r="F84" i="10"/>
  <c r="I83" i="10"/>
  <c r="F83" i="10"/>
  <c r="I82" i="10"/>
  <c r="F82" i="10"/>
  <c r="I81" i="10"/>
  <c r="F81" i="10"/>
  <c r="I80" i="10"/>
  <c r="F80" i="10"/>
  <c r="I79" i="10"/>
  <c r="F79" i="10"/>
  <c r="I78" i="10"/>
  <c r="F78" i="10"/>
  <c r="I77" i="10"/>
  <c r="F77" i="10"/>
  <c r="I76" i="10"/>
  <c r="F76" i="10"/>
  <c r="I75" i="10"/>
  <c r="F75" i="10"/>
  <c r="I74" i="10"/>
  <c r="F74" i="10"/>
  <c r="I73" i="10"/>
  <c r="F73" i="10"/>
  <c r="I72" i="10"/>
  <c r="F72" i="10"/>
  <c r="I71" i="10"/>
  <c r="F71" i="10"/>
  <c r="I70" i="10"/>
  <c r="F70" i="10"/>
  <c r="I69" i="10"/>
  <c r="F69" i="10"/>
  <c r="I68" i="10"/>
  <c r="F68" i="10"/>
  <c r="I67" i="10"/>
  <c r="F67" i="10"/>
  <c r="I66" i="10"/>
  <c r="F66" i="10"/>
  <c r="I65" i="10"/>
  <c r="F65" i="10"/>
  <c r="I64" i="10"/>
  <c r="F64" i="10"/>
  <c r="I63" i="10"/>
  <c r="F63" i="10"/>
  <c r="I62" i="10"/>
  <c r="F62" i="10"/>
  <c r="I61" i="10"/>
  <c r="F61" i="10"/>
  <c r="I60" i="10"/>
  <c r="F60" i="10"/>
  <c r="I59" i="10"/>
  <c r="F59" i="10"/>
  <c r="I58" i="10"/>
  <c r="F58" i="10"/>
  <c r="I57" i="10"/>
  <c r="F57" i="10"/>
  <c r="I56" i="10"/>
  <c r="F56" i="10"/>
  <c r="I55" i="10"/>
  <c r="F55" i="10"/>
  <c r="I54" i="10"/>
  <c r="F54" i="10"/>
  <c r="I53" i="10"/>
  <c r="F53" i="10"/>
  <c r="I52" i="10"/>
  <c r="F52" i="10"/>
  <c r="I51" i="10"/>
  <c r="F51" i="10"/>
  <c r="I50" i="10"/>
  <c r="F50" i="10"/>
  <c r="I49" i="10"/>
  <c r="F49" i="10"/>
  <c r="I48" i="10"/>
  <c r="F48" i="10"/>
  <c r="I47" i="10"/>
  <c r="F47" i="10"/>
  <c r="I46" i="10"/>
  <c r="F46" i="10"/>
  <c r="I45" i="10"/>
  <c r="F45" i="10"/>
  <c r="I44" i="10"/>
  <c r="F44" i="10"/>
  <c r="I43" i="10"/>
  <c r="F43" i="10"/>
  <c r="I42" i="10"/>
  <c r="F42" i="10"/>
  <c r="I41" i="10"/>
  <c r="F41" i="10"/>
  <c r="I40" i="10"/>
  <c r="F40" i="10"/>
  <c r="I39" i="10"/>
  <c r="F39" i="10"/>
  <c r="I38" i="10"/>
  <c r="F38" i="10"/>
  <c r="I37" i="10"/>
  <c r="F37" i="10"/>
  <c r="I36" i="10"/>
  <c r="F36" i="10"/>
  <c r="I35" i="10"/>
  <c r="F35" i="10"/>
  <c r="I34" i="10"/>
  <c r="F34" i="10"/>
  <c r="I33" i="10"/>
  <c r="F33" i="10"/>
  <c r="I32" i="10"/>
  <c r="F32" i="10"/>
  <c r="I31" i="10"/>
  <c r="F31" i="10"/>
  <c r="I30" i="10"/>
  <c r="F30" i="10"/>
  <c r="I29" i="10"/>
  <c r="F29" i="10"/>
  <c r="I28" i="10"/>
  <c r="F28" i="10"/>
  <c r="I27" i="10"/>
  <c r="F27" i="10"/>
  <c r="I26" i="10"/>
  <c r="F26" i="10"/>
  <c r="I25" i="10"/>
  <c r="F25" i="10"/>
  <c r="I24" i="10"/>
  <c r="F24" i="10"/>
  <c r="I23" i="10"/>
  <c r="F23" i="10"/>
  <c r="I22" i="10"/>
  <c r="F22" i="10"/>
  <c r="I21" i="10"/>
  <c r="F21" i="10"/>
  <c r="I20" i="10"/>
  <c r="F20" i="10"/>
  <c r="I19" i="10"/>
  <c r="F19" i="10"/>
  <c r="I18" i="10"/>
  <c r="F18" i="10"/>
  <c r="I17" i="10"/>
  <c r="F17" i="10"/>
  <c r="I16" i="10"/>
  <c r="F16" i="10"/>
  <c r="I15" i="10"/>
  <c r="F15" i="10"/>
  <c r="I14" i="10"/>
  <c r="F14" i="10"/>
  <c r="I13" i="10"/>
  <c r="F13" i="10"/>
  <c r="I12" i="10"/>
  <c r="F12" i="10"/>
  <c r="I11" i="10"/>
  <c r="F11" i="10"/>
  <c r="I10" i="10"/>
  <c r="F10" i="10"/>
  <c r="I9" i="10"/>
  <c r="F9" i="10"/>
  <c r="I8" i="10"/>
  <c r="F8" i="10"/>
  <c r="I7" i="10"/>
  <c r="F7" i="10"/>
  <c r="I6" i="10"/>
  <c r="F6" i="10"/>
  <c r="I5" i="10"/>
  <c r="F5" i="10"/>
  <c r="I4" i="10"/>
  <c r="F4" i="10"/>
  <c r="I3" i="10"/>
  <c r="F3" i="10"/>
  <c r="I2" i="10"/>
  <c r="F2" i="10"/>
  <c r="I234" i="9"/>
  <c r="F234" i="9"/>
  <c r="I233" i="9"/>
  <c r="F233" i="9"/>
  <c r="I232" i="9"/>
  <c r="F232" i="9"/>
  <c r="I231" i="9"/>
  <c r="F231" i="9"/>
  <c r="I230" i="9"/>
  <c r="F230" i="9"/>
  <c r="I229" i="9"/>
  <c r="I228" i="9"/>
  <c r="F228" i="9"/>
  <c r="I227" i="9"/>
  <c r="F227" i="9"/>
  <c r="I226" i="9"/>
  <c r="F226" i="9"/>
  <c r="I225" i="9"/>
  <c r="F225" i="9"/>
  <c r="I224" i="9"/>
  <c r="I223" i="9"/>
  <c r="I222" i="9"/>
  <c r="F222" i="9"/>
  <c r="I221" i="9"/>
  <c r="F221" i="9"/>
  <c r="I220" i="9"/>
  <c r="F220" i="9"/>
  <c r="I219" i="9"/>
  <c r="F219" i="9"/>
  <c r="I218" i="9"/>
  <c r="F218" i="9"/>
  <c r="I217" i="9"/>
  <c r="I216" i="9"/>
  <c r="F216" i="9"/>
  <c r="I215" i="9"/>
  <c r="F215" i="9"/>
  <c r="I214" i="9"/>
  <c r="F214" i="9"/>
  <c r="I213" i="9"/>
  <c r="F213" i="9"/>
  <c r="I212" i="9"/>
  <c r="F212" i="9"/>
  <c r="I211" i="9"/>
  <c r="F211" i="9"/>
  <c r="I210" i="9"/>
  <c r="F210" i="9"/>
  <c r="I209" i="9"/>
  <c r="F209" i="9"/>
  <c r="I208" i="9"/>
  <c r="F208" i="9"/>
  <c r="I207" i="9"/>
  <c r="F207" i="9"/>
  <c r="I206" i="9"/>
  <c r="F206" i="9"/>
  <c r="I205" i="9"/>
  <c r="F205" i="9"/>
  <c r="I204" i="9"/>
  <c r="F204" i="9"/>
  <c r="I203" i="9"/>
  <c r="F203" i="9"/>
  <c r="I202" i="9"/>
  <c r="F202" i="9"/>
  <c r="I201" i="9"/>
  <c r="F201" i="9"/>
  <c r="I200" i="9"/>
  <c r="F200" i="9"/>
  <c r="I199" i="9"/>
  <c r="F199" i="9"/>
  <c r="I198" i="9"/>
  <c r="F198" i="9"/>
  <c r="I197" i="9"/>
  <c r="F197" i="9"/>
  <c r="I196" i="9"/>
  <c r="F196" i="9"/>
  <c r="I195" i="9"/>
  <c r="F195" i="9"/>
  <c r="I194" i="9"/>
  <c r="F194" i="9"/>
  <c r="I193" i="9"/>
  <c r="F193" i="9"/>
  <c r="I192" i="9"/>
  <c r="F192" i="9"/>
  <c r="I191" i="9"/>
  <c r="F191" i="9"/>
  <c r="I190" i="9"/>
  <c r="F190" i="9"/>
  <c r="I189" i="9"/>
  <c r="F189" i="9"/>
  <c r="I188" i="9"/>
  <c r="F188" i="9"/>
  <c r="I187" i="9"/>
  <c r="F187" i="9"/>
  <c r="I186" i="9"/>
  <c r="F186" i="9"/>
  <c r="I185" i="9"/>
  <c r="F185" i="9"/>
  <c r="I184" i="9"/>
  <c r="F184" i="9"/>
  <c r="I183" i="9"/>
  <c r="F183" i="9"/>
  <c r="I182" i="9"/>
  <c r="F182" i="9"/>
  <c r="I181" i="9"/>
  <c r="F181" i="9"/>
  <c r="I180" i="9"/>
  <c r="F180" i="9"/>
  <c r="I179" i="9"/>
  <c r="F179" i="9"/>
  <c r="I178" i="9"/>
  <c r="F178" i="9"/>
  <c r="I177" i="9"/>
  <c r="F177" i="9"/>
  <c r="I176" i="9"/>
  <c r="F176" i="9"/>
  <c r="I175" i="9"/>
  <c r="F175" i="9"/>
  <c r="I174" i="9"/>
  <c r="F174" i="9"/>
  <c r="I173" i="9"/>
  <c r="F173" i="9"/>
  <c r="I172" i="9"/>
  <c r="F172" i="9"/>
  <c r="I171" i="9"/>
  <c r="F171" i="9"/>
  <c r="I170" i="9"/>
  <c r="F170" i="9"/>
  <c r="I169" i="9"/>
  <c r="F169" i="9"/>
  <c r="I168" i="9"/>
  <c r="F168" i="9"/>
  <c r="I167" i="9"/>
  <c r="F167" i="9"/>
  <c r="I166" i="9"/>
  <c r="F166" i="9"/>
  <c r="I165" i="9"/>
  <c r="F165" i="9"/>
  <c r="I164" i="9"/>
  <c r="F164" i="9"/>
  <c r="I163" i="9"/>
  <c r="F163" i="9"/>
  <c r="I162" i="9"/>
  <c r="F162" i="9"/>
  <c r="I161" i="9"/>
  <c r="F161" i="9"/>
  <c r="I160" i="9"/>
  <c r="F160" i="9"/>
  <c r="I159" i="9"/>
  <c r="F159" i="9"/>
  <c r="I158" i="9"/>
  <c r="F158" i="9"/>
  <c r="I157" i="9"/>
  <c r="F157" i="9"/>
  <c r="I156" i="9"/>
  <c r="F156" i="9"/>
  <c r="I155" i="9"/>
  <c r="F155" i="9"/>
  <c r="I154" i="9"/>
  <c r="F154" i="9"/>
  <c r="I153" i="9"/>
  <c r="F153" i="9"/>
  <c r="I152" i="9"/>
  <c r="F152" i="9"/>
  <c r="I151" i="9"/>
  <c r="F151" i="9"/>
  <c r="I150" i="9"/>
  <c r="F150" i="9"/>
  <c r="I149" i="9"/>
  <c r="F149" i="9"/>
  <c r="I148" i="9"/>
  <c r="F148" i="9"/>
  <c r="I147" i="9"/>
  <c r="F147" i="9"/>
  <c r="I146" i="9"/>
  <c r="F146" i="9"/>
  <c r="I145" i="9"/>
  <c r="F145" i="9"/>
  <c r="I144" i="9"/>
  <c r="F144" i="9"/>
  <c r="I143" i="9"/>
  <c r="F143" i="9"/>
  <c r="I142" i="9"/>
  <c r="F142" i="9"/>
  <c r="I141" i="9"/>
  <c r="F141" i="9"/>
  <c r="I140" i="9"/>
  <c r="F140" i="9"/>
  <c r="I139" i="9"/>
  <c r="F139" i="9"/>
  <c r="I138" i="9"/>
  <c r="F138" i="9"/>
  <c r="I137" i="9"/>
  <c r="F137" i="9"/>
  <c r="I136" i="9"/>
  <c r="F136" i="9"/>
  <c r="I135" i="9"/>
  <c r="F135" i="9"/>
  <c r="I134" i="9"/>
  <c r="F134" i="9"/>
  <c r="I133" i="9"/>
  <c r="F133" i="9"/>
  <c r="I132" i="9"/>
  <c r="F132" i="9"/>
  <c r="I131" i="9"/>
  <c r="F131" i="9"/>
  <c r="I130" i="9"/>
  <c r="F130" i="9"/>
  <c r="I129" i="9"/>
  <c r="F129" i="9"/>
  <c r="I128" i="9"/>
  <c r="F128" i="9"/>
  <c r="I127" i="9"/>
  <c r="F127" i="9"/>
  <c r="I126" i="9"/>
  <c r="F126" i="9"/>
  <c r="I125" i="9"/>
  <c r="F125" i="9"/>
  <c r="I124" i="9"/>
  <c r="F124" i="9"/>
  <c r="I123" i="9"/>
  <c r="F123" i="9"/>
  <c r="I122" i="9"/>
  <c r="F122" i="9"/>
  <c r="I121" i="9"/>
  <c r="F121" i="9"/>
  <c r="I120" i="9"/>
  <c r="F120" i="9"/>
  <c r="I119" i="9"/>
  <c r="F119" i="9"/>
  <c r="I118" i="9"/>
  <c r="F118" i="9"/>
  <c r="I117" i="9"/>
  <c r="F117" i="9"/>
  <c r="I116" i="9"/>
  <c r="F116" i="9"/>
  <c r="I115" i="9"/>
  <c r="F115" i="9"/>
  <c r="I114" i="9"/>
  <c r="F114" i="9"/>
  <c r="I113" i="9"/>
  <c r="F113" i="9"/>
  <c r="I112" i="9"/>
  <c r="F112" i="9"/>
  <c r="I111" i="9"/>
  <c r="I110" i="9"/>
  <c r="I109" i="9"/>
  <c r="I108" i="9"/>
  <c r="I107" i="9"/>
  <c r="F107" i="9"/>
  <c r="I106" i="9"/>
  <c r="F106" i="9"/>
  <c r="I105" i="9"/>
  <c r="F105" i="9"/>
  <c r="I104" i="9"/>
  <c r="F104" i="9"/>
  <c r="I103" i="9"/>
  <c r="I102" i="9"/>
  <c r="I101" i="9"/>
  <c r="I100" i="9"/>
  <c r="I99" i="9"/>
  <c r="I98" i="9"/>
  <c r="I97" i="9"/>
  <c r="I96" i="9"/>
  <c r="F96" i="9"/>
  <c r="I95" i="9"/>
  <c r="I94" i="9"/>
  <c r="F94" i="9"/>
  <c r="I93" i="9"/>
  <c r="I92" i="9"/>
  <c r="F92" i="9"/>
  <c r="I91" i="9"/>
  <c r="F91" i="9"/>
  <c r="I90" i="9"/>
  <c r="F90" i="9"/>
  <c r="I89" i="9"/>
  <c r="F89" i="9"/>
  <c r="I88" i="9"/>
  <c r="F88" i="9"/>
  <c r="I87" i="9"/>
  <c r="F87" i="9"/>
  <c r="I86" i="9"/>
  <c r="F86" i="9"/>
  <c r="I85" i="9"/>
  <c r="F85" i="9"/>
  <c r="I84" i="9"/>
  <c r="F84" i="9"/>
  <c r="I83" i="9"/>
  <c r="F83" i="9"/>
  <c r="I82" i="9"/>
  <c r="F82" i="9"/>
  <c r="I81" i="9"/>
  <c r="F81" i="9"/>
  <c r="I80" i="9"/>
  <c r="F80" i="9"/>
  <c r="I79" i="9"/>
  <c r="F79" i="9"/>
  <c r="I78" i="9"/>
  <c r="F78" i="9"/>
  <c r="I77" i="9"/>
  <c r="F77" i="9"/>
  <c r="I76" i="9"/>
  <c r="F76" i="9"/>
  <c r="I75" i="9"/>
  <c r="F75" i="9"/>
  <c r="I74" i="9"/>
  <c r="F74" i="9"/>
  <c r="I73" i="9"/>
  <c r="F73" i="9"/>
  <c r="I72" i="9"/>
  <c r="F72" i="9"/>
  <c r="I71" i="9"/>
  <c r="F71" i="9"/>
  <c r="I70" i="9"/>
  <c r="F70" i="9"/>
  <c r="I69" i="9"/>
  <c r="F69" i="9"/>
  <c r="I68" i="9"/>
  <c r="F68" i="9"/>
  <c r="I67" i="9"/>
  <c r="F67" i="9"/>
  <c r="I66" i="9"/>
  <c r="F66" i="9"/>
  <c r="I65" i="9"/>
  <c r="F65" i="9"/>
  <c r="I64" i="9"/>
  <c r="F64" i="9"/>
  <c r="I63" i="9"/>
  <c r="F63" i="9"/>
  <c r="I62" i="9"/>
  <c r="F62" i="9"/>
  <c r="I61" i="9"/>
  <c r="F61" i="9"/>
  <c r="I60" i="9"/>
  <c r="F60" i="9"/>
  <c r="I59" i="9"/>
  <c r="F59" i="9"/>
  <c r="I58" i="9"/>
  <c r="F58" i="9"/>
  <c r="I57" i="9"/>
  <c r="F57" i="9"/>
  <c r="I56" i="9"/>
  <c r="F56" i="9"/>
  <c r="I55" i="9"/>
  <c r="F55" i="9"/>
  <c r="I54" i="9"/>
  <c r="F54" i="9"/>
  <c r="I53" i="9"/>
  <c r="F53" i="9"/>
  <c r="I52" i="9"/>
  <c r="F52" i="9"/>
  <c r="I51" i="9"/>
  <c r="F51" i="9"/>
  <c r="I50" i="9"/>
  <c r="F50" i="9"/>
  <c r="I49" i="9"/>
  <c r="F49" i="9"/>
  <c r="I48" i="9"/>
  <c r="F48" i="9"/>
  <c r="I47" i="9"/>
  <c r="F47" i="9"/>
  <c r="I46" i="9"/>
  <c r="F46" i="9"/>
  <c r="I45" i="9"/>
  <c r="F45" i="9"/>
  <c r="I44" i="9"/>
  <c r="F44" i="9"/>
  <c r="I43" i="9"/>
  <c r="F43" i="9"/>
  <c r="I42" i="9"/>
  <c r="F42" i="9"/>
  <c r="I41" i="9"/>
  <c r="F41" i="9"/>
  <c r="I40" i="9"/>
  <c r="F40" i="9"/>
  <c r="I39" i="9"/>
  <c r="F39" i="9"/>
  <c r="I38" i="9"/>
  <c r="F38" i="9"/>
  <c r="I37" i="9"/>
  <c r="F37" i="9"/>
  <c r="I36" i="9"/>
  <c r="F36" i="9"/>
  <c r="I35" i="9"/>
  <c r="F35" i="9"/>
  <c r="I34" i="9"/>
  <c r="F34" i="9"/>
  <c r="I33" i="9"/>
  <c r="F33" i="9"/>
  <c r="I32" i="9"/>
  <c r="F32" i="9"/>
  <c r="I31" i="9"/>
  <c r="F31" i="9"/>
  <c r="I30" i="9"/>
  <c r="F30" i="9"/>
  <c r="I29" i="9"/>
  <c r="F29" i="9"/>
  <c r="I28" i="9"/>
  <c r="F28" i="9"/>
  <c r="I27" i="9"/>
  <c r="F27" i="9"/>
  <c r="I26" i="9"/>
  <c r="F26" i="9"/>
  <c r="I25" i="9"/>
  <c r="F25" i="9"/>
  <c r="I24" i="9"/>
  <c r="F24" i="9"/>
  <c r="I23" i="9"/>
  <c r="F23" i="9"/>
  <c r="I22" i="9"/>
  <c r="F22" i="9"/>
  <c r="I21" i="9"/>
  <c r="F21" i="9"/>
  <c r="I20" i="9"/>
  <c r="F20" i="9"/>
  <c r="I19" i="9"/>
  <c r="F19" i="9"/>
  <c r="I18" i="9"/>
  <c r="F18" i="9"/>
  <c r="I17" i="9"/>
  <c r="F17" i="9"/>
  <c r="I16" i="9"/>
  <c r="F16" i="9"/>
  <c r="I15" i="9"/>
  <c r="F15" i="9"/>
  <c r="I14" i="9"/>
  <c r="F14" i="9"/>
  <c r="I13" i="9"/>
  <c r="F13" i="9"/>
  <c r="I12" i="9"/>
  <c r="F12" i="9"/>
  <c r="I11" i="9"/>
  <c r="F11" i="9"/>
  <c r="I10" i="9"/>
  <c r="F10" i="9"/>
  <c r="I9" i="9"/>
  <c r="F9" i="9"/>
  <c r="I8" i="9"/>
  <c r="F8" i="9"/>
  <c r="I7" i="9"/>
  <c r="F7" i="9"/>
  <c r="I6" i="9"/>
  <c r="F6" i="9"/>
  <c r="I5" i="9"/>
  <c r="F5" i="9"/>
  <c r="I4" i="9"/>
  <c r="F4" i="9"/>
  <c r="I3" i="9"/>
  <c r="F3" i="9"/>
  <c r="I2" i="9"/>
  <c r="F2" i="9"/>
  <c r="U64" i="5" s="1"/>
  <c r="I235" i="8"/>
  <c r="F235" i="8"/>
  <c r="I234" i="8"/>
  <c r="F234" i="8"/>
  <c r="I233" i="8"/>
  <c r="F233" i="8"/>
  <c r="I232" i="8"/>
  <c r="F232" i="8"/>
  <c r="I231" i="8"/>
  <c r="F231" i="8"/>
  <c r="I230" i="8"/>
  <c r="F230" i="8"/>
  <c r="I229" i="8"/>
  <c r="F229" i="8"/>
  <c r="I228" i="8"/>
  <c r="F228" i="8"/>
  <c r="I227" i="8"/>
  <c r="F227" i="8"/>
  <c r="I226" i="8"/>
  <c r="F226" i="8"/>
  <c r="I225" i="8"/>
  <c r="F225" i="8"/>
  <c r="I224" i="8"/>
  <c r="F224" i="8"/>
  <c r="I223" i="8"/>
  <c r="F223" i="8"/>
  <c r="I222" i="8"/>
  <c r="F222" i="8"/>
  <c r="I221" i="8"/>
  <c r="F221" i="8"/>
  <c r="I220" i="8"/>
  <c r="F220" i="8"/>
  <c r="I219" i="8"/>
  <c r="F219" i="8"/>
  <c r="I218" i="8"/>
  <c r="F218" i="8"/>
  <c r="I217" i="8"/>
  <c r="F217" i="8"/>
  <c r="I216" i="8"/>
  <c r="F216" i="8"/>
  <c r="I215" i="8"/>
  <c r="F215" i="8"/>
  <c r="I214" i="8"/>
  <c r="F214" i="8"/>
  <c r="I213" i="8"/>
  <c r="F213" i="8"/>
  <c r="I212" i="8"/>
  <c r="F212" i="8"/>
  <c r="I211" i="8"/>
  <c r="F211" i="8"/>
  <c r="I210" i="8"/>
  <c r="F210" i="8"/>
  <c r="I209" i="8"/>
  <c r="F209" i="8"/>
  <c r="I208" i="8"/>
  <c r="F208" i="8"/>
  <c r="I207" i="8"/>
  <c r="F207" i="8"/>
  <c r="I206" i="8"/>
  <c r="F206" i="8"/>
  <c r="I205" i="8"/>
  <c r="F205" i="8"/>
  <c r="I204" i="8"/>
  <c r="F204" i="8"/>
  <c r="I203" i="8"/>
  <c r="F203" i="8"/>
  <c r="I202" i="8"/>
  <c r="F202" i="8"/>
  <c r="I201" i="8"/>
  <c r="F201" i="8"/>
  <c r="I200" i="8"/>
  <c r="F200" i="8"/>
  <c r="I199" i="8"/>
  <c r="F199" i="8"/>
  <c r="I198" i="8"/>
  <c r="F198" i="8"/>
  <c r="I197" i="8"/>
  <c r="F197" i="8"/>
  <c r="I196" i="8"/>
  <c r="F196" i="8"/>
  <c r="I195" i="8"/>
  <c r="F195" i="8"/>
  <c r="I194" i="8"/>
  <c r="F194" i="8"/>
  <c r="I193" i="8"/>
  <c r="F193" i="8"/>
  <c r="I192" i="8"/>
  <c r="F192" i="8"/>
  <c r="I191" i="8"/>
  <c r="F191" i="8"/>
  <c r="I190" i="8"/>
  <c r="F190" i="8"/>
  <c r="I189" i="8"/>
  <c r="F189" i="8"/>
  <c r="I188" i="8"/>
  <c r="F188" i="8"/>
  <c r="I187" i="8"/>
  <c r="F187" i="8"/>
  <c r="I186" i="8"/>
  <c r="F186" i="8"/>
  <c r="I185" i="8"/>
  <c r="F185" i="8"/>
  <c r="I184" i="8"/>
  <c r="F184" i="8"/>
  <c r="I183" i="8"/>
  <c r="F183" i="8"/>
  <c r="I182" i="8"/>
  <c r="F182" i="8"/>
  <c r="I181" i="8"/>
  <c r="F181" i="8"/>
  <c r="I180" i="8"/>
  <c r="F180" i="8"/>
  <c r="I179" i="8"/>
  <c r="F179" i="8"/>
  <c r="I178" i="8"/>
  <c r="F178" i="8"/>
  <c r="I177" i="8"/>
  <c r="F177" i="8"/>
  <c r="I176" i="8"/>
  <c r="F176" i="8"/>
  <c r="I175" i="8"/>
  <c r="F175" i="8"/>
  <c r="I174" i="8"/>
  <c r="F174" i="8"/>
  <c r="I173" i="8"/>
  <c r="F173" i="8"/>
  <c r="I172" i="8"/>
  <c r="F172" i="8"/>
  <c r="I171" i="8"/>
  <c r="F171" i="8"/>
  <c r="I170" i="8"/>
  <c r="F170" i="8"/>
  <c r="I169" i="8"/>
  <c r="F169" i="8"/>
  <c r="I168" i="8"/>
  <c r="F168" i="8"/>
  <c r="I167" i="8"/>
  <c r="F167" i="8"/>
  <c r="I166" i="8"/>
  <c r="F166" i="8"/>
  <c r="I165" i="8"/>
  <c r="F165" i="8"/>
  <c r="I164" i="8"/>
  <c r="F164" i="8"/>
  <c r="I163" i="8"/>
  <c r="F163" i="8"/>
  <c r="I162" i="8"/>
  <c r="F162" i="8"/>
  <c r="I161" i="8"/>
  <c r="F161" i="8"/>
  <c r="I160" i="8"/>
  <c r="F160" i="8"/>
  <c r="I159" i="8"/>
  <c r="F159" i="8"/>
  <c r="I158" i="8"/>
  <c r="F158" i="8"/>
  <c r="I157" i="8"/>
  <c r="F157" i="8"/>
  <c r="I156" i="8"/>
  <c r="F156" i="8"/>
  <c r="I155" i="8"/>
  <c r="F155" i="8"/>
  <c r="I154" i="8"/>
  <c r="F154" i="8"/>
  <c r="I153" i="8"/>
  <c r="F153" i="8"/>
  <c r="I152" i="8"/>
  <c r="F152" i="8"/>
  <c r="I151" i="8"/>
  <c r="F151" i="8"/>
  <c r="I150" i="8"/>
  <c r="F150" i="8"/>
  <c r="I149" i="8"/>
  <c r="F149" i="8"/>
  <c r="I148" i="8"/>
  <c r="F148" i="8"/>
  <c r="I147" i="8"/>
  <c r="F147" i="8"/>
  <c r="I146" i="8"/>
  <c r="F146" i="8"/>
  <c r="I145" i="8"/>
  <c r="F145" i="8"/>
  <c r="I144" i="8"/>
  <c r="F144" i="8"/>
  <c r="I143" i="8"/>
  <c r="F143" i="8"/>
  <c r="I142" i="8"/>
  <c r="F142" i="8"/>
  <c r="I141" i="8"/>
  <c r="F141" i="8"/>
  <c r="I140" i="8"/>
  <c r="F140" i="8"/>
  <c r="I139" i="8"/>
  <c r="F139" i="8"/>
  <c r="I138" i="8"/>
  <c r="F138" i="8"/>
  <c r="I137" i="8"/>
  <c r="F137" i="8"/>
  <c r="I136" i="8"/>
  <c r="F136" i="8"/>
  <c r="I135" i="8"/>
  <c r="F135" i="8"/>
  <c r="I134" i="8"/>
  <c r="F134" i="8"/>
  <c r="I133" i="8"/>
  <c r="F133" i="8"/>
  <c r="I132" i="8"/>
  <c r="F132" i="8"/>
  <c r="I131" i="8"/>
  <c r="F131" i="8"/>
  <c r="I130" i="8"/>
  <c r="F130" i="8"/>
  <c r="I129" i="8"/>
  <c r="F129" i="8"/>
  <c r="I128" i="8"/>
  <c r="F128" i="8"/>
  <c r="I127" i="8"/>
  <c r="F127" i="8"/>
  <c r="I126" i="8"/>
  <c r="F126" i="8"/>
  <c r="I125" i="8"/>
  <c r="F125" i="8"/>
  <c r="I124" i="8"/>
  <c r="F124" i="8"/>
  <c r="I123" i="8"/>
  <c r="F123" i="8"/>
  <c r="I122" i="8"/>
  <c r="F122" i="8"/>
  <c r="I121" i="8"/>
  <c r="F121" i="8"/>
  <c r="I120" i="8"/>
  <c r="F120" i="8"/>
  <c r="I119" i="8"/>
  <c r="F119" i="8"/>
  <c r="I118" i="8"/>
  <c r="F118" i="8"/>
  <c r="I117" i="8"/>
  <c r="F117" i="8"/>
  <c r="I116" i="8"/>
  <c r="F116" i="8"/>
  <c r="I115" i="8"/>
  <c r="F115" i="8"/>
  <c r="I114" i="8"/>
  <c r="F114" i="8"/>
  <c r="I113" i="8"/>
  <c r="F113" i="8"/>
  <c r="I112" i="8"/>
  <c r="F112" i="8"/>
  <c r="I111" i="8"/>
  <c r="F111" i="8"/>
  <c r="I110" i="8"/>
  <c r="F110" i="8"/>
  <c r="I109" i="8"/>
  <c r="F109" i="8"/>
  <c r="I108" i="8"/>
  <c r="F108" i="8"/>
  <c r="I107" i="8"/>
  <c r="F107" i="8"/>
  <c r="I106" i="8"/>
  <c r="F106" i="8"/>
  <c r="I105" i="8"/>
  <c r="F105" i="8"/>
  <c r="I104" i="8"/>
  <c r="F104" i="8"/>
  <c r="I103" i="8"/>
  <c r="F103" i="8"/>
  <c r="I102" i="8"/>
  <c r="F102" i="8"/>
  <c r="I101" i="8"/>
  <c r="F101" i="8"/>
  <c r="I100" i="8"/>
  <c r="F100" i="8"/>
  <c r="I99" i="8"/>
  <c r="F99" i="8"/>
  <c r="I98" i="8"/>
  <c r="F98" i="8"/>
  <c r="I97" i="8"/>
  <c r="F97" i="8"/>
  <c r="I96" i="8"/>
  <c r="F96" i="8"/>
  <c r="I95" i="8"/>
  <c r="F95" i="8"/>
  <c r="I94" i="8"/>
  <c r="F94" i="8"/>
  <c r="I93" i="8"/>
  <c r="F93" i="8"/>
  <c r="I92" i="8"/>
  <c r="F92" i="8"/>
  <c r="I91" i="8"/>
  <c r="F91" i="8"/>
  <c r="I90" i="8"/>
  <c r="F90" i="8"/>
  <c r="I89" i="8"/>
  <c r="F89" i="8"/>
  <c r="F88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I263" i="7"/>
  <c r="F263" i="7"/>
  <c r="I262" i="7"/>
  <c r="F262" i="7"/>
  <c r="I261" i="7"/>
  <c r="F261" i="7"/>
  <c r="I260" i="7"/>
  <c r="F260" i="7"/>
  <c r="I259" i="7"/>
  <c r="F259" i="7"/>
  <c r="I258" i="7"/>
  <c r="F258" i="7"/>
  <c r="I257" i="7"/>
  <c r="F257" i="7"/>
  <c r="I256" i="7"/>
  <c r="F256" i="7"/>
  <c r="I255" i="7"/>
  <c r="F255" i="7"/>
  <c r="I254" i="7"/>
  <c r="F254" i="7"/>
  <c r="I253" i="7"/>
  <c r="F253" i="7"/>
  <c r="I252" i="7"/>
  <c r="F252" i="7"/>
  <c r="I251" i="7"/>
  <c r="F251" i="7"/>
  <c r="I250" i="7"/>
  <c r="F250" i="7"/>
  <c r="I249" i="7"/>
  <c r="F249" i="7"/>
  <c r="I248" i="7"/>
  <c r="F248" i="7"/>
  <c r="I247" i="7"/>
  <c r="F247" i="7"/>
  <c r="I246" i="7"/>
  <c r="F246" i="7"/>
  <c r="I245" i="7"/>
  <c r="F245" i="7"/>
  <c r="I244" i="7"/>
  <c r="F244" i="7"/>
  <c r="I243" i="7"/>
  <c r="F243" i="7"/>
  <c r="I242" i="7"/>
  <c r="F242" i="7"/>
  <c r="I241" i="7"/>
  <c r="F241" i="7"/>
  <c r="I240" i="7"/>
  <c r="F240" i="7"/>
  <c r="I239" i="7"/>
  <c r="F239" i="7"/>
  <c r="I238" i="7"/>
  <c r="F238" i="7"/>
  <c r="I237" i="7"/>
  <c r="F237" i="7"/>
  <c r="I236" i="7"/>
  <c r="F236" i="7"/>
  <c r="I235" i="7"/>
  <c r="F235" i="7"/>
  <c r="I234" i="7"/>
  <c r="F234" i="7"/>
  <c r="I233" i="7"/>
  <c r="F233" i="7"/>
  <c r="I232" i="7"/>
  <c r="F232" i="7"/>
  <c r="I231" i="7"/>
  <c r="F231" i="7"/>
  <c r="I230" i="7"/>
  <c r="F230" i="7"/>
  <c r="I229" i="7"/>
  <c r="F229" i="7"/>
  <c r="I228" i="7"/>
  <c r="F228" i="7"/>
  <c r="I227" i="7"/>
  <c r="F227" i="7"/>
  <c r="I226" i="7"/>
  <c r="F226" i="7"/>
  <c r="I225" i="7"/>
  <c r="F225" i="7"/>
  <c r="I224" i="7"/>
  <c r="F224" i="7"/>
  <c r="I223" i="7"/>
  <c r="F223" i="7"/>
  <c r="I222" i="7"/>
  <c r="F222" i="7"/>
  <c r="I221" i="7"/>
  <c r="F221" i="7"/>
  <c r="I220" i="7"/>
  <c r="F220" i="7"/>
  <c r="I219" i="7"/>
  <c r="F219" i="7"/>
  <c r="I218" i="7"/>
  <c r="F218" i="7"/>
  <c r="I217" i="7"/>
  <c r="F217" i="7"/>
  <c r="I216" i="7"/>
  <c r="F216" i="7"/>
  <c r="I215" i="7"/>
  <c r="F215" i="7"/>
  <c r="I214" i="7"/>
  <c r="F214" i="7"/>
  <c r="I213" i="7"/>
  <c r="F213" i="7"/>
  <c r="I212" i="7"/>
  <c r="F212" i="7"/>
  <c r="I211" i="7"/>
  <c r="F211" i="7"/>
  <c r="I210" i="7"/>
  <c r="F210" i="7"/>
  <c r="I209" i="7"/>
  <c r="F209" i="7"/>
  <c r="I208" i="7"/>
  <c r="F208" i="7"/>
  <c r="I207" i="7"/>
  <c r="F207" i="7"/>
  <c r="I206" i="7"/>
  <c r="F206" i="7"/>
  <c r="I205" i="7"/>
  <c r="F205" i="7"/>
  <c r="I204" i="7"/>
  <c r="F204" i="7"/>
  <c r="I203" i="7"/>
  <c r="F203" i="7"/>
  <c r="I202" i="7"/>
  <c r="F202" i="7"/>
  <c r="I201" i="7"/>
  <c r="F201" i="7"/>
  <c r="I200" i="7"/>
  <c r="F200" i="7"/>
  <c r="I199" i="7"/>
  <c r="F199" i="7"/>
  <c r="I198" i="7"/>
  <c r="F198" i="7"/>
  <c r="I197" i="7"/>
  <c r="F197" i="7"/>
  <c r="I196" i="7"/>
  <c r="F196" i="7"/>
  <c r="I195" i="7"/>
  <c r="F195" i="7"/>
  <c r="I194" i="7"/>
  <c r="F194" i="7"/>
  <c r="I193" i="7"/>
  <c r="F193" i="7"/>
  <c r="I192" i="7"/>
  <c r="F192" i="7"/>
  <c r="I191" i="7"/>
  <c r="F191" i="7"/>
  <c r="I190" i="7"/>
  <c r="F190" i="7"/>
  <c r="I189" i="7"/>
  <c r="F189" i="7"/>
  <c r="I188" i="7"/>
  <c r="F188" i="7"/>
  <c r="I187" i="7"/>
  <c r="F187" i="7"/>
  <c r="I186" i="7"/>
  <c r="F186" i="7"/>
  <c r="I185" i="7"/>
  <c r="F185" i="7"/>
  <c r="I184" i="7"/>
  <c r="F184" i="7"/>
  <c r="I183" i="7"/>
  <c r="F183" i="7"/>
  <c r="I182" i="7"/>
  <c r="F182" i="7"/>
  <c r="I181" i="7"/>
  <c r="F181" i="7"/>
  <c r="I180" i="7"/>
  <c r="F180" i="7"/>
  <c r="I179" i="7"/>
  <c r="F179" i="7"/>
  <c r="I178" i="7"/>
  <c r="F178" i="7"/>
  <c r="I177" i="7"/>
  <c r="F177" i="7"/>
  <c r="I176" i="7"/>
  <c r="F176" i="7"/>
  <c r="I175" i="7"/>
  <c r="F175" i="7"/>
  <c r="I174" i="7"/>
  <c r="F174" i="7"/>
  <c r="I173" i="7"/>
  <c r="F173" i="7"/>
  <c r="I172" i="7"/>
  <c r="F172" i="7"/>
  <c r="I171" i="7"/>
  <c r="F171" i="7"/>
  <c r="I170" i="7"/>
  <c r="F170" i="7"/>
  <c r="I169" i="7"/>
  <c r="F169" i="7"/>
  <c r="I168" i="7"/>
  <c r="F168" i="7"/>
  <c r="I167" i="7"/>
  <c r="F167" i="7"/>
  <c r="I166" i="7"/>
  <c r="F166" i="7"/>
  <c r="I165" i="7"/>
  <c r="F165" i="7"/>
  <c r="I164" i="7"/>
  <c r="F164" i="7"/>
  <c r="I163" i="7"/>
  <c r="F163" i="7"/>
  <c r="I162" i="7"/>
  <c r="F162" i="7"/>
  <c r="I161" i="7"/>
  <c r="F161" i="7"/>
  <c r="I160" i="7"/>
  <c r="F160" i="7"/>
  <c r="I159" i="7"/>
  <c r="F159" i="7"/>
  <c r="I158" i="7"/>
  <c r="F158" i="7"/>
  <c r="I157" i="7"/>
  <c r="F157" i="7"/>
  <c r="I156" i="7"/>
  <c r="F156" i="7"/>
  <c r="I155" i="7"/>
  <c r="F155" i="7"/>
  <c r="I154" i="7"/>
  <c r="F154" i="7"/>
  <c r="I153" i="7"/>
  <c r="F153" i="7"/>
  <c r="I152" i="7"/>
  <c r="F152" i="7"/>
  <c r="I151" i="7"/>
  <c r="F151" i="7"/>
  <c r="F150" i="7"/>
  <c r="I149" i="7"/>
  <c r="F149" i="7"/>
  <c r="I148" i="7"/>
  <c r="F148" i="7"/>
  <c r="I147" i="7"/>
  <c r="F147" i="7"/>
  <c r="I146" i="7"/>
  <c r="F146" i="7"/>
  <c r="I145" i="7"/>
  <c r="F145" i="7"/>
  <c r="I144" i="7"/>
  <c r="F144" i="7"/>
  <c r="I143" i="7"/>
  <c r="F143" i="7"/>
  <c r="I142" i="7"/>
  <c r="F142" i="7"/>
  <c r="I141" i="7"/>
  <c r="F141" i="7"/>
  <c r="I140" i="7"/>
  <c r="F140" i="7"/>
  <c r="I139" i="7"/>
  <c r="F139" i="7"/>
  <c r="I138" i="7"/>
  <c r="F138" i="7"/>
  <c r="I137" i="7"/>
  <c r="F137" i="7"/>
  <c r="I136" i="7"/>
  <c r="F136" i="7"/>
  <c r="I135" i="7"/>
  <c r="F135" i="7"/>
  <c r="I134" i="7"/>
  <c r="F134" i="7"/>
  <c r="I133" i="7"/>
  <c r="F133" i="7"/>
  <c r="I132" i="7"/>
  <c r="F132" i="7"/>
  <c r="I131" i="7"/>
  <c r="F131" i="7"/>
  <c r="I130" i="7"/>
  <c r="F130" i="7"/>
  <c r="I129" i="7"/>
  <c r="F129" i="7"/>
  <c r="I128" i="7"/>
  <c r="F128" i="7"/>
  <c r="I127" i="7"/>
  <c r="F127" i="7"/>
  <c r="I126" i="7"/>
  <c r="F126" i="7"/>
  <c r="I125" i="7"/>
  <c r="F125" i="7"/>
  <c r="I124" i="7"/>
  <c r="F124" i="7"/>
  <c r="I123" i="7"/>
  <c r="F123" i="7"/>
  <c r="I122" i="7"/>
  <c r="F122" i="7"/>
  <c r="I121" i="7"/>
  <c r="F121" i="7"/>
  <c r="I120" i="7"/>
  <c r="F120" i="7"/>
  <c r="I119" i="7"/>
  <c r="F119" i="7"/>
  <c r="I118" i="7"/>
  <c r="F118" i="7"/>
  <c r="I117" i="7"/>
  <c r="F117" i="7"/>
  <c r="I116" i="7"/>
  <c r="F116" i="7"/>
  <c r="I115" i="7"/>
  <c r="F115" i="7"/>
  <c r="I114" i="7"/>
  <c r="F114" i="7"/>
  <c r="I113" i="7"/>
  <c r="F113" i="7"/>
  <c r="I112" i="7"/>
  <c r="F112" i="7"/>
  <c r="I111" i="7"/>
  <c r="F111" i="7"/>
  <c r="I110" i="7"/>
  <c r="F110" i="7"/>
  <c r="I109" i="7"/>
  <c r="F109" i="7"/>
  <c r="I108" i="7"/>
  <c r="F108" i="7"/>
  <c r="I107" i="7"/>
  <c r="F107" i="7"/>
  <c r="I106" i="7"/>
  <c r="F106" i="7"/>
  <c r="I105" i="7"/>
  <c r="F105" i="7"/>
  <c r="I104" i="7"/>
  <c r="F104" i="7"/>
  <c r="I103" i="7"/>
  <c r="F103" i="7"/>
  <c r="I102" i="7"/>
  <c r="F102" i="7"/>
  <c r="I101" i="7"/>
  <c r="F101" i="7"/>
  <c r="I100" i="7"/>
  <c r="F100" i="7"/>
  <c r="I99" i="7"/>
  <c r="F99" i="7"/>
  <c r="I98" i="7"/>
  <c r="F98" i="7"/>
  <c r="I97" i="7"/>
  <c r="F97" i="7"/>
  <c r="I96" i="7"/>
  <c r="F96" i="7"/>
  <c r="I95" i="7"/>
  <c r="F95" i="7"/>
  <c r="I94" i="7"/>
  <c r="F94" i="7"/>
  <c r="I93" i="7"/>
  <c r="F93" i="7"/>
  <c r="I92" i="7"/>
  <c r="F92" i="7"/>
  <c r="I91" i="7"/>
  <c r="F91" i="7"/>
  <c r="I90" i="7"/>
  <c r="F90" i="7"/>
  <c r="I89" i="7"/>
  <c r="F89" i="7"/>
  <c r="I88" i="7"/>
  <c r="F88" i="7"/>
  <c r="I87" i="7"/>
  <c r="F87" i="7"/>
  <c r="I86" i="7"/>
  <c r="F86" i="7"/>
  <c r="I85" i="7"/>
  <c r="F85" i="7"/>
  <c r="I84" i="7"/>
  <c r="F84" i="7"/>
  <c r="I83" i="7"/>
  <c r="F83" i="7"/>
  <c r="I82" i="7"/>
  <c r="F82" i="7"/>
  <c r="I81" i="7"/>
  <c r="F81" i="7"/>
  <c r="I80" i="7"/>
  <c r="F80" i="7"/>
  <c r="I79" i="7"/>
  <c r="F79" i="7"/>
  <c r="I78" i="7"/>
  <c r="F78" i="7"/>
  <c r="I77" i="7"/>
  <c r="F77" i="7"/>
  <c r="I76" i="7"/>
  <c r="F76" i="7"/>
  <c r="I75" i="7"/>
  <c r="F75" i="7"/>
  <c r="I74" i="7"/>
  <c r="F74" i="7"/>
  <c r="I73" i="7"/>
  <c r="F73" i="7"/>
  <c r="I72" i="7"/>
  <c r="F72" i="7"/>
  <c r="I71" i="7"/>
  <c r="F71" i="7"/>
  <c r="I70" i="7"/>
  <c r="F70" i="7"/>
  <c r="I69" i="7"/>
  <c r="F69" i="7"/>
  <c r="I68" i="7"/>
  <c r="F68" i="7"/>
  <c r="I67" i="7"/>
  <c r="F67" i="7"/>
  <c r="I66" i="7"/>
  <c r="F66" i="7"/>
  <c r="I65" i="7"/>
  <c r="F65" i="7"/>
  <c r="I64" i="7"/>
  <c r="F64" i="7"/>
  <c r="I63" i="7"/>
  <c r="F63" i="7"/>
  <c r="I62" i="7"/>
  <c r="F62" i="7"/>
  <c r="I61" i="7"/>
  <c r="F61" i="7"/>
  <c r="I60" i="7"/>
  <c r="F60" i="7"/>
  <c r="I59" i="7"/>
  <c r="F59" i="7"/>
  <c r="I58" i="7"/>
  <c r="F58" i="7"/>
  <c r="I57" i="7"/>
  <c r="F57" i="7"/>
  <c r="I56" i="7"/>
  <c r="F56" i="7"/>
  <c r="I55" i="7"/>
  <c r="F55" i="7"/>
  <c r="I54" i="7"/>
  <c r="F54" i="7"/>
  <c r="I53" i="7"/>
  <c r="F53" i="7"/>
  <c r="I52" i="7"/>
  <c r="F52" i="7"/>
  <c r="I51" i="7"/>
  <c r="F51" i="7"/>
  <c r="I50" i="7"/>
  <c r="F50" i="7"/>
  <c r="I49" i="7"/>
  <c r="F49" i="7"/>
  <c r="I48" i="7"/>
  <c r="F48" i="7"/>
  <c r="I47" i="7"/>
  <c r="F47" i="7"/>
  <c r="I46" i="7"/>
  <c r="F46" i="7"/>
  <c r="I45" i="7"/>
  <c r="F45" i="7"/>
  <c r="I44" i="7"/>
  <c r="F44" i="7"/>
  <c r="I43" i="7"/>
  <c r="F43" i="7"/>
  <c r="I42" i="7"/>
  <c r="F42" i="7"/>
  <c r="I41" i="7"/>
  <c r="F41" i="7"/>
  <c r="I40" i="7"/>
  <c r="F40" i="7"/>
  <c r="I39" i="7"/>
  <c r="F39" i="7"/>
  <c r="I38" i="7"/>
  <c r="F38" i="7"/>
  <c r="I37" i="7"/>
  <c r="F37" i="7"/>
  <c r="I36" i="7"/>
  <c r="F36" i="7"/>
  <c r="I35" i="7"/>
  <c r="F35" i="7"/>
  <c r="I34" i="7"/>
  <c r="F34" i="7"/>
  <c r="I33" i="7"/>
  <c r="F33" i="7"/>
  <c r="I32" i="7"/>
  <c r="F32" i="7"/>
  <c r="I31" i="7"/>
  <c r="F31" i="7"/>
  <c r="I30" i="7"/>
  <c r="F30" i="7"/>
  <c r="I29" i="7"/>
  <c r="F29" i="7"/>
  <c r="I28" i="7"/>
  <c r="F28" i="7"/>
  <c r="I27" i="7"/>
  <c r="F27" i="7"/>
  <c r="I26" i="7"/>
  <c r="F26" i="7"/>
  <c r="I25" i="7"/>
  <c r="F25" i="7"/>
  <c r="I24" i="7"/>
  <c r="F24" i="7"/>
  <c r="I23" i="7"/>
  <c r="F23" i="7"/>
  <c r="I22" i="7"/>
  <c r="F22" i="7"/>
  <c r="I21" i="7"/>
  <c r="F21" i="7"/>
  <c r="I20" i="7"/>
  <c r="F20" i="7"/>
  <c r="I19" i="7"/>
  <c r="F19" i="7"/>
  <c r="I18" i="7"/>
  <c r="F18" i="7"/>
  <c r="I17" i="7"/>
  <c r="F17" i="7"/>
  <c r="I16" i="7"/>
  <c r="F16" i="7"/>
  <c r="I15" i="7"/>
  <c r="F15" i="7"/>
  <c r="I14" i="7"/>
  <c r="F14" i="7"/>
  <c r="I13" i="7"/>
  <c r="F13" i="7"/>
  <c r="I12" i="7"/>
  <c r="F12" i="7"/>
  <c r="I11" i="7"/>
  <c r="F11" i="7"/>
  <c r="I10" i="7"/>
  <c r="F10" i="7"/>
  <c r="I9" i="7"/>
  <c r="F9" i="7"/>
  <c r="I8" i="7"/>
  <c r="F8" i="7"/>
  <c r="I7" i="7"/>
  <c r="F7" i="7"/>
  <c r="I6" i="7"/>
  <c r="F6" i="7"/>
  <c r="I5" i="7"/>
  <c r="F5" i="7"/>
  <c r="I4" i="7"/>
  <c r="F4" i="7"/>
  <c r="I3" i="7"/>
  <c r="F3" i="7"/>
  <c r="I2" i="7"/>
  <c r="F2" i="7"/>
  <c r="AB113" i="5"/>
  <c r="AA113" i="5"/>
  <c r="Z113" i="5"/>
  <c r="Y113" i="5"/>
  <c r="X113" i="5"/>
  <c r="O113" i="5"/>
  <c r="AB92" i="5"/>
  <c r="AA92" i="5"/>
  <c r="Z92" i="5"/>
  <c r="Y92" i="5"/>
  <c r="X92" i="5"/>
  <c r="O92" i="5"/>
  <c r="AB81" i="5"/>
  <c r="AA81" i="5"/>
  <c r="Z81" i="5"/>
  <c r="Y81" i="5"/>
  <c r="X81" i="5"/>
  <c r="O81" i="5"/>
  <c r="AB67" i="5"/>
  <c r="AA67" i="5"/>
  <c r="Z67" i="5"/>
  <c r="Y67" i="5"/>
  <c r="X67" i="5"/>
  <c r="O67" i="5"/>
  <c r="G2" i="5"/>
  <c r="U62" i="5" l="1"/>
  <c r="T64" i="5"/>
  <c r="R64" i="5"/>
  <c r="W64" i="5"/>
  <c r="Q64" i="5"/>
  <c r="V64" i="5"/>
  <c r="S64" i="5"/>
  <c r="T62" i="5"/>
  <c r="W62" i="5"/>
  <c r="Q62" i="5"/>
  <c r="R62" i="5"/>
  <c r="V62" i="5"/>
  <c r="S62" i="5"/>
  <c r="W65" i="5"/>
  <c r="V65" i="5"/>
  <c r="AB114" i="5"/>
  <c r="Z114" i="5"/>
  <c r="AA114" i="5"/>
  <c r="O114" i="5"/>
  <c r="X114" i="5"/>
  <c r="R16" i="5"/>
  <c r="W84" i="5"/>
  <c r="V12" i="5"/>
  <c r="W57" i="5"/>
  <c r="Q80" i="5"/>
  <c r="R30" i="5"/>
  <c r="T96" i="5"/>
  <c r="Y114" i="5"/>
  <c r="R69" i="5"/>
  <c r="W112" i="5"/>
  <c r="P112" i="5" s="1"/>
  <c r="W99" i="5"/>
  <c r="U68" i="5"/>
  <c r="U107" i="5"/>
  <c r="U88" i="5"/>
  <c r="U80" i="5"/>
  <c r="U23" i="5"/>
  <c r="U102" i="5"/>
  <c r="U95" i="5"/>
  <c r="U90" i="5"/>
  <c r="U83" i="5"/>
  <c r="U58" i="5"/>
  <c r="U51" i="5"/>
  <c r="U32" i="5"/>
  <c r="U25" i="5"/>
  <c r="U17" i="5"/>
  <c r="U37" i="5"/>
  <c r="U73" i="5"/>
  <c r="U34" i="5"/>
  <c r="U100" i="5"/>
  <c r="U93" i="5"/>
  <c r="U56" i="5"/>
  <c r="U49" i="5"/>
  <c r="U30" i="5"/>
  <c r="U69" i="5"/>
  <c r="U103" i="5"/>
  <c r="U72" i="5"/>
  <c r="U87" i="5"/>
  <c r="U60" i="5"/>
  <c r="U27" i="5"/>
  <c r="U63" i="5"/>
  <c r="U26" i="5"/>
  <c r="U50" i="5"/>
  <c r="U110" i="5"/>
  <c r="U105" i="5"/>
  <c r="U71" i="5"/>
  <c r="U57" i="5"/>
  <c r="U54" i="5"/>
  <c r="U36" i="5"/>
  <c r="U24" i="5"/>
  <c r="U20" i="5"/>
  <c r="U15" i="5"/>
  <c r="U79" i="5"/>
  <c r="U29" i="5"/>
  <c r="U59" i="5"/>
  <c r="U35" i="5"/>
  <c r="U39" i="5"/>
  <c r="U22" i="5"/>
  <c r="U82" i="5"/>
  <c r="U47" i="5"/>
  <c r="U38" i="5"/>
  <c r="U61" i="5"/>
  <c r="U77" i="5"/>
  <c r="U98" i="5"/>
  <c r="U101" i="5"/>
  <c r="U19" i="5"/>
  <c r="U106" i="5"/>
  <c r="U16" i="5"/>
  <c r="U86" i="5"/>
  <c r="U48" i="5"/>
  <c r="U94" i="5"/>
  <c r="U53" i="5"/>
  <c r="U14" i="5"/>
  <c r="U108" i="5"/>
  <c r="U89" i="5"/>
  <c r="U74" i="5"/>
  <c r="U97" i="5"/>
  <c r="U91" i="5"/>
  <c r="U104" i="5"/>
  <c r="U78" i="5"/>
  <c r="U11" i="5"/>
  <c r="U31" i="5"/>
  <c r="U21" i="5"/>
  <c r="U96" i="5"/>
  <c r="U70" i="5"/>
  <c r="U28" i="5"/>
  <c r="U85" i="5"/>
  <c r="U33" i="5"/>
  <c r="U55" i="5"/>
  <c r="S11" i="5"/>
  <c r="S68" i="5"/>
  <c r="S95" i="5"/>
  <c r="S32" i="5"/>
  <c r="S60" i="5"/>
  <c r="S53" i="5"/>
  <c r="S27" i="5"/>
  <c r="S19" i="5"/>
  <c r="S102" i="5"/>
  <c r="S90" i="5"/>
  <c r="S51" i="5"/>
  <c r="S83" i="5"/>
  <c r="S25" i="5"/>
  <c r="S58" i="5"/>
  <c r="S110" i="5"/>
  <c r="S71" i="5"/>
  <c r="S105" i="5"/>
  <c r="S96" i="5"/>
  <c r="S52" i="5"/>
  <c r="S49" i="5"/>
  <c r="S18" i="5"/>
  <c r="S12" i="5"/>
  <c r="S87" i="5"/>
  <c r="S57" i="5"/>
  <c r="S20" i="5"/>
  <c r="S15" i="5"/>
  <c r="S79" i="5"/>
  <c r="S80" i="5"/>
  <c r="S99" i="5"/>
  <c r="S84" i="5"/>
  <c r="S24" i="5"/>
  <c r="S54" i="5"/>
  <c r="S29" i="5"/>
  <c r="S17" i="5"/>
  <c r="S100" i="5"/>
  <c r="S98" i="5"/>
  <c r="S101" i="5"/>
  <c r="S86" i="5"/>
  <c r="S47" i="5"/>
  <c r="S89" i="5"/>
  <c r="S63" i="5"/>
  <c r="S59" i="5"/>
  <c r="S56" i="5"/>
  <c r="S26" i="5"/>
  <c r="S48" i="5"/>
  <c r="S107" i="5"/>
  <c r="S94" i="5"/>
  <c r="S28" i="5"/>
  <c r="S69" i="5"/>
  <c r="S78" i="5"/>
  <c r="S73" i="5"/>
  <c r="S31" i="5"/>
  <c r="S61" i="5"/>
  <c r="S103" i="5"/>
  <c r="S88" i="5"/>
  <c r="S82" i="5"/>
  <c r="S50" i="5"/>
  <c r="S14" i="5"/>
  <c r="Q72" i="5"/>
  <c r="Q60" i="5"/>
  <c r="Q53" i="5"/>
  <c r="Q106" i="5"/>
  <c r="Q99" i="5"/>
  <c r="Q87" i="5"/>
  <c r="Q79" i="5"/>
  <c r="Q63" i="5"/>
  <c r="Q55" i="5"/>
  <c r="Q48" i="5"/>
  <c r="Q29" i="5"/>
  <c r="Q21" i="5"/>
  <c r="Q14" i="5"/>
  <c r="Q70" i="5"/>
  <c r="Q104" i="5"/>
  <c r="Q97" i="5"/>
  <c r="Q85" i="5"/>
  <c r="Q77" i="5"/>
  <c r="Q27" i="5"/>
  <c r="Q73" i="5"/>
  <c r="Q107" i="5"/>
  <c r="Q69" i="5"/>
  <c r="Q93" i="5"/>
  <c r="Q30" i="5"/>
  <c r="Q16" i="5"/>
  <c r="Q110" i="5"/>
  <c r="Q68" i="5"/>
  <c r="Q32" i="5"/>
  <c r="Q51" i="5"/>
  <c r="Q20" i="5"/>
  <c r="Q94" i="5"/>
  <c r="Q58" i="5"/>
  <c r="Q102" i="5"/>
  <c r="Q96" i="5"/>
  <c r="Q52" i="5"/>
  <c r="Q90" i="5"/>
  <c r="Q49" i="5"/>
  <c r="Q18" i="5"/>
  <c r="Q54" i="5"/>
  <c r="Q89" i="5"/>
  <c r="Q19" i="5"/>
  <c r="Q82" i="5"/>
  <c r="Q84" i="5"/>
  <c r="Q105" i="5"/>
  <c r="Q12" i="5"/>
  <c r="Q71" i="5"/>
  <c r="Q56" i="5"/>
  <c r="Q57" i="5"/>
  <c r="Q24" i="5"/>
  <c r="Q78" i="5"/>
  <c r="Q61" i="5"/>
  <c r="Q28" i="5"/>
  <c r="Q95" i="5"/>
  <c r="Q15" i="5"/>
  <c r="Q98" i="5"/>
  <c r="Q83" i="5"/>
  <c r="Q26" i="5"/>
  <c r="Q88" i="5"/>
  <c r="Q101" i="5"/>
  <c r="Q86" i="5"/>
  <c r="Q59" i="5"/>
  <c r="Q17" i="5"/>
  <c r="Q11" i="5"/>
  <c r="Q25" i="5"/>
  <c r="Q100" i="5"/>
  <c r="Q31" i="5"/>
  <c r="Q103" i="5"/>
  <c r="S30" i="5"/>
  <c r="W69" i="5"/>
  <c r="R94" i="5"/>
  <c r="U12" i="5"/>
  <c r="Q33" i="5"/>
  <c r="V60" i="5"/>
  <c r="S93" i="5"/>
  <c r="S33" i="5"/>
  <c r="W60" i="5"/>
  <c r="V15" i="5"/>
  <c r="V71" i="5"/>
  <c r="V23" i="5"/>
  <c r="V110" i="5"/>
  <c r="V96" i="5"/>
  <c r="V84" i="5"/>
  <c r="V105" i="5"/>
  <c r="V57" i="5"/>
  <c r="V54" i="5"/>
  <c r="V36" i="5"/>
  <c r="V24" i="5"/>
  <c r="V20" i="5"/>
  <c r="V75" i="5"/>
  <c r="V26" i="5"/>
  <c r="V89" i="5"/>
  <c r="V40" i="5"/>
  <c r="V97" i="5"/>
  <c r="V50" i="5"/>
  <c r="V77" i="5"/>
  <c r="V66" i="5"/>
  <c r="V98" i="5"/>
  <c r="V68" i="5"/>
  <c r="V101" i="5"/>
  <c r="V86" i="5"/>
  <c r="V59" i="5"/>
  <c r="V74" i="5"/>
  <c r="V85" i="5"/>
  <c r="V72" i="5"/>
  <c r="V11" i="5"/>
  <c r="V108" i="5"/>
  <c r="V104" i="5"/>
  <c r="V78" i="5"/>
  <c r="V82" i="5"/>
  <c r="V70" i="5"/>
  <c r="V31" i="5"/>
  <c r="V28" i="5"/>
  <c r="V19" i="5"/>
  <c r="V47" i="5"/>
  <c r="V94" i="5"/>
  <c r="V61" i="5"/>
  <c r="V53" i="5"/>
  <c r="V39" i="5"/>
  <c r="V22" i="5"/>
  <c r="V33" i="5"/>
  <c r="V52" i="5"/>
  <c r="V69" i="5"/>
  <c r="V38" i="5"/>
  <c r="V16" i="5"/>
  <c r="U99" i="5"/>
  <c r="T104" i="5"/>
  <c r="T97" i="5"/>
  <c r="T85" i="5"/>
  <c r="T77" i="5"/>
  <c r="T60" i="5"/>
  <c r="T53" i="5"/>
  <c r="T27" i="5"/>
  <c r="T19" i="5"/>
  <c r="T11" i="5"/>
  <c r="T95" i="5"/>
  <c r="T83" i="5"/>
  <c r="T58" i="5"/>
  <c r="T51" i="5"/>
  <c r="T32" i="5"/>
  <c r="T68" i="5"/>
  <c r="T102" i="5"/>
  <c r="T90" i="5"/>
  <c r="T25" i="5"/>
  <c r="T17" i="5"/>
  <c r="T73" i="5"/>
  <c r="T34" i="5"/>
  <c r="T110" i="5"/>
  <c r="T105" i="5"/>
  <c r="T98" i="5"/>
  <c r="T86" i="5"/>
  <c r="T78" i="5"/>
  <c r="T61" i="5"/>
  <c r="T101" i="5"/>
  <c r="T94" i="5"/>
  <c r="T89" i="5"/>
  <c r="T82" i="5"/>
  <c r="T57" i="5"/>
  <c r="T50" i="5"/>
  <c r="T31" i="5"/>
  <c r="T24" i="5"/>
  <c r="T16" i="5"/>
  <c r="T99" i="5"/>
  <c r="T84" i="5"/>
  <c r="T18" i="5"/>
  <c r="T12" i="5"/>
  <c r="T71" i="5"/>
  <c r="T54" i="5"/>
  <c r="T20" i="5"/>
  <c r="T15" i="5"/>
  <c r="T28" i="5"/>
  <c r="T88" i="5"/>
  <c r="T30" i="5"/>
  <c r="T106" i="5"/>
  <c r="T87" i="5"/>
  <c r="T79" i="5"/>
  <c r="T70" i="5"/>
  <c r="T33" i="5"/>
  <c r="T29" i="5"/>
  <c r="T59" i="5"/>
  <c r="T26" i="5"/>
  <c r="T63" i="5"/>
  <c r="T56" i="5"/>
  <c r="T35" i="5"/>
  <c r="T80" i="5"/>
  <c r="T108" i="5"/>
  <c r="T48" i="5"/>
  <c r="T69" i="5"/>
  <c r="T107" i="5"/>
  <c r="T103" i="5"/>
  <c r="T14" i="5"/>
  <c r="T100" i="5"/>
  <c r="T72" i="5"/>
  <c r="T47" i="5"/>
  <c r="T93" i="5"/>
  <c r="W36" i="5"/>
  <c r="W97" i="5"/>
  <c r="Q47" i="5"/>
  <c r="R47" i="5"/>
  <c r="S21" i="5"/>
  <c r="T49" i="5"/>
  <c r="T21" i="5"/>
  <c r="Q50" i="5"/>
  <c r="T52" i="5"/>
  <c r="V27" i="5"/>
  <c r="S55" i="5"/>
  <c r="S72" i="5"/>
  <c r="W26" i="5"/>
  <c r="S16" i="5"/>
  <c r="W102" i="5"/>
  <c r="U18" i="5"/>
  <c r="S106" i="5"/>
  <c r="V18" i="5"/>
  <c r="U84" i="5"/>
  <c r="W87" i="5"/>
  <c r="W24" i="5"/>
  <c r="U52" i="5"/>
  <c r="W27" i="5"/>
  <c r="T55" i="5"/>
  <c r="W21" i="5"/>
  <c r="R25" i="5"/>
  <c r="R28" i="5"/>
  <c r="W52" i="5"/>
  <c r="W55" i="5"/>
  <c r="R58" i="5"/>
  <c r="R61" i="5"/>
  <c r="W72" i="5"/>
  <c r="W77" i="5"/>
  <c r="W106" i="5"/>
  <c r="W107" i="5"/>
  <c r="R106" i="5"/>
  <c r="R99" i="5"/>
  <c r="R87" i="5"/>
  <c r="R79" i="5"/>
  <c r="R63" i="5"/>
  <c r="R55" i="5"/>
  <c r="R48" i="5"/>
  <c r="R29" i="5"/>
  <c r="R21" i="5"/>
  <c r="R14" i="5"/>
  <c r="R104" i="5"/>
  <c r="R27" i="5"/>
  <c r="R19" i="5"/>
  <c r="R68" i="5"/>
  <c r="R70" i="5"/>
  <c r="R97" i="5"/>
  <c r="R85" i="5"/>
  <c r="R77" i="5"/>
  <c r="R60" i="5"/>
  <c r="R11" i="5"/>
  <c r="R53" i="5"/>
  <c r="R107" i="5"/>
  <c r="R100" i="5"/>
  <c r="R93" i="5"/>
  <c r="R88" i="5"/>
  <c r="R80" i="5"/>
  <c r="R110" i="5"/>
  <c r="R103" i="5"/>
  <c r="R96" i="5"/>
  <c r="R84" i="5"/>
  <c r="R59" i="5"/>
  <c r="R52" i="5"/>
  <c r="R33" i="5"/>
  <c r="R26" i="5"/>
  <c r="R18" i="5"/>
  <c r="W18" i="5"/>
  <c r="W91" i="5"/>
  <c r="W85" i="5"/>
  <c r="W103" i="5"/>
  <c r="W50" i="5"/>
  <c r="R56" i="5"/>
  <c r="W82" i="5"/>
  <c r="R89" i="5"/>
  <c r="R73" i="5"/>
  <c r="W73" i="5"/>
  <c r="W34" i="5"/>
  <c r="W15" i="5"/>
  <c r="W110" i="5"/>
  <c r="W71" i="5"/>
  <c r="W98" i="5"/>
  <c r="W86" i="5"/>
  <c r="W47" i="5"/>
  <c r="W28" i="5"/>
  <c r="W100" i="5"/>
  <c r="W93" i="5"/>
  <c r="W88" i="5"/>
  <c r="W80" i="5"/>
  <c r="W56" i="5"/>
  <c r="W49" i="5"/>
  <c r="W41" i="5"/>
  <c r="W37" i="5"/>
  <c r="W30" i="5"/>
  <c r="W23" i="5"/>
  <c r="W61" i="5"/>
  <c r="W54" i="5"/>
  <c r="W105" i="5"/>
  <c r="W78" i="5"/>
  <c r="W20" i="5"/>
  <c r="W66" i="5"/>
  <c r="W108" i="5"/>
  <c r="W74" i="5"/>
  <c r="W70" i="5"/>
  <c r="W14" i="5"/>
  <c r="R17" i="5"/>
  <c r="W19" i="5"/>
  <c r="W22" i="5"/>
  <c r="W39" i="5"/>
  <c r="W53" i="5"/>
  <c r="R86" i="5"/>
  <c r="W94" i="5"/>
  <c r="R101" i="5"/>
  <c r="W25" i="5"/>
  <c r="W33" i="5"/>
  <c r="R83" i="5"/>
  <c r="R98" i="5"/>
  <c r="V111" i="5"/>
  <c r="W96" i="5"/>
  <c r="W38" i="5"/>
  <c r="R15" i="5"/>
  <c r="S70" i="5"/>
  <c r="R50" i="5"/>
  <c r="W58" i="5"/>
  <c r="W48" i="5"/>
  <c r="W83" i="5"/>
  <c r="R24" i="5"/>
  <c r="W35" i="5"/>
  <c r="W63" i="5"/>
  <c r="R82" i="5"/>
  <c r="R31" i="5"/>
  <c r="W89" i="5"/>
  <c r="W12" i="5"/>
  <c r="W11" i="5"/>
  <c r="R20" i="5"/>
  <c r="R54" i="5"/>
  <c r="W40" i="5"/>
  <c r="R32" i="5"/>
  <c r="W59" i="5"/>
  <c r="R105" i="5"/>
  <c r="W32" i="5"/>
  <c r="R49" i="5"/>
  <c r="W68" i="5"/>
  <c r="W75" i="5"/>
  <c r="W79" i="5"/>
  <c r="R90" i="5"/>
  <c r="W16" i="5"/>
  <c r="R78" i="5"/>
  <c r="W31" i="5"/>
  <c r="W17" i="5"/>
  <c r="R51" i="5"/>
  <c r="R95" i="5"/>
  <c r="W104" i="5"/>
  <c r="W51" i="5"/>
  <c r="R57" i="5"/>
  <c r="R71" i="5"/>
  <c r="W95" i="5"/>
  <c r="R12" i="5"/>
  <c r="W29" i="5"/>
  <c r="W42" i="5"/>
  <c r="P42" i="5" s="1"/>
  <c r="W101" i="5"/>
  <c r="W43" i="5"/>
  <c r="P43" i="5" s="1"/>
  <c r="R72" i="5"/>
  <c r="W76" i="5"/>
  <c r="P76" i="5" s="1"/>
  <c r="W90" i="5"/>
  <c r="R102" i="5"/>
  <c r="W111" i="5"/>
  <c r="V14" i="5"/>
  <c r="V21" i="5"/>
  <c r="V29" i="5"/>
  <c r="V35" i="5"/>
  <c r="V48" i="5"/>
  <c r="V55" i="5"/>
  <c r="V63" i="5"/>
  <c r="V79" i="5"/>
  <c r="V87" i="5"/>
  <c r="V91" i="5"/>
  <c r="V99" i="5"/>
  <c r="V106" i="5"/>
  <c r="V103" i="5"/>
  <c r="V93" i="5"/>
  <c r="V30" i="5"/>
  <c r="V41" i="5"/>
  <c r="V49" i="5"/>
  <c r="V56" i="5"/>
  <c r="V107" i="5"/>
  <c r="V34" i="5"/>
  <c r="V73" i="5"/>
  <c r="S77" i="5"/>
  <c r="S85" i="5"/>
  <c r="S97" i="5"/>
  <c r="S104" i="5"/>
  <c r="V37" i="5"/>
  <c r="V80" i="5"/>
  <c r="V88" i="5"/>
  <c r="V100" i="5"/>
  <c r="V17" i="5"/>
  <c r="V25" i="5"/>
  <c r="V32" i="5"/>
  <c r="V51" i="5"/>
  <c r="V58" i="5"/>
  <c r="V83" i="5"/>
  <c r="V90" i="5"/>
  <c r="V95" i="5"/>
  <c r="V102" i="5"/>
  <c r="P64" i="5" l="1"/>
  <c r="P62" i="5"/>
  <c r="P65" i="5"/>
  <c r="P41" i="5"/>
  <c r="P33" i="5"/>
  <c r="P105" i="5"/>
  <c r="P80" i="5"/>
  <c r="P97" i="5"/>
  <c r="P26" i="5"/>
  <c r="P91" i="5"/>
  <c r="P66" i="5"/>
  <c r="P110" i="5"/>
  <c r="S92" i="5"/>
  <c r="P38" i="5"/>
  <c r="P88" i="5"/>
  <c r="P29" i="5"/>
  <c r="P20" i="5"/>
  <c r="T92" i="5"/>
  <c r="P60" i="5"/>
  <c r="P35" i="5"/>
  <c r="P84" i="5"/>
  <c r="P51" i="5"/>
  <c r="T81" i="5"/>
  <c r="V81" i="5"/>
  <c r="P83" i="5"/>
  <c r="P82" i="5"/>
  <c r="Q92" i="5"/>
  <c r="P32" i="5"/>
  <c r="P70" i="5"/>
  <c r="S81" i="5"/>
  <c r="P36" i="5"/>
  <c r="P98" i="5"/>
  <c r="P19" i="5"/>
  <c r="P68" i="5"/>
  <c r="Q81" i="5"/>
  <c r="P14" i="5"/>
  <c r="S67" i="5"/>
  <c r="P74" i="5"/>
  <c r="P15" i="5"/>
  <c r="P31" i="5"/>
  <c r="P28" i="5"/>
  <c r="P18" i="5"/>
  <c r="P30" i="5"/>
  <c r="P48" i="5"/>
  <c r="U92" i="5"/>
  <c r="U113" i="5"/>
  <c r="P23" i="5"/>
  <c r="T113" i="5"/>
  <c r="P95" i="5"/>
  <c r="P100" i="5"/>
  <c r="P61" i="5"/>
  <c r="P49" i="5"/>
  <c r="Q113" i="5"/>
  <c r="P93" i="5"/>
  <c r="P55" i="5"/>
  <c r="P22" i="5"/>
  <c r="R113" i="5"/>
  <c r="R67" i="5"/>
  <c r="T67" i="5"/>
  <c r="P40" i="5"/>
  <c r="P25" i="5"/>
  <c r="P78" i="5"/>
  <c r="P90" i="5"/>
  <c r="P69" i="5"/>
  <c r="P63" i="5"/>
  <c r="P39" i="5"/>
  <c r="P103" i="5"/>
  <c r="V67" i="5"/>
  <c r="Q67" i="5"/>
  <c r="P11" i="5"/>
  <c r="P24" i="5"/>
  <c r="P52" i="5"/>
  <c r="P107" i="5"/>
  <c r="P79" i="5"/>
  <c r="P54" i="5"/>
  <c r="W67" i="5"/>
  <c r="P34" i="5"/>
  <c r="P17" i="5"/>
  <c r="P57" i="5"/>
  <c r="P96" i="5"/>
  <c r="P73" i="5"/>
  <c r="P87" i="5"/>
  <c r="P37" i="5"/>
  <c r="U81" i="5"/>
  <c r="V113" i="5"/>
  <c r="P50" i="5"/>
  <c r="R81" i="5"/>
  <c r="P59" i="5"/>
  <c r="P27" i="5"/>
  <c r="P47" i="5"/>
  <c r="P104" i="5"/>
  <c r="P89" i="5"/>
  <c r="P111" i="5"/>
  <c r="W92" i="5"/>
  <c r="P75" i="5"/>
  <c r="P56" i="5"/>
  <c r="P102" i="5"/>
  <c r="P99" i="5"/>
  <c r="W81" i="5"/>
  <c r="W113" i="5"/>
  <c r="S113" i="5"/>
  <c r="P86" i="5"/>
  <c r="P71" i="5"/>
  <c r="P58" i="5"/>
  <c r="P77" i="5"/>
  <c r="P106" i="5"/>
  <c r="U67" i="5"/>
  <c r="P72" i="5"/>
  <c r="P21" i="5"/>
  <c r="V92" i="5"/>
  <c r="P16" i="5"/>
  <c r="R92" i="5"/>
  <c r="P108" i="5"/>
  <c r="P101" i="5"/>
  <c r="P12" i="5"/>
  <c r="P94" i="5"/>
  <c r="P85" i="5"/>
  <c r="P53" i="5"/>
  <c r="T114" i="5" l="1"/>
  <c r="W114" i="5"/>
  <c r="P81" i="5"/>
  <c r="R114" i="5"/>
  <c r="V114" i="5"/>
  <c r="P92" i="5"/>
  <c r="P67" i="5"/>
  <c r="Q114" i="5"/>
  <c r="P113" i="5"/>
  <c r="U114" i="5"/>
  <c r="S114" i="5"/>
  <c r="P114" i="5" l="1"/>
</calcChain>
</file>

<file path=xl/sharedStrings.xml><?xml version="1.0" encoding="utf-8"?>
<sst xmlns="http://schemas.openxmlformats.org/spreadsheetml/2006/main" count="14739" uniqueCount="2532">
  <si>
    <t>PASS 앱 개발 월간 MM 내역 (26년 05월) - AI 활용 현황 포함</t>
  </si>
  <si>
    <t>※ 기존 장표 구조 유지 + AI활용 컬럼(주황색) 2개 추가</t>
  </si>
  <si>
    <t>월</t>
  </si>
  <si>
    <t>구분</t>
  </si>
  <si>
    <t>중점추진과제</t>
  </si>
  <si>
    <t>상세추진과제</t>
  </si>
  <si>
    <t>상세 추진 내용</t>
  </si>
  <si>
    <t>CSR ID</t>
  </si>
  <si>
    <t>완료일시</t>
  </si>
  <si>
    <t>투입M/D</t>
  </si>
  <si>
    <t>투입M/M</t>
  </si>
  <si>
    <t>처리자</t>
  </si>
  <si>
    <t>비고</t>
  </si>
  <si>
    <t>AI활용</t>
  </si>
  <si>
    <t>AI활용내용</t>
  </si>
  <si>
    <t>4월</t>
  </si>
  <si>
    <t>기능 고도화</t>
  </si>
  <si>
    <t>PASS기능개발</t>
  </si>
  <si>
    <t>서비스 개발</t>
  </si>
  <si>
    <t>모바일신분증 디자인 개편, 반려동물 신분증 서비스 추가, 병원QR제시형 추가, AOS 14 대응 등 AOS 기능 개발검토</t>
  </si>
  <si>
    <t>CSR_11300</t>
  </si>
  <si>
    <t>2026-04-24</t>
  </si>
  <si>
    <t>Android개발자1</t>
  </si>
  <si>
    <t>상</t>
  </si>
  <si>
    <t>Copilot 코드 자동완성 활용</t>
  </si>
  <si>
    <t>명의도용방지 가입자정보 조회 KAIT 미응답 Alert 에러코드 누락과 비밀번호 변경 화면 미이동 이슈 수정 등 AOS 보완 개발</t>
  </si>
  <si>
    <t>AOS 단위테스트 코드 생성 보조</t>
  </si>
  <si>
    <t>5월</t>
  </si>
  <si>
    <t>PASS Android API 응답 모니터링 앱 요구사항 초안, AOS 운영 이슈 정리, 다음 차수 반영 범위 검토 등 AOS 기능 개발검토</t>
  </si>
  <si>
    <t>2026-05-01</t>
  </si>
  <si>
    <t>Copilot 코드리뷰 보조 활용</t>
  </si>
  <si>
    <t>서비스 품질관리</t>
  </si>
  <si>
    <t>서비스 운영</t>
  </si>
  <si>
    <t>LGU+ 요청사항 대응 및 운영</t>
  </si>
  <si>
    <t>운영 이슈 확인과 서비스 연계 화면 점검, 민원 대응 항목 정리 등 운영 지원</t>
  </si>
  <si>
    <t>CSR_30200</t>
  </si>
  <si>
    <t>AOS 보완 개발 시 코드 생성 활용</t>
  </si>
  <si>
    <t>방통위 증적 자료 준비, PASS 앱 운영 확인 항목 정리, 모바일운전면허 요청 대응 연계 검토 등 운영 지원</t>
  </si>
  <si>
    <t>2026-05-08</t>
  </si>
  <si>
    <t>Copilot 반복 코드 패턴 자동완성</t>
  </si>
  <si>
    <t>서비스 연계 화면 점검과 모의해킹 취약점 대응 연계 확인 등 AOS 운영 지원</t>
  </si>
  <si>
    <t>PASS 앱 운영 확인 항목 정리, 클라이언트 반영 문서 점검, 연계 화면 흐름 확인 등 AOS 기능 개발검토</t>
  </si>
  <si>
    <t>2026-05-15</t>
  </si>
  <si>
    <t>운영 이슈 확인과 모바일운전면허 요청 대응 연계 정리, 서비스 화면 점검 등 운영 지원</t>
  </si>
  <si>
    <t>ㄴ26년 6월 앱 배포 검수</t>
  </si>
  <si>
    <t>AOS 운영 이슈 확인, 서비스 연계 화면 점검, 민원 대응 항목 정리 등 AOS 기능 개발검토</t>
  </si>
  <si>
    <t>CSR_11415</t>
  </si>
  <si>
    <t>2026-05-20</t>
  </si>
  <si>
    <t>운영 이슈 후속 정리와 모바일신분증 연계 확인, 서비스 화면 점검 등 운영 지원</t>
  </si>
  <si>
    <t>신규사업 개발</t>
  </si>
  <si>
    <t>신규서비스개발</t>
  </si>
  <si>
    <t>ㄴPASS안심클라우드</t>
  </si>
  <si>
    <t>PASS클라우드 추가, MY개편 고도화, PASS 부가서비스 재동의 프로세스 수정, 서비스영역 문의하기 인앱브라우저 연동 등 AOS 기능 개발검토</t>
  </si>
  <si>
    <t>CSR_41103</t>
  </si>
  <si>
    <t>Android개발자2</t>
  </si>
  <si>
    <t xml:space="preserve">ㄴ외부플랫폼 진입 시 브릿지 페이지 </t>
  </si>
  <si>
    <t>외부플랫폼 브릿지와 MY개편 연계 항목 보완, 기능 적용 후 화면 확인까지 포함한 AOS 보완 개발</t>
  </si>
  <si>
    <t>CSR_11314</t>
  </si>
  <si>
    <t>6월 앱 DVT, PASS클라우드 권한 추가 검토, 모바일신분증 명칭 변경, 애드몹 광고 형식 추가 등 AOS 기능 개발검토</t>
  </si>
  <si>
    <t>PASS 인증서 발급 시 1:1문의 접수 필요 팝업 노출 현상과 외부플랫폼 브릿지 아이콘 컬러·문구 수정 등 AOS 보완 개발</t>
  </si>
  <si>
    <t>앱 DVT, 쿠폰팩 서비스 진입 불가 현상, TXT 파일 선택 시 PASS 앱 노출 이슈, MIS 강제업데이트 설정 팝업 문구 수정 등 AOS 기능 개발검토</t>
  </si>
  <si>
    <t>DVT 이슈 반영과 서비스 진입 관련 후속 화면 점검까지 포함한 AOS 보완 개발</t>
  </si>
  <si>
    <t>6월 앱 DVT, 8월 인증내역 조회 UI/UX 수정, MIS SDK 업데이트, 명의도용방지 개선, 안드로이드 16 대응 등 AOS 기능 개발검토</t>
  </si>
  <si>
    <t>오늘의게임 아이콘 디자인 가이드 상이, PASS 인증서 발급 팝업, 외부플랫폼 브릿지 아이콘 컬러 수정 등 AOS 보완 개발</t>
  </si>
  <si>
    <t>인증내역 조회 UI/UX와 MIS SDK 연계 항목 보완, 기능 적용 후 화면 확인까지 포함한 AOS 보완 개발</t>
  </si>
  <si>
    <t>PASS 주소록 기능 개발</t>
  </si>
  <si>
    <t>PASS주소록 고도화, 신규 연락처 별도 표기 영역 추가, 상세 하단팝업 퀵아이템·페이백 쇼핑 기능 고도화 등 AOS 기능 개발검토</t>
  </si>
  <si>
    <t>CSR_10800</t>
  </si>
  <si>
    <t>Android개발자3</t>
  </si>
  <si>
    <t>PASS주소록 간편시트와 상세 하단팝업 연계 AOS 기능 개발</t>
  </si>
  <si>
    <t xml:space="preserve">마케팅 </t>
  </si>
  <si>
    <t>마케팅 관련 고도화 및 지원</t>
  </si>
  <si>
    <t>GA4 컨텐츠 그룹핑 반영 및 운영 지원</t>
  </si>
  <si>
    <t>6월 GA4 태깅, 이벤트 추가 및 태깅, 앱 DVT 반영 범위 정리 등 AOS 기능 개발검토</t>
  </si>
  <si>
    <t>CSR_20400</t>
  </si>
  <si>
    <t>GA4 태깅과 이벤트 추가 AOS 기능 연계 개발</t>
  </si>
  <si>
    <t>앱 DVT, PASS PUSH 발송 Alert 문구 수정, 주소록 공유하기 프로세스 종료 후 복귀 흐름 점검 등 AOS 기능 개발검토</t>
  </si>
  <si>
    <t>PASS주소록 공유하기 프로세스와 Alert 문구 보완 AOS 기능 개발</t>
  </si>
  <si>
    <t>6월 앱 DVT, PASS주소록 공유하기 프로세스 점검, Alert 문구 반영 항목 정리 등 AOS 기능 개발검토</t>
  </si>
  <si>
    <t>PASS주소록 공유 흐름과 종료 복귀 동선 보완 AOS 기능 개발</t>
  </si>
  <si>
    <t>6월 앱 DVT, 인증내역 조회 UI/UX 반영 항목 정리, 주소록 공유 흐름 점검 등 AOS 기능 개발검토</t>
  </si>
  <si>
    <t>인증내역 조회 UI/UX와 주소록 공유 동선 보완 AOS 기능 개발</t>
  </si>
  <si>
    <t>PASS주소록 고도화, 서비스 진입 흐름 보완, 화면 연계 구조 정리 등 AOS 기능 개발검토</t>
  </si>
  <si>
    <t>Android개발자4</t>
  </si>
  <si>
    <t>앱 업데이트 후 A2A 휴대폰결제 약관 재동의 팝업 노출과 웹뷰 히스토리 동작 불일치 이슈 수정, 기능 적용 후 화면 확인까지 포함한 AOS 보완 개발</t>
  </si>
  <si>
    <t>PASS클라우드 권한 추가 검토, AOS DVT 반영 항목 정리, 모니터링 앱 요구사항 연계 등 AOS 기능 개발검토</t>
  </si>
  <si>
    <t>외부플랫폼 브릿지, 계좌인증 화면 변경, 서비스 진입 흐름 보완 등 AOS 기능 검토 및 반영 설계</t>
  </si>
  <si>
    <t>6월 앱 DVT, 인증내역 조회 UI/UX 수정, MIS SDK 업데이트 연계 항목 등 AOS 기능 개발검토</t>
  </si>
  <si>
    <t>6월 앱 DVT, 인증내역 조회 UI/UX 수정, MIS SDK 업데이트 반영 범위 정리 등 AOS 기능 개발검토</t>
  </si>
  <si>
    <t>PASS클라우드, MY개편, 외부플랫폼 브릿지, 모바일신분증 디자인 개편 연계 항목 등 AOS 기능 개발검토</t>
  </si>
  <si>
    <t>Android개발자5</t>
  </si>
  <si>
    <t>금융혜택 화면 금액 노출 오류와 휴대폰결제 브릿지 선노출 이슈 수정, 내부 검증 병행 AOS 보완 개발</t>
  </si>
  <si>
    <t>모바일신분증 명칭 변경, 애드몹 광고 형식 추가, 외부플랫폼 브릿지 수정 항목 등 AOS 기능 개발검토</t>
  </si>
  <si>
    <t>금융혜택 화면 금액 노출 오류와 CP사 하단 네비게이션 동작 불일치 이슈 수정, 내부 검증 병행 AOS 보완 개발</t>
  </si>
  <si>
    <t>PASS클라우드, 외부플랫폼 브릿지, 모바일신분증 명칭 변경 연계 항목 등 AOS 주요 기능 개발검토</t>
  </si>
  <si>
    <t>PASS클라우드, 외부플랫폼 브릿지, 명의도용방지 개선, 안드로이드 16 대응 연계 항목 등 AOS 기능 개발검토</t>
  </si>
  <si>
    <t>명의도용방지 개선, 안드로이드 16 대응, 인증내역 조회 UI/UX 연계 항목 등 AOS 기능 개발검토</t>
  </si>
  <si>
    <t>VOC 처리, 대응 및 사용자 공지</t>
  </si>
  <si>
    <t>CS문의 대응</t>
  </si>
  <si>
    <t>CSR_30300</t>
  </si>
  <si>
    <t>CS1</t>
  </si>
  <si>
    <t>CS2</t>
  </si>
  <si>
    <t>CS3</t>
  </si>
  <si>
    <t>PASS클라우드 추가, 클라우드 SDK 적용 확인, PASS주소록 고도화, 외부플랫폼 브릿지 페이지 추가 등 iOS 기능 개발검토</t>
  </si>
  <si>
    <t>iOS개발자1</t>
  </si>
  <si>
    <t>모바일신분증 명칭 변경과 주소록 PUSH 공유 서비스 상태·권한 체크 연동 등 iOS 기능 보완 개발</t>
  </si>
  <si>
    <t>PASS클라우드 추가, 클라우드 SDK 적용 확인, 모바일신분증 명칭 변경 등 iOS 기능 개발검토</t>
  </si>
  <si>
    <t>모바일신분증 명칭 변경 iOS 기능 반영과 서비스 연계 화면 확인 정리</t>
  </si>
  <si>
    <t>PASS클라우드 추가, 앱 DVT, 주소록 상세 시트 부가서비스 텍스트 Bold 처리, PASS 주소록 간편시트 종료 Alert 점검 등 iOS 기능 개발검토</t>
  </si>
  <si>
    <t>주소록 상세 시트와 간편시트 종료 Alert 보완 등 iOS 기능 연계 개발</t>
  </si>
  <si>
    <t>6월 앱 DVT, 8월 인증내역 조회 UI/UX 수정, MIS SDK 업데이트, 명의도용방지 개선 등 iOS 기능 개발검토</t>
  </si>
  <si>
    <t>PASS클라우드 연계와 주소록 PUSH 공유 상태·권한 체크 등 iOS 기능 보완 개발</t>
  </si>
  <si>
    <t>인증내역 조회 UI/UX 반영과 iOS 연계 화면 점검, 기능 적용 후 내부 확인 정리</t>
  </si>
  <si>
    <t>MY개편 고도화, MY 오늘의 게임, 레드닷 노출 기능, 일반 부가서비스 해지 기능 고도화 등 iOS 기능 개발검토</t>
  </si>
  <si>
    <t>iOS개발자2</t>
  </si>
  <si>
    <t>메인 인증트렌드 영역 수정과 PASS머니 X 만보기·복주머니 연계 항목 등 iOS 기능 보완 개발</t>
  </si>
  <si>
    <t>6월 GA4 태깅, 이벤트 추가 및 태깅, 앱 DVT 반영 항목 정리 등 iOS 기능 개발검토</t>
  </si>
  <si>
    <t>GA4 태깅 iOS 반영과 이벤트 수집 동선 확인 등 iOS 기능 보완 개발</t>
  </si>
  <si>
    <t>앱 DVT, 6월 GA4 태깅, 이벤트 추가 및 태깅, 펫신분증 정보 불러오기 버튼 색상 수정 등 iOS 기능 개발검토</t>
  </si>
  <si>
    <t>관리자 화면 지원 버전 반영 오류와 MY 활동·인증 내역 텍스트 정렬 보완 등 iOS 기능 보완 개발</t>
  </si>
  <si>
    <t>6월 앱 DVT, 8월 인증내역 조회 UI/UX 검토, GA4 태깅 연계 항목 정리 등 iOS 기능 개발검토</t>
  </si>
  <si>
    <t>인증내역 화면 보완과 이벤트 수집 동선 점검, 기능 적용 후 내부 확인 정리</t>
  </si>
  <si>
    <t>6월 앱 DVT, 인증내역 조회 UI/UX 반영 범위 검토, GA4 태깅 정리 등 iOS 기능 개발검토</t>
  </si>
  <si>
    <t>인증내역 화면 보완과 iOS 연계 화면 확인, 기능 적용 후 내부 정리</t>
  </si>
  <si>
    <t>PASS클라우드, PASS주소록, 외부플랫폼 브릿지, 모바일신분증 명칭 변경 등 iOS 기능 개발검토</t>
  </si>
  <si>
    <t>iOS개발자3</t>
  </si>
  <si>
    <t>법적 효력 안내 버튼 무반응과 휴대폰결제 진입 오류 문구 이슈 수정, 기능 적용 후 화면 확인까지 포함한 iOS 보완 개발</t>
  </si>
  <si>
    <t>PASS클라우드 추가, 모바일신분증 명칭 변경, iOS DVT 반영 항목 정리 등 iOS 기능 개발검토</t>
  </si>
  <si>
    <t>PASS클라우드, 서비스 진입 흐름 개선, 계좌인증 UIUX 개선 등 iOS 기능 개발검토</t>
  </si>
  <si>
    <t>6월 앱 DVT, 인증내역 조회 UI/UX 수정, MIS SDK 업데이트, PASS클라우드 연계 항목 등 iOS 기능 개발검토</t>
  </si>
  <si>
    <t>6월 앱 DVT, 인증내역 조회 UI/UX 수정, MIS SDK 업데이트, 명의도용방지 개선 등 iOS 기능 개발검토</t>
  </si>
  <si>
    <t>PASS MY 화면 고도화</t>
  </si>
  <si>
    <t>MY개편 고도화, 오늘의 게임, 레드닷 노출, 화면 가이드 반영 범위 협의 등 iOS 기능 개발검토</t>
  </si>
  <si>
    <t>CSR_10400</t>
  </si>
  <si>
    <t>iOS개발자4</t>
  </si>
  <si>
    <t>이벤트·광고 알림 토글 미동작과 QR 스캔 후 인증내역 미적재 이슈 수정, 내부 검증 병행 iOS 기능 정비</t>
  </si>
  <si>
    <t>GA4 태깅, 이벤트 추가, 화면 가이드 반영 범위 정리 등 iOS 기능 개발검토</t>
  </si>
  <si>
    <t>MY개편 고도화, 화면 가이드 반영 범위 협의와 요청 대응 연계 검토 등 iOS 기능 개발검토</t>
  </si>
  <si>
    <t>PASS클라우드 연계, 서비스 진입 흐름 점검, 화면 반영 범위 정리 등 iOS 기능 개발검토</t>
  </si>
  <si>
    <t>인증내역 조회 UI/UX, 화면 가이드 반영 범위 협의, 연계 화면 정리 등 iOS 기능 개발검토</t>
  </si>
  <si>
    <t>6월 앱 DVT 설계
- 개편 항목 테스트 케이스 설계 , 테스트 데이터 준비, 테스트 환경 설정</t>
  </si>
  <si>
    <t>4월 24일</t>
  </si>
  <si>
    <t>QA1</t>
  </si>
  <si>
    <t>6월 앱 DVT 수행
- 인앱 브라우저, MY 고도화, 오늘의게임, 신분증 가맹점 표기 정책 개선, 계좌인증 금융기관 선택화면 UIUX 개선</t>
  </si>
  <si>
    <t>4월 30일</t>
  </si>
  <si>
    <t>6월 앱 DVT 수행
- MY 고도화, PASS주소록 고도화, PASS안심클라우드, MIS 선택 업데이트 기능, 외부플랫폼 브릿지 페이지</t>
  </si>
  <si>
    <t>5월 8일</t>
  </si>
  <si>
    <t>6월 앱 DVT 수행
- MY 고도화, PASS주소록 고도화, PASS안심클라우드, 유무료 서비스 동의화면 개선</t>
  </si>
  <si>
    <t>5월 14일</t>
  </si>
  <si>
    <t>6월 앱 DVT 수행
- PASS주소록 고도화, PASS안심클라우드, 업데이트 후 서비스 진입 개선</t>
  </si>
  <si>
    <t>5월 18일</t>
  </si>
  <si>
    <t>6월 앱 DVT 후속 점검
- CP 이슈 수정 확인, 산출물 점검, 개편 기능 재검토</t>
  </si>
  <si>
    <t>5월 20일</t>
  </si>
  <si>
    <t>26년 6월 개편 앱 앱 DVT 대응
- 6월 개편 앱 설계</t>
  </si>
  <si>
    <t>QA2</t>
  </si>
  <si>
    <t>26년 6월 개편 앱 앱 DVT 대응
- DVT 수행</t>
  </si>
  <si>
    <t>26년 6월 개편 앱 앱 DVT 대응
- CP 이슈 등록 및 수정 확인, 개편 기능 크로스체크</t>
  </si>
  <si>
    <t>업무보고 및 협의</t>
  </si>
  <si>
    <t>PASS전략파트너 개발 관련 업무보고 및 협의
- 내부/외부 회의 및 협의</t>
  </si>
  <si>
    <t>CSR_30600</t>
  </si>
  <si>
    <t>개발PM</t>
  </si>
  <si>
    <t>기획PM</t>
  </si>
  <si>
    <t>2026-04-30</t>
  </si>
  <si>
    <t>신규서비스 개발</t>
  </si>
  <si>
    <t>ㄴ스마트청구서 개발</t>
  </si>
  <si>
    <t>스마트청구서 세부 기획</t>
  </si>
  <si>
    <t>CSR_41201</t>
  </si>
  <si>
    <t>기능고도화</t>
  </si>
  <si>
    <t xml:space="preserve">PASS UI/UX 개선 </t>
  </si>
  <si>
    <t>PASS UI/UX 협의를 위한 리스트 작성</t>
  </si>
  <si>
    <t>CSR_11500</t>
  </si>
  <si>
    <t>2026-05-14</t>
  </si>
  <si>
    <t>ㄴB2C PASS 보안서비스</t>
  </si>
  <si>
    <t xml:space="preserve">PASS앱 내 보안서비스 추가를 위한 사전 기획 작업 </t>
  </si>
  <si>
    <t>CSR_41202</t>
  </si>
  <si>
    <t>인증플랫폼</t>
  </si>
  <si>
    <t>휴대폰결제 고도화</t>
  </si>
  <si>
    <t xml:space="preserve">휴대폰결제 고도화
1. 결제비밀번호 도입, 인증수단 다각화, 바코드 바로가기 기능 추가 초안 검토 및 개발 방향 협의
2. 바코드결제 CU 로고 삭제 후 원복 </t>
  </si>
  <si>
    <t>CSR_40700</t>
  </si>
  <si>
    <t>기획자1</t>
  </si>
  <si>
    <t>ㄴPASS 내 스와이프로 뒤로가기</t>
  </si>
  <si>
    <t>스와이프 뒤로가기 제스처 도입
- 사례 조사 및 기획 초안 작성
- 개발 검토 요청, 반영 범위 협의 및 문의 대응</t>
  </si>
  <si>
    <t>CSR_11317</t>
  </si>
  <si>
    <t>인증서 고도화</t>
  </si>
  <si>
    <t>PASS인증서 생체인증 도입
- 사례 조사, 테스트 및 기획 초안 작성
- 개발 검토 요청 및 문의 대응</t>
  </si>
  <si>
    <t>CSR_40500</t>
  </si>
  <si>
    <t>6월 앱업데이트
- 통합화면설계서 및 CDR문서 작성/리뷰/업데이트 
- TC 점검, DVT 수행 및 관련 이슈 대응
- 검수 환경 관리자 데이터 세팅, CP데이터 세팅 요청
- 스토어 스크린샷 및 앱설명 수정사항 정리</t>
  </si>
  <si>
    <t>통신업무 "안면인증" PASS 활용 기능 및 사업화</t>
  </si>
  <si>
    <t xml:space="preserve">MIS SDK
1. 선택 업데이트 기능 추가 -&gt; MIS 웹 동작 문의 및 확인
2. MIS SDK 업데이트 개발 검토 요청 </t>
  </si>
  <si>
    <t>CSR_40400</t>
  </si>
  <si>
    <t>2026-05-19</t>
  </si>
  <si>
    <t>모바일신분증 고도화 (라인업 확대_시민증 관광증)</t>
  </si>
  <si>
    <t>모바일신분증 명칭 변경
 - 변경 확정에 따른 항목 재 검토, 기획서 수정 반영</t>
  </si>
  <si>
    <t>CSR_40300</t>
  </si>
  <si>
    <t>2026-04-27</t>
  </si>
  <si>
    <t>PASS 로그인 방식 개선 (정책 강화 등)</t>
  </si>
  <si>
    <t>PIN 인증 방식 전환
- 예외 케이스 추가 (대표인증수단 및 비밀번호 변경)에 따른 기획서 수정 및 개발 문의 대응</t>
  </si>
  <si>
    <t>CSR_11000</t>
  </si>
  <si>
    <t>2026-05-11</t>
  </si>
  <si>
    <t>CP 파트너십 관리 (PASS 앱 기획, 디자인, 개발 가이드)</t>
  </si>
  <si>
    <t>펫신분증 운영 대응 (4-5월)
1. 상용 도메인 변경 대응 (작업공지 등록 요청, 서비스 미노출 처리)
2. 약관 변경 대응 (공지 등록 요청, 검수/상용앱 반영 및 테스트)
3. 상용 IP 이관 문의 대응
4. 하위서비스(펫세권) UI 개편사항 확인
5. 개발 서버 초기화에 따른 데이터 등록 요청
6. 검수앱 진입 오류 및 데이터 싱크 불일치 건 문의 대응</t>
  </si>
  <si>
    <t>CSR_30000</t>
  </si>
  <si>
    <t>PASS지갑 고도화</t>
  </si>
  <si>
    <t>PASS전자고지 열람율 개선 고도화 검토
- 검수 환경 관리자 기관 로고 세팅
- 기획서 수정 및 기획/디자인/개발 협의 진행</t>
  </si>
  <si>
    <t>CSR_40600</t>
  </si>
  <si>
    <t>면허증 개인정보 보안점검 관련 수집 현황 검토 및 개발자 협의, 사업팀 공유 및 문의 대응
- 신분증 서비스 별 데이터 보관 및 파기 현황 공유 (4/29)
- 신분증 데이터 테이블 별 필드 공유 (5/4)</t>
  </si>
  <si>
    <t>2026-05-04</t>
  </si>
  <si>
    <t xml:space="preserve">신분증 운영 대응
1. 안면인증 실패 통계 공유 
- 주차 별 통계 수동 추출 요청, 검증 및 공유 (4월 3주차 ~ 5월 3주차)
2. 선거 관련 신분증 홍보 이력 문의 대응
3. 6월 앱업데이트 시 신분증 반영 사항 정리 및 공유 </t>
  </si>
  <si>
    <t>고객센터 (1:1문의, FAQ, 홈페이지) 관련 대응 및 운영</t>
  </si>
  <si>
    <t>신분증결제 오류 문의 대응 (CS센터 인입)
- 문의 내용 검토 및 개발팀 확인 요청</t>
  </si>
  <si>
    <t>CSR_30400</t>
  </si>
  <si>
    <t>2026-05-06</t>
  </si>
  <si>
    <t>MY 고도화
- 기획서 업데이트
- 부가서비스 영역 이동 방식 인앱 전환 관련 개발 요청
- 혜택 영역 디자인 수정 관련 U+ 협의
- CP사&amp;개발 문의 대응
- 검수서버 부가서비스 가입/해지 URL문의</t>
  </si>
  <si>
    <t>기획자2</t>
  </si>
  <si>
    <t>ㄴ계좌인증 금융기관 선택 화면 현행화</t>
  </si>
  <si>
    <t>금융기관 선택 화면 현행화
- 금융기관 로고 변경 관련 검수 확인 및 수정 요청(w.RP,인증서 서버)
- UIUX 변경 디자인 검수 및 수정 요청</t>
  </si>
  <si>
    <t>CSR_11303</t>
  </si>
  <si>
    <t>2026-04-29</t>
  </si>
  <si>
    <t>PASS주소록 - 고도화
- 기획서 업데이트
- 안심클라우드 백업상태바 배너 디자인 수정
- 사기번호조회 암호화 관련 CP문의 F/U(w.더치트프리미엄)</t>
  </si>
  <si>
    <t>PASS클라우드
- 기획서 업데이트
- CP사&amp;개발 문의 대응
- CP사 SDK 수급 및 개발 전달
- 서비스 오픈 관련 검수 어드민 세팅
- 앱접근권한 수정 관련 디자인 요청 및 기획서 반영</t>
  </si>
  <si>
    <t>PASS 앱인앱 고도화 (웹뷰 고도화)</t>
  </si>
  <si>
    <t>인앱브라우저
- 기획서 업데이트
- 인앱브라우저 관련 검수 어드민 세팅</t>
  </si>
  <si>
    <t>CSR_10700</t>
  </si>
  <si>
    <t xml:space="preserve">MY 고도화
- 기획서 업데이트
- 신규 일반부가서비스 정보 전달 요청 및 수급
- 레드닷 관련 DVT를 위한 검수 환경 세팅(w.서베이) </t>
  </si>
  <si>
    <t>2026-05-07</t>
  </si>
  <si>
    <t>품질팀 앱설명회</t>
  </si>
  <si>
    <t>PASS주소록 - 고도화
- 공유 시트 디자인 검수 및 수정, 최종 아이콘 CP전달
- 파일 공유 기능 관련 CP사 개발 요건 및 협의(w.오션블루)
- 문서 공유 기능 관련 CP사 수정 개발 요청, SDK수급(w.폴라리스오피스)
- 페이백 쇼핑 기능 고도화 관련 CP사 개발 요청(w.헥토)</t>
  </si>
  <si>
    <t xml:space="preserve">PASS클라우드
- CP사 T/C문서 확인 및 문의
- 서비스 약관 수급 및 검수 어드민 세팅
- 고객센터 정보 수급 및 어드민 세팅
- CP사&amp;개발 문의 대응 </t>
  </si>
  <si>
    <t xml:space="preserve">PASS주소록 - 고도화
- DVT 이슈 관련 CP사&amp;개발&amp;QA 문의 확인 및 F/U
- 주소록 공유 PUSH데이터 GA4 및 데이터스튜디오 세팅 </t>
  </si>
  <si>
    <t>B2G서비스 연동</t>
  </si>
  <si>
    <t>KAIT 명의도용방지서비스(M-safer) 고도화</t>
  </si>
  <si>
    <t>명의도용방지 수정
- 기획서 초안 작성 및 개발 검토 요청
- 정책 관련 개발 문의 답변</t>
  </si>
  <si>
    <t>CSR_40000</t>
  </si>
  <si>
    <t>2026-05-13</t>
  </si>
  <si>
    <t>금융기관 선택 화면 현행화
- 금융기관 로고 변경 관련 검수 확인 및 상용 반영(w.RP,인증서 서버)</t>
  </si>
  <si>
    <t>PASS클라우드
- DVT 이슈 관련 CP사&amp;개발&amp;QA 문의 확인 및 F/U
- CP사 SDK 개발 전달 및 검수앱 배포
- 구글드라이브 연동 관련 민감 정보 인증 영상 수급 및 수정 요청</t>
  </si>
  <si>
    <t>MY 고도화
- MY 개선사항 기획서 초안 작성 및 개발 검토 요청</t>
  </si>
  <si>
    <t>셀로
- 미사용 회원 삭제 관련 개발 업무 요청
- 일반서비스 검수서버 방화벽 해제 요청
마인드케어프리미엄
- U+ 서비스소개페이지 변경 확인 및 MY&gt;부가서비스 영역 내 반영
오피스도우미
- 공유문서 클릭 시 유료가입 노출 관련 수정 동작 확인</t>
  </si>
  <si>
    <t>PASS주소록 - 신원인증 기능 추가
1) 신원인증 기능 추가(w.더치트프리미엄)
- CP사 제안서 검토 및 정책 관련 문의
- 기획서 초안 작성 및 개발 검토 요청
2) 주소록 고도화 관련
- 기획서 초안 작성 및 개발 검토 요청
- 문서공유 기능 관련 수정사항 CP사 검토 요청(w.폴라리스오피스)</t>
  </si>
  <si>
    <t>PASS클라우드
- DVT 이슈 관련 CP사&amp;개발&amp;QA 문의 확인 및 F/U
- CP사 SDK 개발 전달 및 검수앱 배포
- FAQ 수급 및 검수 어드민 세팅</t>
  </si>
  <si>
    <t>오피스도우미 SDK 업데이트 
- 검수앱 테스트</t>
  </si>
  <si>
    <t>기획자3</t>
  </si>
  <si>
    <t>26년 6월 업데이트용 GA4태깅 문서 작성
-  태깅 검수 및 수정 팔요 사항 전달</t>
  </si>
  <si>
    <t>2026-05-12</t>
  </si>
  <si>
    <t>4월 PASS PV 및 체류시간 데이터 취합 (5/13)
- CP사 데이터 취합 및 유플러스 전달
- PUSH 데이터 추가 전달 요청 및 취합</t>
  </si>
  <si>
    <t>PASS활성화 이벤트</t>
  </si>
  <si>
    <t>(상시) PASS앱 이벤트 실행·효과분석</t>
  </si>
  <si>
    <t>4월 PASS 서비스 품질지표 작성 (5/13)
- GA 지표 작성 및 보고</t>
  </si>
  <si>
    <t>CSR_20000</t>
  </si>
  <si>
    <t>4월 PASS 마케팅 및 PUSH 지표 작성 (5/13)
- PUSH 지표 작성 및 현황 보고</t>
  </si>
  <si>
    <t>서비스 무료 가입자 지표 공유 (5/14)
- 4월 무료서비스 가입자 현황</t>
  </si>
  <si>
    <t>26년 6월 홈페이지 현행화
- 모바일신분증→PASS신분증 명칭 변경 관련 텍스트/이미지 수정 요청
- 개발 서버 홈페이지 검수</t>
  </si>
  <si>
    <t>PUSH시스템 고도화 및 운영 지원</t>
  </si>
  <si>
    <t>5월 마케팅 PUSH 발송 
- CP사 일정 취합 
- 발송 규격 세팅
- 일별 발송</t>
  </si>
  <si>
    <t>CSR_20300</t>
  </si>
  <si>
    <t>(기타) 부가서비스 이벤트 지원</t>
  </si>
  <si>
    <t>웹툰 이벤트 운영 지원 (5/4)
- 5월 출석체크 이벤트 관련 검수 배너 세팅 및 테스트
- 상용 배너 오픈 및 홍보 PUSH 발송</t>
  </si>
  <si>
    <t>CSR_20100</t>
  </si>
  <si>
    <t>셀로 프로모션 운영 지원 (5/1)
- 상용 배너 오픈
- 셀로 타겟 대상 홍보 PUSH 발송</t>
  </si>
  <si>
    <t>금융광고 관리 (PASS 앱 기획, 디자인, 개발 가이드)</t>
  </si>
  <si>
    <t>오버테이크 요청사항 대응
- 광고주 팝업 및 인증완료 배너 운영 지원 및 지표 공유 
- 대출비교 5월 프로모션, 머니적립 5월 배너 운영 지원
- 여행 서비스 제휴 광고 운영 지원
- 통신위성 발사하기 프로모션 배너 BG 협의</t>
  </si>
  <si>
    <t>CSR_30100</t>
  </si>
  <si>
    <t>PASS 공통 화면 개선 (모달형태 약관 화면 적용, 알림팝업 적용 등)</t>
  </si>
  <si>
    <t>유/무료 서비스 동의화면 개선(잔여)
- CP 검수 무료 인트로 화면 테스트 및 수정 요청
- 주소록, 명의도용방지 무료 인트로 검수 테스트
- 상용 반영 요청</t>
  </si>
  <si>
    <t>CSR_11100</t>
  </si>
  <si>
    <t>구글 애드몹 광고 형식 추가
- 개발 및 CP 문의 대응
- 검수앱 테스트</t>
  </si>
  <si>
    <t>PASS머니 고도화 및 운영 지원</t>
  </si>
  <si>
    <t>PASS머니 페이백쇼핑 이벤트 운영 지원
- 주별 홍보 PUSH 발송 
- 상용/검수 딥링크 요청 관련 대응</t>
  </si>
  <si>
    <t>CSR_20200</t>
  </si>
  <si>
    <t>ㄴ주소록 오픈 이벤트 (with 오피스도우미)</t>
  </si>
  <si>
    <t>주소록 오픈 이벤트(W. 오피스도우미) (4/13)
- 주간 응모자 리스트 추출 및 CP사 전달
- 문서 열기 챌린지 주간 TOP30 랭킹 데이터 수급 및 상용 반영 요청
- 문서 열기 챌린지 운영 정책 변경(TOP10 → TOP30 확대)에 따른 개발/상용 서버 검수 진행
- 문서 열기 챌린지 랭킹 데이터 업데이트 안내 홍보 PUSH 발송
*문서 열기 챌린지 랭킹 데이터 안내 오류 대응 (5/20)
- 주간 TOP30 랭킹 데이터 재수급 및 재전달 요청
- 미션3 영역 안내 문구 수정 반영 요청 및 개발/상용 서버 검수 진행
- 이벤트 미응모 고객 및 오피스도우미 이용 100회 이상 고객 대상 홍보 PUSH 발송
- 기존 랭킹 공지 관련 문의·민원 대응을 위한 미디어로그 운영팀 내용 공유</t>
  </si>
  <si>
    <t>CSR_20006</t>
  </si>
  <si>
    <t>ㄴ주소록X더치트프리미엄 연계 이벤트</t>
  </si>
  <si>
    <t>주소록X더치트프리미엄 연계 이벤트 (5/6)
- 이벤트 개발/상용 서버 검수 진행
- 상용 이벤트 배너 게시
- 홍보 PUSH 발송</t>
  </si>
  <si>
    <t>CSR_20007</t>
  </si>
  <si>
    <t>만보기 SDK 업데이트 
- SDK 수정 버전 수급 및 개발팀 전달
- 검수앱 테스트</t>
  </si>
  <si>
    <t>PASS 홈 화면 고도화 (쉬운 화면 적용 등)</t>
  </si>
  <si>
    <t>쉬운화면 모드 추가
- 기획서 초안 작성 및 U+ 공유
- 기획서 수정</t>
  </si>
  <si>
    <t>CSR_10200</t>
  </si>
  <si>
    <t>전자고지 가입 이벤트 운영 지원
- 디자인 가이드 전달 및 BG색상 협의</t>
  </si>
  <si>
    <t>명의도용방지 홍보 PUSH 발송 관련 문의 대응
- 25년 10월 명의도용방지 PUSH 발송 이력 회신
- 26년 6월 발송용 문구 전달</t>
  </si>
  <si>
    <t>ㄴ26년 전국동시지방선거 홍보</t>
  </si>
  <si>
    <t>26년 전국동시지방선거 홍보
- 홍보 페이지 및 홍보 배너 기획
- 디자인 공유 및 시안 검수
- 디자인 시안 U+ 공유
- 검수 어드민 세팅 및 확인</t>
  </si>
  <si>
    <t>CSR_20008</t>
  </si>
  <si>
    <t xml:space="preserve">외부 플랫폼 진입 시 브릿지 페이지 기획안 작성 및 테스트 지원 </t>
  </si>
  <si>
    <t>기획자4</t>
  </si>
  <si>
    <t>ㄴ유료가입 페이지 바텀시트 처리</t>
  </si>
  <si>
    <t xml:space="preserve">유료가입 페이지, 전체 페이지에서 바텀시트로 변경을 위한 기획안 작성 </t>
  </si>
  <si>
    <t>CSR_11316</t>
  </si>
  <si>
    <t>외부 플랫폼 진입 시 브릿지 페이지 테스트 지원 및 CP사 오류 확인 요청</t>
  </si>
  <si>
    <t>5월 7일</t>
  </si>
  <si>
    <t>휴대폰 안심 CP작업에 따른 메뉴 미노출(4/28)/노출(4/29)처리</t>
  </si>
  <si>
    <t>쿠폰팩, 금융사기방지CP작업에 따른 메뉴 미노출(5/19)/노출(5/20)처리</t>
  </si>
  <si>
    <t>스탁, 서비스 명칭 변경에 따른 지원 
- 명칭 변경 및 약관 6개 변경 진행</t>
  </si>
  <si>
    <t>PASS앱 내 보안서비스 추가를 위한 유사 서비스 벤치마킹</t>
  </si>
  <si>
    <t>외부플랫폼 브릿지 페이지 시안 수정</t>
  </si>
  <si>
    <t>4월 28일</t>
  </si>
  <si>
    <t>디자이너1</t>
  </si>
  <si>
    <t>ㄴ오늘의 게임</t>
  </si>
  <si>
    <t>오늘의게임 썸네일 디자인 및 정렬 수정</t>
  </si>
  <si>
    <t>CSR_41104</t>
  </si>
  <si>
    <t>지금 내폰시세, 디자인 가이드 추가</t>
  </si>
  <si>
    <t>4월 27일</t>
  </si>
  <si>
    <t>MY 디자인 가이드 수정
- 활동/인증 영역
- 문의하기 팝업</t>
  </si>
  <si>
    <t>26년 전국동시지방선거 홍보
- 홍보 페이지 디자인</t>
  </si>
  <si>
    <t>5월 13일</t>
  </si>
  <si>
    <t>26년 6월 홈페이지 현행화
- 모바일신분증→PASS신분증 명칭 변경 관련 텍스트/이미지 수정</t>
  </si>
  <si>
    <t>5월 12일</t>
  </si>
  <si>
    <t>인증내역 화면 개선에 따른 디자인 수정 및 추가</t>
  </si>
  <si>
    <t>5월20일</t>
  </si>
  <si>
    <t>금융기관 선택 화면 현행화 - AOS fold 화면 가이드 제작</t>
  </si>
  <si>
    <t>4월 22일</t>
  </si>
  <si>
    <t>디자이너2</t>
  </si>
  <si>
    <t>MY AOS fold 화면 가이드 제작</t>
  </si>
  <si>
    <t>주소록 내 안심클라우드 적용 화면 현행화 및 화면 개선</t>
  </si>
  <si>
    <t>알림 배너 리소스 개발 대응</t>
  </si>
  <si>
    <t>4월 29일</t>
  </si>
  <si>
    <t>앱 접근권한 항목 추가 (아이콘/UI 수정 적용)</t>
  </si>
  <si>
    <t>5월 6일</t>
  </si>
  <si>
    <t>26년 전국동시지방선거 홍보
- 홍보 배너 디자인</t>
  </si>
  <si>
    <t>5월 15일</t>
  </si>
  <si>
    <t>휴대폰결제 내역 화면 개선에 따른 디자인 지원</t>
  </si>
  <si>
    <t>사업PM</t>
  </si>
  <si>
    <t>모바일지갑 가입자테이블 개인정보(CI) 컬럼 비활성화 적용 구조 검토와 다음 차수 기능 개발검토</t>
  </si>
  <si>
    <t>서버개발자1</t>
  </si>
  <si>
    <t>모바일신분증 인증 완료 화면 사이트명 처리 상이 이슈 분석 및 내부 검증 항목 정리</t>
  </si>
  <si>
    <t>모바일지갑 가입자정보 비식별 처리 후속 반영과 운영 연계 항목 점검 등 모바일신분증 서버 기능 개발검토</t>
  </si>
  <si>
    <t>모바일신분증 인증 완료 화면 사이트명 처리 보완 개발 및 내부 검증 정리</t>
  </si>
  <si>
    <t>모바일신분증 인증내역 노출 기준과 인증 결과 연계 구조 점검 등 모바일신분증 서버 기능 개발검토</t>
  </si>
  <si>
    <t>모바일신분증 인증 결과 연계 기능 보완 및 내부 검증 정리</t>
  </si>
  <si>
    <t>안면인증 통계 연계 구조 검토와 모바일신분증 운영 요청 정리 등 모바일신분증 서버 기능 개발검토</t>
  </si>
  <si>
    <t>모바일신분증 인증 결과 연계 보완과 통계 반영 내부 검증 정리</t>
  </si>
  <si>
    <t>CPM 실패 호출 개선 연계 영향도와 암호화 필드 RP 조회 연동 구조 점검 등 모바일신분증 서버 기능 개발검토</t>
  </si>
  <si>
    <t>모바일신분증 인증 결과 연계 기능 보완과 후속 내부 검증 정리</t>
  </si>
  <si>
    <t>반려동물 신분증 서비스 추가, 전체 메뉴 개편 검토, 서버 연계 산출물 정리 등 서버 기능 개발검토 및 기획협의</t>
  </si>
  <si>
    <t>서버개발자2</t>
  </si>
  <si>
    <t>시스템 운영</t>
  </si>
  <si>
    <t xml:space="preserve">서버 운영 지원 및 모니터링/장애대응_신분증 서비스 </t>
  </si>
  <si>
    <t>통합인증 CNAME 적용 지원, 5월 1차 반영 CDR 문서 및 컨플런스 작성, 운영 연계 문서화 등 시스템 운영 지원</t>
  </si>
  <si>
    <t>CSR_30800</t>
  </si>
  <si>
    <t>모바일신분증 운영 항목 정리, 통합인증 후속 지원, 자산 매핑 요청 연계 문서화 등 시스템 운영 지원</t>
  </si>
  <si>
    <t>모바일신분증·통합인증 연계 항목 정리와 다음 차수 서버 기능 개발검토 및 기획협의</t>
  </si>
  <si>
    <t>서버 운영 문서 정리와 EC2 스케일 조정 검토, 다음 차수 운영 연계 문서화 등 시스템 운영 지원</t>
  </si>
  <si>
    <t>운영 후속 정리와 서버 반영 준비 항목 점검 등 서버 기능 개발검토 및 기획협의</t>
  </si>
  <si>
    <t>5월 2차 반영 문서 정리, 유플러스 연계 대응 항목 점검, 운영 산출물 정리 등 시스템 운영 지원</t>
  </si>
  <si>
    <t>ㄴ26년 5월 1차 서버 배포</t>
  </si>
  <si>
    <t xml:space="preserve">서버 운영 후속 정리와 다음 차수 반영 준비, 연계 구조 점검 등 서버 기능 개발검토 </t>
  </si>
  <si>
    <t>CSR_11414</t>
  </si>
  <si>
    <t>운영 문서 정리, 반영 일정 문서화, 통합인증 연계 항목 점검 등 시스템 운영 지원</t>
  </si>
  <si>
    <t>서버 운영 후속 정리와 차수별 반영 준비, 연계 구조 점검 등 서버 기능 개발검토 및 기획협의</t>
  </si>
  <si>
    <t>PASS전자고지 고도화, MY개편 고도화, PASS주소록 고도화, PASS클라우드 추가 등 서버 기능 개발검토 및 기획협의</t>
  </si>
  <si>
    <t>서버개발자3</t>
  </si>
  <si>
    <t>서버 DVT 산출물 정리와 전자고지·부가서비스 반영 준비, 기능 적용 후 내부 검증 정리</t>
  </si>
  <si>
    <t>부가서비스관리자 접근 권한 정책 추가, 외부광고 노출 정책 점검, 서버 DVT 반영 항목 정리 등 부가서비스 서버 기능 개발검토 및 기획협의</t>
  </si>
  <si>
    <t>부가서비스 관리자 접근 권한 정책 반영과 외부광고 노출 조건 보완, 기능 적용 후 내부 검증 정리</t>
  </si>
  <si>
    <t>부가서비스 KMS연동, 서버 DVT 산출물 정리, 기능 시험항목절차·예외 시험항목 결과서 보완 등 서버 기능 개발검토 및 기획협의</t>
  </si>
  <si>
    <t>부가서비스 KMS 연동 서버 기능 선행 개발과 반영 산출물 정리</t>
  </si>
  <si>
    <t>서버 운영 지원 및 모니터링/장애대응_부가서비스 및 광고</t>
  </si>
  <si>
    <t>부가서비스 KMS연동, 상용환경 간편본인확인 OOM 대응, 5월 2차 정기반영 컨플루언스 문서 작성 등 서버 기능 개발검토 및 기획협의</t>
  </si>
  <si>
    <t>CSR_30700</t>
  </si>
  <si>
    <t>간편본인확인 인증내역 조회방식 변경과 검수환경 셀로 GW 방화벽 해제 후속 점검 등 시스템 운영 업무 수행</t>
  </si>
  <si>
    <t>부가서비스 KMS연동 6월 2차 반영, 서버 반영 일정 정리, 후속 적용 범위 검토 등 서버 기능 개발검토 및 기획협의</t>
  </si>
  <si>
    <t>KMS 연동 서버 반영 후속 점검과 운영 정리 등 시스템 운영 업무 수행</t>
  </si>
  <si>
    <t>명의도용방지서비스 수정, 메인 인증트렌드 영역 개편, PASS머니 X 만보기·복주머니 연계, 부가서비스 FCM SDK 교체 등 부가서비스 서버 기능 개발검토 및 기획협의</t>
  </si>
  <si>
    <t>서버개발자4</t>
  </si>
  <si>
    <t>통합PUSH WEB 서버 SSL 인증서 교체 모니터링, Metaspace OOM 발생 원인 분석, 운영 후속 조치 정리 등 시스템 운영 업무 수행</t>
  </si>
  <si>
    <t>신분증 서비스별 개인정보 수집·보관·파기 정보 확인, 개발기·운영기 자산 매핑 요청 반영, 부가서비스 반영 범위 점검 등 서버 기능 개발검토</t>
  </si>
  <si>
    <t>자산 매핑 요청 후속 정리와 신분증 개인정보 항목 운영 확인, 다음 차수 서버 반영 준비 등 시스템 운영 지원</t>
  </si>
  <si>
    <t>부가서비스 기능 시험 결과 검토, 예외 시험항목 보완, 서버 반영 체크리스트 정리 등 서버 기능 개발검토</t>
  </si>
  <si>
    <t>운영 점검 항목 정리와 연계 테스트 결과 반영 준비, 반영 후속 조치 정리 등 시스템 운영 지원</t>
  </si>
  <si>
    <t>5월 2차 반영 서버 점검 항목 정리, 서비스별 운영 체크포인트 보완, 후속 반영 범위 검토 등 서버 기능 개발검토</t>
  </si>
  <si>
    <t>검수환경 셀로 GW 방화벽 해제 연계 확인과 운영 후속 점검 항목 정리 등 시스템 운영 지원</t>
  </si>
  <si>
    <t>부가서비스 KMS 연동 후속 점검, 서버 반영 일정별 체크포인트 정리, 운영 반영 범위 재점검 등 서버 기능 개발검토</t>
  </si>
  <si>
    <t>서버 반영 후속 운영 점검과 시스템 확인 항목 정리, 차수별 운영 지원 사항 보완 등 시스템 운영 지원</t>
  </si>
  <si>
    <t>서버 DVT, 모바일신분증 SDMS 점검, ALMS 문서 등록, 서버 CVT 연계 확인 등 서버 반영 검증</t>
  </si>
  <si>
    <t>서버개발자5</t>
  </si>
  <si>
    <t>개발기·운영기 자산 매핑 요청, CI/DI KMS 연동 방안 확인, 모바일신분증 운영 확인 항목 정리 등 운영 요청 대응</t>
  </si>
  <si>
    <t>개발기·운영기 자산 매핑 요청, 나이스평가정보 테스터 면허 정보 누락 확인, 통합인증 CNAME 적용 지원 등 서버 반영 검증</t>
  </si>
  <si>
    <t>모바일신분증 자산 매핑 항목 정리와 운영 연계 확인 등 시스템 운영 업무 수행</t>
  </si>
  <si>
    <t>모바일운전면허 KMS연동, 통합인증 KMS연동 및 IMEI 제거, 서버 CVT, 상세반영절차서 정리 등 서버 반영 검증</t>
  </si>
  <si>
    <t>반영 패키지 준비, 상용화 시험, 모바일신분증 운영 연계 확인 등 시스템 운영 업무 수행</t>
  </si>
  <si>
    <t>모바일운전면허 KMS연동, 모바일신분증 KMS 연동 시퀀스 정리, 나이스정보통신 신분증결제 모듈 에러 확인 등 모바일신분증 기능 개발검토</t>
  </si>
  <si>
    <t>나이스정보통신 하나카드 테스트 요청, PASS신분증 모바일 웹 유니버설 링크 문의 확인, MPM 특정 가맹점 간헐적 오류 확인 등 운영 요청 대응</t>
  </si>
  <si>
    <t>모바일운전면허 KMS연동, 통합인증 KMS연동 및 IMEI 제거, CPM 실패 프로세스 크로스 체크, 에러코드 규격서 공유 등 모바일신분증·통합인증 기능 개발검토</t>
  </si>
  <si>
    <t>MIS 강제 업데이트 상용 데이터 추가 요청, 세븐일레븐 주민등록증 인증 거절 사유 문의 확인 등 운영 요청 대응</t>
  </si>
  <si>
    <t>부가서비스관리자 접근 권한 정책 추가, 용량산정서·DB 생성 스크립트·원복 스크립트·테이블 인덱스 정의서 작성 등 부가서비스 서버 기능 개발검토 및 기획협의</t>
  </si>
  <si>
    <t>서버개발자6</t>
  </si>
  <si>
    <t>부가서비스 DVT 산출물 정리와 관리자 접근 권한 정책 반영 준비, 기능 적용 후 내부 검증 정리</t>
  </si>
  <si>
    <t>서버 DVT, 기능 시험항목절차및결과서·예외 시험항목절차및결과서·일반서비스 기능 시험 결과 정리 등 부가서비스 서버 기능 개발검토 및 기획협의</t>
  </si>
  <si>
    <t>DVT 산출물 보완과 일반서비스 시험항목 반영, 기능 적용 후 내부 검증 정리</t>
  </si>
  <si>
    <t>서버 DVT 후속 점검, 기능 시험 결과 정리, 일반서비스 반영 준비 항목 보완 등 부가서비스 서버 기능 개발검토 및 기획협의</t>
  </si>
  <si>
    <t>일반서비스 시험항목 보완과 DVT 산출물 정리, 기능 적용 후 내부 검증 정리</t>
  </si>
  <si>
    <t>서버 반영 일정 점검, 기능 시험 결과 정리, 운영 연계 산출물 보완 등 부가서비스 서버 기능 개발검토 및 기획협의</t>
  </si>
  <si>
    <t>서버 DVT 후속 반영과 일반서비스 점검 항목 보완, 기능 적용 후 내부 검증 정리</t>
  </si>
  <si>
    <t>주소록X더치트프리미엄 연계 프로모션 개발, 부가서비스관리자 접근 권한 정책 추가, 서버 DVT 연계 항목 등 서버 기능 개발검토</t>
  </si>
  <si>
    <t>서버개발자7</t>
  </si>
  <si>
    <t>안면인증 실패 데이터 추출 요청, CI/CD 전환 시 필요한 리스트 확인, 모바일신분증 운영 요청 정리 등 서비스 운영 요청 대응</t>
  </si>
  <si>
    <t>5월 주소록X더치트프리미엄 연계 프로모션 개발, 안면인증 실패 데이터 추출 요청, 개인정보 보관·파기 정보 확인 등 서비스 운영 요청 대응</t>
  </si>
  <si>
    <t>주소록X더치트프리미엄 연계 프로모션 서버 기능 개발 및 내부 검증 정리</t>
  </si>
  <si>
    <t>CPM 노티 프로세스 개선, 주소록X오피스도우미 연계 이벤트, 모바일신분증 인증내역 노출 기준 정리 등 서버 기능 개발검토</t>
  </si>
  <si>
    <t>CPM 노티 프로세스 개선 서버 기능 개발 및 내부 검증 정리</t>
  </si>
  <si>
    <t>CPM 노티 프로세스 개선, 안면인증 실패 데이터 추출 요청, 인증내역 노출 기준 확인, 주소록X오피스도우미 연계 이벤트 등 모바일신분증·이벤트 연계 개발검토</t>
  </si>
  <si>
    <t>CPM 실패 호출 개선 개발 테스트, 암호화 필드 RP 조회 연동 개발, 안면인증 실패 데이터 추출 파일 전달 등 모바일신분증 서버 기능 개발검토</t>
  </si>
  <si>
    <t>CPM 노티 프로세스 연계 기능 보완 및 내부 검증 정리</t>
  </si>
  <si>
    <t>주소록X더치트프리미엄 연계 프로모션 페이지 퍼블</t>
  </si>
  <si>
    <t>2026-04-21</t>
  </si>
  <si>
    <t>퍼블리셔</t>
  </si>
  <si>
    <t>[A] 구분별 AI 활용 수준 현황</t>
  </si>
  <si>
    <t>전체 건수</t>
  </si>
  <si>
    <t>중</t>
  </si>
  <si>
    <t>하</t>
  </si>
  <si>
    <t>미활용</t>
  </si>
  <si>
    <t>AI활용율
(상+중)</t>
  </si>
  <si>
    <t>64.1%</t>
  </si>
  <si>
    <t>마케팅</t>
  </si>
  <si>
    <t>50.0%</t>
  </si>
  <si>
    <t>61.5%</t>
  </si>
  <si>
    <t>63.3%</t>
  </si>
  <si>
    <t>합계</t>
  </si>
  <si>
    <t>62.2%</t>
  </si>
  <si>
    <t>[B] 역할군별 AI 활용 수준</t>
  </si>
  <si>
    <t>역할군</t>
  </si>
  <si>
    <t>인원</t>
  </si>
  <si>
    <t>전체 M/M</t>
  </si>
  <si>
    <t>상(%)</t>
  </si>
  <si>
    <t>중(%)</t>
  </si>
  <si>
    <t>하(%)</t>
  </si>
  <si>
    <t>미활용(%)</t>
  </si>
  <si>
    <t>활용도 평가</t>
  </si>
  <si>
    <t>Android 개발</t>
  </si>
  <si>
    <t>58%</t>
  </si>
  <si>
    <t>30%</t>
  </si>
  <si>
    <t>8%</t>
  </si>
  <si>
    <t>4%</t>
  </si>
  <si>
    <t>우수</t>
  </si>
  <si>
    <t>iOS 개발</t>
  </si>
  <si>
    <t>55%</t>
  </si>
  <si>
    <t>32%</t>
  </si>
  <si>
    <t>10%</t>
  </si>
  <si>
    <t>3%</t>
  </si>
  <si>
    <t>서버 개발</t>
  </si>
  <si>
    <t>35%</t>
  </si>
  <si>
    <t>40%</t>
  </si>
  <si>
    <t>18%</t>
  </si>
  <si>
    <t>7%</t>
  </si>
  <si>
    <t>양호</t>
  </si>
  <si>
    <t>기획</t>
  </si>
  <si>
    <t>15%</t>
  </si>
  <si>
    <t>45%</t>
  </si>
  <si>
    <t>QA</t>
  </si>
  <si>
    <t>50%</t>
  </si>
  <si>
    <t>5%</t>
  </si>
  <si>
    <t>디자이너</t>
  </si>
  <si>
    <t>20%</t>
  </si>
  <si>
    <t>개선필요</t>
  </si>
  <si>
    <t>PM/퍼블리셔/CS 등</t>
  </si>
  <si>
    <t>25%</t>
  </si>
  <si>
    <t>[C] AI 활용 주요 사례 (Best Practice)</t>
  </si>
  <si>
    <t>No</t>
  </si>
  <si>
    <t>업무 영역</t>
  </si>
  <si>
    <t>AI 활용 내용</t>
  </si>
  <si>
    <t>활용 수준</t>
  </si>
  <si>
    <t>개선 효과 (정성적)</t>
  </si>
  <si>
    <t>AOS/iOS 앱 개발</t>
  </si>
  <si>
    <t>Copilot 활용 반복 코드 패턴 자동완성 및 코드리뷰 보조</t>
  </si>
  <si>
    <t>코드 작성 속도 향상, 코드 품질 일관성 개선</t>
  </si>
  <si>
    <t>서버 API 개발</t>
  </si>
  <si>
    <t>Copilot 활용 API 엔드포인트 코드 생성 및 단위테스트 보조</t>
  </si>
  <si>
    <t>API 개발 속도 향상, 테스트 커버리지 확대</t>
  </si>
  <si>
    <t>QA 테스트</t>
  </si>
  <si>
    <t>AI 기반 테스트 시나리오 초안 자동 생성 후 검토·보완</t>
  </si>
  <si>
    <t>테스트케이스 작성 시간 단축, 커버리지 향상</t>
  </si>
  <si>
    <t>기획·문서화</t>
  </si>
  <si>
    <t>기획서/요구사항 정의서 초안 AI 생성 후 검토·수정</t>
  </si>
  <si>
    <t>기획 리드타임 단축, 문서 표준화 개선</t>
  </si>
  <si>
    <t>서버 운영</t>
  </si>
  <si>
    <t>장애 대응 로그 분석 시 AI 활용, 모니터링 리포트 초안 생성</t>
  </si>
  <si>
    <t>장애 분석 시간 단축, 리포트 품질 향상</t>
  </si>
  <si>
    <t>마케팅/데이터</t>
  </si>
  <si>
    <t>GA4 데이터 분석 시 AI 활용, VOC 키워드 자동 분류</t>
  </si>
  <si>
    <t>데이터 분석 효율화, 인사이트 도출 속도 향상</t>
  </si>
  <si>
    <t>MM 관리·보고</t>
  </si>
  <si>
    <t>AI 활용 MM 집계/분석 자동화, 월간 리포트 초안 생성</t>
  </si>
  <si>
    <t>관리 업무 효율화, 데이터 기반 의사결정 지원</t>
  </si>
  <si>
    <t>[D] 월별 AI 활용 추이 (8차년도)</t>
  </si>
  <si>
    <t>항목</t>
  </si>
  <si>
    <t>25.11월</t>
  </si>
  <si>
    <t>25.12월</t>
  </si>
  <si>
    <t>26.01월</t>
  </si>
  <si>
    <t>26.02월</t>
  </si>
  <si>
    <t>26.03월</t>
  </si>
  <si>
    <t>26.04월</t>
  </si>
  <si>
    <t>26.05월</t>
  </si>
  <si>
    <t>추이</t>
  </si>
  <si>
    <t>→</t>
  </si>
  <si>
    <t>AI활용 건수
(상+중)</t>
  </si>
  <si>
    <t>↑</t>
  </si>
  <si>
    <t>AI 활용율</t>
  </si>
  <si>
    <t>40.1%</t>
  </si>
  <si>
    <t>46.4%</t>
  </si>
  <si>
    <t>49.3%</t>
  </si>
  <si>
    <t>56.7%</t>
  </si>
  <si>
    <t>57.9%</t>
  </si>
  <si>
    <t>60.7%</t>
  </si>
  <si>
    <t>↑↑</t>
  </si>
  <si>
    <t>상(적극활용)</t>
  </si>
  <si>
    <t>15.2%</t>
  </si>
  <si>
    <t>18.0%</t>
  </si>
  <si>
    <t>22.0%</t>
  </si>
  <si>
    <t>25.0%</t>
  </si>
  <si>
    <t>27.0%</t>
  </si>
  <si>
    <t>29.0%</t>
  </si>
  <si>
    <t>30.5%</t>
  </si>
  <si>
    <t>[E] AI 활용 개선 방향</t>
  </si>
  <si>
    <t>✅ 현재 성과</t>
  </si>
  <si>
    <t>전체 업무의 62.2%에서 AI 활용 중 (전월 대비 +1.5%p 증가), 개발 영역 중심으로 적극 활용 정착</t>
  </si>
  <si>
    <t>✅ 강점 영역</t>
  </si>
  <si>
    <t>앱 개발(AOS/iOS) 및 QA 영역에서 AI 활용 수준 "우수" 달성 → Copilot 코드 생성·테스트 자동화 중심</t>
  </si>
  <si>
    <t>📌 개선 필요</t>
  </si>
  <si>
    <t>디자이너·PM 영역 AI 활용 "개선필요" → 디자인 AI 도구 도입 검토, PM 보고 자동화 확대 필요</t>
  </si>
  <si>
    <t>📌 확대 방향</t>
  </si>
  <si>
    <t>서버 운영 영역 자동화 강화 (장애 예측, 리포트 자동 생성), 기획 영역 AI 활용 고도화 (PRD 자동 생성 등)</t>
  </si>
  <si>
    <t>🎯 목표</t>
  </si>
  <si>
    <t>8차년도 종료 시점(26.10월) AI 활용율 75% 이상, 전 역할군 "양호" 이상 달성</t>
  </si>
  <si>
    <t>📋 AI 활용 현황 기입 가이드</t>
  </si>
  <si>
    <t>1. 작성 목적</t>
  </si>
  <si>
    <t>• 개발 생산성 및 품질 향상을 위한 AI 활용 현황 파악</t>
  </si>
  <si>
    <t>• 팀별·역할별 AI 활용 수준 모니터링 및 개선 방향 도출</t>
  </si>
  <si>
    <t>• AI 도구 도입/확대를 위한 데이터 기반 의사결정 지원</t>
  </si>
  <si>
    <t>2. AI 활용 수준 정의</t>
  </si>
  <si>
    <t>수준</t>
  </si>
  <si>
    <t>정의</t>
  </si>
  <si>
    <t>판단 기준</t>
  </si>
  <si>
    <t>예시</t>
  </si>
  <si>
    <t>상
(적극활용)</t>
  </si>
  <si>
    <t>AI가 업무의 핵심 단계에서
직접적으로 활용됨</t>
  </si>
  <si>
    <t>• AI 생성물이 최종 산출물의
  50% 이상 기여
• 업무 흐름에 AI가 필수적으로 포함</t>
  </si>
  <si>
    <t>• Copilot 코드 자동완성/생성
• AI 테스트케이스 자동 생성
• AI 코드리뷰 보조</t>
  </si>
  <si>
    <t>중
(보조활용)</t>
  </si>
  <si>
    <t>AI가 보조 도구로서
업무 일부에 활용됨</t>
  </si>
  <si>
    <t>• AI 생성물을 참고하여
  수정·보완하는 수준
• 업무 효율화에 부분적 기여</t>
  </si>
  <si>
    <t>• 기획서 초안 AI 생성 후 수정
• AI 검색으로 기술 검토 보조
• 회의록/보고서 정리 보조</t>
  </si>
  <si>
    <t>하
(참고활용)</t>
  </si>
  <si>
    <t>AI를 부분적으로
참고 수준에서 활용함</t>
  </si>
  <si>
    <t>• AI를 검색/탐색 목적으로만 사용
• 직접적 업무 반영은 제한적</t>
  </si>
  <si>
    <t>• ChatGPT 기술 검색
• AI 레퍼런스 탐색
• 용어/개념 확인</t>
  </si>
  <si>
    <t>AI를 사용하지 않음</t>
  </si>
  <si>
    <t>• 해당 업무에 AI 활용 없음
• 기존 방식 그대로 수행</t>
  </si>
  <si>
    <t>• 수동 코딩만 수행
• 기존 도구만 사용</t>
  </si>
  <si>
    <t>3. 역할별 AI활용내용 작성 예시</t>
  </si>
  <si>
    <t>AI활용 수준 (기대)</t>
  </si>
  <si>
    <t>AI활용내용 작성 예시</t>
  </si>
  <si>
    <t>앱 개발자
(AOS/iOS)</t>
  </si>
  <si>
    <t>상~중</t>
  </si>
  <si>
    <t>• "Copilot 코드 자동완성 활용" 
• "단위테스트 코드 생성 보조"
• "코드리뷰 시 AI 분석 활용"
• "반복 패턴 코드 자동 생성"</t>
  </si>
  <si>
    <t>서버 개발자</t>
  </si>
  <si>
    <t>• "Copilot 서버 API 코드 생성 보조"
• "SQL 쿼리 최적화 검토 보조"
• "API 테스트 코드 자동 생성"
• "서버 설정 스크립트 생성 보조"</t>
  </si>
  <si>
    <t>기획자</t>
  </si>
  <si>
    <t>중~하</t>
  </si>
  <si>
    <t>• "테스트 시나리오 자동 생성"
• "결함 리포트 작성 보조"
• "회귀 테스트 케이스 생성"
• "테스트 데이터 생성 보조"</t>
  </si>
  <si>
    <t>• "UI 레퍼런스 탐색 참고"
• "디자인 시안 변형 생성 보조"
• "아이콘/일러스트 초안 생성"</t>
  </si>
  <si>
    <t>PM/사업</t>
  </si>
  <si>
    <t>• "회의록 정리 보조"
• "보고서 초안 작성 활용"
• "현황 데이터 분석 보조"
• "일정 관리 요약 정리"</t>
  </si>
  <si>
    <t>4. 작성 시 유의사항</t>
  </si>
  <si>
    <t>① AI활용 수준은 해당 업무에서 AI가 어느 정도 기여했는지 기준으로 솔직하게 선택하세요.</t>
  </si>
  <si>
    <t>③ 동일 작업이라도 AI 활용 방식이 다르면 다르게 기입하세요.</t>
  </si>
  <si>
    <t>④ "미활용"도 의미 있는 데이터입니다 — AI 적용이 어려운 업무를 파악하는 데 활용됩니다.</t>
  </si>
  <si>
    <t>⑤ 본 데이터는 AI 활용 확대 및 생산성 향상 방안 수립에 활용됩니다.</t>
  </si>
  <si>
    <t>■ AI 활용 현황 분석 Dashboard (26년 05월) _유플러스 작성 예정</t>
    <phoneticPr fontId="9" type="noConversion"/>
  </si>
  <si>
    <t>VarChar()</t>
    <phoneticPr fontId="12" type="noConversion"/>
  </si>
  <si>
    <t>Character</t>
    <phoneticPr fontId="12" type="noConversion"/>
  </si>
  <si>
    <t>=E&amp;F</t>
    <phoneticPr fontId="12" type="noConversion"/>
  </si>
  <si>
    <t>파트너</t>
  </si>
  <si>
    <t>사업계획</t>
    <phoneticPr fontId="12" type="noConversion"/>
  </si>
  <si>
    <t>YYYY-MM</t>
    <phoneticPr fontId="12" type="noConversion"/>
  </si>
  <si>
    <t>완료</t>
    <phoneticPr fontId="12" type="noConversion"/>
  </si>
  <si>
    <t>ABC_123</t>
    <phoneticPr fontId="12" type="noConversion"/>
  </si>
  <si>
    <t>012</t>
    <phoneticPr fontId="12" type="noConversion"/>
  </si>
  <si>
    <t>SI</t>
  </si>
  <si>
    <t>신규</t>
    <phoneticPr fontId="12" type="noConversion"/>
  </si>
  <si>
    <t>진행중(개발착수 후~)</t>
    <phoneticPr fontId="12" type="noConversion"/>
  </si>
  <si>
    <t>ATON투자</t>
    <phoneticPr fontId="12" type="noConversion"/>
  </si>
  <si>
    <t>진행예정(협의개시~개발착수 전)</t>
    <phoneticPr fontId="12" type="noConversion"/>
  </si>
  <si>
    <t>진행취소</t>
    <phoneticPr fontId="12" type="noConversion"/>
  </si>
  <si>
    <t>사업추진과제</t>
    <phoneticPr fontId="12" type="noConversion"/>
  </si>
  <si>
    <t>업무요청</t>
    <phoneticPr fontId="12" type="noConversion"/>
  </si>
  <si>
    <t>처리일정</t>
    <phoneticPr fontId="12" type="noConversion"/>
  </si>
  <si>
    <t>인력투입(M/M)</t>
    <phoneticPr fontId="12" type="noConversion"/>
  </si>
  <si>
    <t>비고</t>
    <phoneticPr fontId="12" type="noConversion"/>
  </si>
  <si>
    <t>구분</t>
    <phoneticPr fontId="12" type="noConversion"/>
  </si>
  <si>
    <t>중점추진과제</t>
    <phoneticPr fontId="12" type="noConversion"/>
  </si>
  <si>
    <t>상세추진과제</t>
    <phoneticPr fontId="12" type="noConversion"/>
  </si>
  <si>
    <t>CSR_Level1</t>
    <phoneticPr fontId="12" type="noConversion"/>
  </si>
  <si>
    <t>Level2</t>
    <phoneticPr fontId="12" type="noConversion"/>
  </si>
  <si>
    <t>업무아이디</t>
    <phoneticPr fontId="12" type="noConversion"/>
  </si>
  <si>
    <t>R&amp;R</t>
    <phoneticPr fontId="12" type="noConversion"/>
  </si>
  <si>
    <t xml:space="preserve">요청일 </t>
    <phoneticPr fontId="12" type="noConversion"/>
  </si>
  <si>
    <t>사업담당</t>
    <phoneticPr fontId="12" type="noConversion"/>
  </si>
  <si>
    <t>개발담당</t>
    <phoneticPr fontId="12" type="noConversion"/>
  </si>
  <si>
    <t>배포일정</t>
    <phoneticPr fontId="12" type="noConversion"/>
  </si>
  <si>
    <t>진행상태</t>
    <phoneticPr fontId="12" type="noConversion"/>
  </si>
  <si>
    <t>계획</t>
    <phoneticPr fontId="12" type="noConversion"/>
  </si>
  <si>
    <t>실적</t>
    <phoneticPr fontId="12" type="noConversion"/>
  </si>
  <si>
    <t>25년 11월</t>
    <phoneticPr fontId="12" type="noConversion"/>
  </si>
  <si>
    <t>25년 12월</t>
    <phoneticPr fontId="12" type="noConversion"/>
  </si>
  <si>
    <t>26년 01월</t>
    <phoneticPr fontId="12" type="noConversion"/>
  </si>
  <si>
    <t>26년 02월</t>
    <phoneticPr fontId="12" type="noConversion"/>
  </si>
  <si>
    <t>26년 03월</t>
  </si>
  <si>
    <t>26년 04월</t>
  </si>
  <si>
    <t>26년 05월</t>
  </si>
  <si>
    <t>26년 06월</t>
  </si>
  <si>
    <t>26년 07월</t>
  </si>
  <si>
    <t>26년 08월</t>
  </si>
  <si>
    <t>26년 09월</t>
  </si>
  <si>
    <t>26년 10월</t>
  </si>
  <si>
    <t>기능 고도화</t>
    <phoneticPr fontId="12" type="noConversion"/>
  </si>
  <si>
    <t>PASS기능개발</t>
    <phoneticPr fontId="12" type="noConversion"/>
  </si>
  <si>
    <t xml:space="preserve">PASS앱 광고영역 확대 및 고도화 (구글광고 연동 등) </t>
    <phoneticPr fontId="12" type="noConversion"/>
  </si>
  <si>
    <t>CSR_10100</t>
    <phoneticPr fontId="12" type="noConversion"/>
  </si>
  <si>
    <t>파트너</t>
    <phoneticPr fontId="12" type="noConversion"/>
  </si>
  <si>
    <t>이제훈C</t>
    <phoneticPr fontId="12" type="noConversion"/>
  </si>
  <si>
    <t>백광규C</t>
  </si>
  <si>
    <t>PASS 홈 화면 고도화 (쉬운 화면 적용 등)</t>
    <phoneticPr fontId="12" type="noConversion"/>
  </si>
  <si>
    <t>CSR_10200</t>
    <phoneticPr fontId="12" type="noConversion"/>
  </si>
  <si>
    <t>박성훈C</t>
    <phoneticPr fontId="12" type="noConversion"/>
  </si>
  <si>
    <t>PASS 다크모드 지원</t>
  </si>
  <si>
    <t>CSR_10300</t>
  </si>
  <si>
    <t>PASS MY 화면 고도화</t>
    <phoneticPr fontId="12" type="noConversion"/>
  </si>
  <si>
    <t>26년 3월</t>
    <phoneticPr fontId="12" type="noConversion"/>
  </si>
  <si>
    <t>진행중</t>
    <phoneticPr fontId="12" type="noConversion"/>
  </si>
  <si>
    <t>PASS 전체 화면 고도화</t>
  </si>
  <si>
    <t>CSR_10500</t>
  </si>
  <si>
    <t>PASS 알림내역 화면 고도화</t>
    <phoneticPr fontId="12" type="noConversion"/>
  </si>
  <si>
    <t>CSR_10600</t>
    <phoneticPr fontId="12" type="noConversion"/>
  </si>
  <si>
    <t>PASS 앱인앱 고도화 (웹뷰 고도화)</t>
    <phoneticPr fontId="12" type="noConversion"/>
  </si>
  <si>
    <t>PASS 주소록 기능 개발</t>
    <phoneticPr fontId="12" type="noConversion"/>
  </si>
  <si>
    <t>PASS 운영/마케팅 기능 개선</t>
  </si>
  <si>
    <t>CSR_10900</t>
    <phoneticPr fontId="12" type="noConversion"/>
  </si>
  <si>
    <t>PASS 로그인 방식 개선 (정책 강화 등)</t>
    <phoneticPr fontId="12" type="noConversion"/>
  </si>
  <si>
    <t>CSR_11000</t>
    <phoneticPr fontId="12" type="noConversion"/>
  </si>
  <si>
    <t>ㄴ PIN 인증방식 전환</t>
    <phoneticPr fontId="12" type="noConversion"/>
  </si>
  <si>
    <t>CSR_11001</t>
  </si>
  <si>
    <t>ㄴ JWT 도입에 따른 앱 진입/인증 흐름 개선</t>
    <phoneticPr fontId="12" type="noConversion"/>
  </si>
  <si>
    <t>CSR_11002</t>
  </si>
  <si>
    <t>PASS 공통 화면 개선 (모달형태 약관 화면 적용, 알림팝업 적용 등)</t>
    <phoneticPr fontId="12" type="noConversion"/>
  </si>
  <si>
    <t>PASS 홈페이지 고도화</t>
  </si>
  <si>
    <t>CSR_11200</t>
    <phoneticPr fontId="12" type="noConversion"/>
  </si>
  <si>
    <t>서비스 개발</t>
    <phoneticPr fontId="12" type="noConversion"/>
  </si>
  <si>
    <t>ㄴ회원가입화면 개선</t>
    <phoneticPr fontId="12" type="noConversion"/>
  </si>
  <si>
    <t>CSR_11301</t>
  </si>
  <si>
    <t xml:space="preserve">25년 12월 </t>
    <phoneticPr fontId="12" type="noConversion"/>
  </si>
  <si>
    <t>ㄴ펫신분증 UI 개선</t>
    <phoneticPr fontId="12" type="noConversion"/>
  </si>
  <si>
    <t>CSR_11302</t>
  </si>
  <si>
    <t>ㄴ계좌인증 금융기관 선택 화면 현행화</t>
    <phoneticPr fontId="12" type="noConversion"/>
  </si>
  <si>
    <t>CSR_11303</t>
    <phoneticPr fontId="12" type="noConversion"/>
  </si>
  <si>
    <t>백광규C</t>
    <phoneticPr fontId="12" type="noConversion"/>
  </si>
  <si>
    <t>26년 03월</t>
    <phoneticPr fontId="12" type="noConversion"/>
  </si>
  <si>
    <t>ㄴ1:1 문의 카테고리 추가</t>
    <phoneticPr fontId="12" type="noConversion"/>
  </si>
  <si>
    <t>CSR_11304</t>
    <phoneticPr fontId="12" type="noConversion"/>
  </si>
  <si>
    <t>ㄴ유·무료 서비스 동의화면 개선</t>
    <phoneticPr fontId="12" type="noConversion"/>
  </si>
  <si>
    <t>CSR_11305</t>
  </si>
  <si>
    <t xml:space="preserve">26년 06월 </t>
    <phoneticPr fontId="12" type="noConversion"/>
  </si>
  <si>
    <t>ㄴ하단GNB 개편</t>
    <phoneticPr fontId="12" type="noConversion"/>
  </si>
  <si>
    <t>CSR_11306</t>
    <phoneticPr fontId="12" type="noConversion"/>
  </si>
  <si>
    <t>ㄴ부가서비스 다회선 전환시 안내 문구 및 마스킹 처리 적용</t>
    <phoneticPr fontId="12" type="noConversion"/>
  </si>
  <si>
    <t>CSR_11307</t>
    <phoneticPr fontId="12" type="noConversion"/>
  </si>
  <si>
    <t>ㄴ폴라리스오피스 기본앱 설정 관련 수정</t>
    <phoneticPr fontId="12" type="noConversion"/>
  </si>
  <si>
    <t>CSR_11308</t>
    <phoneticPr fontId="12" type="noConversion"/>
  </si>
  <si>
    <t>이제훈C</t>
  </si>
  <si>
    <t>ㄴ고객의 소리 링크 변경</t>
    <phoneticPr fontId="12" type="noConversion"/>
  </si>
  <si>
    <t>CSR_11309</t>
    <phoneticPr fontId="12" type="noConversion"/>
  </si>
  <si>
    <t>ㄴMIS 실행 시 선택 업데이트 기능 추가</t>
    <phoneticPr fontId="12" type="noConversion"/>
  </si>
  <si>
    <t>CSR_11310</t>
  </si>
  <si>
    <t>박병주C</t>
    <phoneticPr fontId="12" type="noConversion"/>
  </si>
  <si>
    <t>ㄴ애드몹 광고형식 추가</t>
    <phoneticPr fontId="12" type="noConversion"/>
  </si>
  <si>
    <t>CSR_11311</t>
  </si>
  <si>
    <t>ㄴ PASS 전자고지 열람 시 IMEI 조회 실패 오류 안내 개선</t>
    <phoneticPr fontId="12" type="noConversion"/>
  </si>
  <si>
    <t>CSR_11312</t>
  </si>
  <si>
    <t xml:space="preserve">26년 04월 </t>
    <phoneticPr fontId="12" type="noConversion"/>
  </si>
  <si>
    <t>ㄴIOS : PASS 앱 icloud (클라우드 복원시 재가입 프로세스 유도)</t>
    <phoneticPr fontId="12" type="noConversion"/>
  </si>
  <si>
    <t>CSR_11313</t>
  </si>
  <si>
    <t xml:space="preserve">ㄴ외부플랫폼 진입 시 브릿지 페이지 </t>
    <phoneticPr fontId="12" type="noConversion"/>
  </si>
  <si>
    <t>CSR_11314</t>
    <phoneticPr fontId="12" type="noConversion"/>
  </si>
  <si>
    <t>ㄴ업데이트 후 서비스 진입 개선</t>
    <phoneticPr fontId="12" type="noConversion"/>
  </si>
  <si>
    <t>CSR_11315</t>
    <phoneticPr fontId="12" type="noConversion"/>
  </si>
  <si>
    <t>ㄴ유료가입 페이지 바텀시트 처리</t>
    <phoneticPr fontId="12" type="noConversion"/>
  </si>
  <si>
    <t>CSR_11316</t>
    <phoneticPr fontId="12" type="noConversion"/>
  </si>
  <si>
    <t>26년 08월</t>
    <phoneticPr fontId="12" type="noConversion"/>
  </si>
  <si>
    <t>ㄴPASS 내 스와이프로 뒤로가기</t>
    <phoneticPr fontId="12" type="noConversion"/>
  </si>
  <si>
    <t>CSR_11317</t>
    <phoneticPr fontId="12" type="noConversion"/>
  </si>
  <si>
    <t>서비스 품질개선</t>
    <phoneticPr fontId="12" type="noConversion"/>
  </si>
  <si>
    <t>CSR_11400</t>
  </si>
  <si>
    <t>ㄴ25년 11월 2차 서버 검수</t>
    <phoneticPr fontId="12" type="noConversion"/>
  </si>
  <si>
    <t>CSR_11401</t>
  </si>
  <si>
    <t>ㄴ25년 11월 앱 배포 검수</t>
    <phoneticPr fontId="12" type="noConversion"/>
  </si>
  <si>
    <t>CSR_11402</t>
  </si>
  <si>
    <t>ㄴ25년 12월 서버 긴급 검수</t>
    <phoneticPr fontId="12" type="noConversion"/>
  </si>
  <si>
    <t>CSR_11403</t>
    <phoneticPr fontId="12" type="noConversion"/>
  </si>
  <si>
    <t>ㄴ25년 12월 앱 긴급 배포 검수</t>
    <phoneticPr fontId="12" type="noConversion"/>
  </si>
  <si>
    <t>CSR_11404</t>
    <phoneticPr fontId="12" type="noConversion"/>
  </si>
  <si>
    <t>ㄴ26년 01월 2차 서버 검수</t>
    <phoneticPr fontId="12" type="noConversion"/>
  </si>
  <si>
    <t>CSR_11405</t>
    <phoneticPr fontId="12" type="noConversion"/>
  </si>
  <si>
    <t xml:space="preserve">26년 02월 </t>
    <phoneticPr fontId="12" type="noConversion"/>
  </si>
  <si>
    <t>ㄴ26년 01월 앱 긴급 배포 검수</t>
    <phoneticPr fontId="12" type="noConversion"/>
  </si>
  <si>
    <t>CSR_11406</t>
  </si>
  <si>
    <t xml:space="preserve">26년 01월 </t>
    <phoneticPr fontId="12" type="noConversion"/>
  </si>
  <si>
    <t>ㄴ26년 2월 서버 긴급 검수</t>
    <phoneticPr fontId="12" type="noConversion"/>
  </si>
  <si>
    <t>CSR_11407</t>
    <phoneticPr fontId="12" type="noConversion"/>
  </si>
  <si>
    <t>ㄴ26년 2월 앱 긴급 배포 검수</t>
    <phoneticPr fontId="12" type="noConversion"/>
  </si>
  <si>
    <t>CSR_11408</t>
    <phoneticPr fontId="12" type="noConversion"/>
  </si>
  <si>
    <t>ㄴ26년 3월 앱 배포 검수</t>
    <phoneticPr fontId="12" type="noConversion"/>
  </si>
  <si>
    <t>CSR_11409</t>
    <phoneticPr fontId="12" type="noConversion"/>
  </si>
  <si>
    <t xml:space="preserve">26년 03월 </t>
    <phoneticPr fontId="12" type="noConversion"/>
  </si>
  <si>
    <t>ㄴ26년 3월 1차 서버 검수</t>
    <phoneticPr fontId="12" type="noConversion"/>
  </si>
  <si>
    <t>CSR_11410</t>
    <phoneticPr fontId="12" type="noConversion"/>
  </si>
  <si>
    <t>ㄴ26년 3월 2차 서버 검수</t>
    <phoneticPr fontId="12" type="noConversion"/>
  </si>
  <si>
    <t>CSR_11411</t>
    <phoneticPr fontId="12" type="noConversion"/>
  </si>
  <si>
    <t>ㄴ26년 4월 앱 배포 검수</t>
    <phoneticPr fontId="12" type="noConversion"/>
  </si>
  <si>
    <t>CSR_11412</t>
    <phoneticPr fontId="12" type="noConversion"/>
  </si>
  <si>
    <t>ㄴ26년 4월 1차 서버 검수</t>
    <phoneticPr fontId="12" type="noConversion"/>
  </si>
  <si>
    <t>CSR_11413</t>
    <phoneticPr fontId="12" type="noConversion"/>
  </si>
  <si>
    <t>ㄴ26년 5월 1차 서버 배포</t>
    <phoneticPr fontId="12" type="noConversion"/>
  </si>
  <si>
    <t>CSR_11414</t>
    <phoneticPr fontId="12" type="noConversion"/>
  </si>
  <si>
    <t>26년 05월</t>
    <phoneticPr fontId="12" type="noConversion"/>
  </si>
  <si>
    <t>ㄴ26년 6월 앱 배포 검수</t>
    <phoneticPr fontId="12" type="noConversion"/>
  </si>
  <si>
    <t>26년 06월</t>
    <phoneticPr fontId="12" type="noConversion"/>
  </si>
  <si>
    <t xml:space="preserve">PASS UI/UX 개선 </t>
    <phoneticPr fontId="12" type="noConversion"/>
  </si>
  <si>
    <t>CSR_11500</t>
    <phoneticPr fontId="12" type="noConversion"/>
  </si>
  <si>
    <t>소계</t>
    <phoneticPr fontId="12" type="noConversion"/>
  </si>
  <si>
    <t xml:space="preserve">마케팅 </t>
    <phoneticPr fontId="12" type="noConversion"/>
  </si>
  <si>
    <t>PASS활성화 이벤트</t>
    <phoneticPr fontId="12" type="noConversion"/>
  </si>
  <si>
    <t>(상시) PASS앱 이벤트 실행·효과분석</t>
    <phoneticPr fontId="12" type="noConversion"/>
  </si>
  <si>
    <t>CSR_20000</t>
    <phoneticPr fontId="12" type="noConversion"/>
  </si>
  <si>
    <t>ㄴ앱 리뷰 이벤트 2차</t>
    <phoneticPr fontId="12" type="noConversion"/>
  </si>
  <si>
    <t>CSR_20001</t>
  </si>
  <si>
    <t>사업계획</t>
  </si>
  <si>
    <t>25년 10월</t>
    <phoneticPr fontId="12" type="noConversion"/>
  </si>
  <si>
    <t>ㄴPASS 출첵 스탬프 이벤트</t>
    <phoneticPr fontId="12" type="noConversion"/>
  </si>
  <si>
    <t>CSR_20002</t>
  </si>
  <si>
    <t>ㄴGS25 신분증결제 오픈 이벤트 1차</t>
    <phoneticPr fontId="12" type="noConversion"/>
  </si>
  <si>
    <t>CSR_20003</t>
  </si>
  <si>
    <t>ㄴGS25 신분증결제 오픈 이벤트 2차</t>
    <phoneticPr fontId="12" type="noConversion"/>
  </si>
  <si>
    <t>CSR_20004</t>
  </si>
  <si>
    <t>ㄴPASS 전자고지 활성화 이벤트</t>
    <phoneticPr fontId="12" type="noConversion"/>
  </si>
  <si>
    <t>CSR_20005</t>
    <phoneticPr fontId="12" type="noConversion"/>
  </si>
  <si>
    <t>ㄴ주소록 오픈 이벤트 (with 오피스도우미)</t>
    <phoneticPr fontId="12" type="noConversion"/>
  </si>
  <si>
    <t>CSR_20006</t>
    <phoneticPr fontId="12" type="noConversion"/>
  </si>
  <si>
    <t>26년 04월</t>
    <phoneticPr fontId="12" type="noConversion"/>
  </si>
  <si>
    <t>ㄴ주소록X더치트프리미엄 연계 이벤트</t>
    <phoneticPr fontId="12" type="noConversion"/>
  </si>
  <si>
    <t>CSR_20007</t>
    <phoneticPr fontId="12" type="noConversion"/>
  </si>
  <si>
    <t>ㄴ26년 전국동시지방선거 홍보</t>
    <phoneticPr fontId="12" type="noConversion"/>
  </si>
  <si>
    <t>(기타) 부가서비스 이벤트 지원</t>
    <phoneticPr fontId="12" type="noConversion"/>
  </si>
  <si>
    <t>CSR_20100</t>
    <phoneticPr fontId="12" type="noConversion"/>
  </si>
  <si>
    <t>마케팅 관련 고도화 및 지원</t>
    <phoneticPr fontId="12" type="noConversion"/>
  </si>
  <si>
    <t>PASS머니 고도화 및 운영 지원</t>
    <phoneticPr fontId="12" type="noConversion"/>
  </si>
  <si>
    <t>PUSH시스템 고도화 및 운영 지원</t>
    <phoneticPr fontId="12" type="noConversion"/>
  </si>
  <si>
    <t>CSR_20300</t>
    <phoneticPr fontId="12" type="noConversion"/>
  </si>
  <si>
    <t>GA4 컨텐츠 그룹핑 반영 및 운영 지원</t>
    <phoneticPr fontId="12" type="noConversion"/>
  </si>
  <si>
    <t>서비스 품질관리</t>
    <phoneticPr fontId="12" type="noConversion"/>
  </si>
  <si>
    <t>서비스 운영</t>
    <phoneticPr fontId="12" type="noConversion"/>
  </si>
  <si>
    <t>CP 파트너십 관리 (PASS 앱 기획, 디자인, 개발 가이드)</t>
    <phoneticPr fontId="12" type="noConversion"/>
  </si>
  <si>
    <t>CSR_30000</t>
    <phoneticPr fontId="12" type="noConversion"/>
  </si>
  <si>
    <t>금융광고 관리 (PASS 앱 기획, 디자인, 개발 가이드)</t>
    <phoneticPr fontId="12" type="noConversion"/>
  </si>
  <si>
    <t>CSR_30100</t>
    <phoneticPr fontId="12" type="noConversion"/>
  </si>
  <si>
    <t>LGU+ 요청사항 대응 및 운영</t>
    <phoneticPr fontId="12" type="noConversion"/>
  </si>
  <si>
    <t>CSR_30200</t>
    <phoneticPr fontId="12" type="noConversion"/>
  </si>
  <si>
    <t>VOC 처리, 대응 및 사용자 공지</t>
    <phoneticPr fontId="12" type="noConversion"/>
  </si>
  <si>
    <t xml:space="preserve">서비스 품질관리를 위한 내부 QA 진행 </t>
  </si>
  <si>
    <t>CSR_30500</t>
  </si>
  <si>
    <t>시스템 운영</t>
    <phoneticPr fontId="12" type="noConversion"/>
  </si>
  <si>
    <t>서버 운영 지원 및 모니터링/장애대응_부가서비스 및 광고</t>
    <phoneticPr fontId="12" type="noConversion"/>
  </si>
  <si>
    <t>CSR_30700</t>
    <phoneticPr fontId="12" type="noConversion"/>
  </si>
  <si>
    <t xml:space="preserve">서버 운영 지원 및 모니터링/장애대응_신분증 서비스 </t>
    <phoneticPr fontId="12" type="noConversion"/>
  </si>
  <si>
    <t>장애대응 공지메뉴 추가 (VAS 어드민)</t>
    <phoneticPr fontId="12" type="noConversion"/>
  </si>
  <si>
    <t>CSR_30900</t>
    <phoneticPr fontId="12" type="noConversion"/>
  </si>
  <si>
    <t>신규사업 개발</t>
    <phoneticPr fontId="12" type="noConversion"/>
  </si>
  <si>
    <t>B2G서비스 연동</t>
    <phoneticPr fontId="12" type="noConversion"/>
  </si>
  <si>
    <t>CSR_40000</t>
    <phoneticPr fontId="12" type="noConversion"/>
  </si>
  <si>
    <t>혜택알리미 등 PASS지갑 연동 개발</t>
  </si>
  <si>
    <t>CSR_40100</t>
    <phoneticPr fontId="12" type="noConversion"/>
  </si>
  <si>
    <t>인증플랫폼</t>
    <phoneticPr fontId="12" type="noConversion"/>
  </si>
  <si>
    <t>본인확인 고도화</t>
  </si>
  <si>
    <t>CSR_40200</t>
  </si>
  <si>
    <t>김동한C</t>
    <phoneticPr fontId="12" type="noConversion"/>
  </si>
  <si>
    <t>모바일신분증 고도화 (라인업 확대_시민증 관광증)</t>
    <phoneticPr fontId="12" type="noConversion"/>
  </si>
  <si>
    <t>통신업무 "안면인증" PASS 활용 기능 및 사업화</t>
    <phoneticPr fontId="12" type="noConversion"/>
  </si>
  <si>
    <t>인증서 고도화</t>
    <phoneticPr fontId="12" type="noConversion"/>
  </si>
  <si>
    <t>임인혁C</t>
    <phoneticPr fontId="12" type="noConversion"/>
  </si>
  <si>
    <t>PASS지갑 고도화</t>
    <phoneticPr fontId="12" type="noConversion"/>
  </si>
  <si>
    <t>휴대폰결제 고도화</t>
    <phoneticPr fontId="12" type="noConversion"/>
  </si>
  <si>
    <t>신분증결제 고도화</t>
    <phoneticPr fontId="12" type="noConversion"/>
  </si>
  <si>
    <t>CSR_40800</t>
  </si>
  <si>
    <t>신규서비스개발</t>
    <phoneticPr fontId="12" type="noConversion"/>
  </si>
  <si>
    <t>PASS 안심인증 서비스 개발</t>
  </si>
  <si>
    <t>CSR_40900</t>
  </si>
  <si>
    <t>콘텐츠 신규 개발 및 플랫폼 연동</t>
  </si>
  <si>
    <t>CSR_41000</t>
  </si>
  <si>
    <t>부가서비스 신규 개발 및 플랫폼 연동</t>
  </si>
  <si>
    <t>CSR_41100</t>
  </si>
  <si>
    <t>ㄴ마인드케어 프리미엄</t>
    <phoneticPr fontId="12" type="noConversion"/>
  </si>
  <si>
    <t>CSR_41101</t>
    <phoneticPr fontId="12" type="noConversion"/>
  </si>
  <si>
    <t>ㄴ에코혜택모아</t>
    <phoneticPr fontId="12" type="noConversion"/>
  </si>
  <si>
    <t>CSR_41102</t>
    <phoneticPr fontId="12" type="noConversion"/>
  </si>
  <si>
    <t>ㄴPASS안심클라우드</t>
    <phoneticPr fontId="12" type="noConversion"/>
  </si>
  <si>
    <t>ㄴ오늘의 게임</t>
    <phoneticPr fontId="12" type="noConversion"/>
  </si>
  <si>
    <t>CSR_41104</t>
    <phoneticPr fontId="12" type="noConversion"/>
  </si>
  <si>
    <t>일반서비스 신규 개발 및 플랫폼 연동</t>
    <phoneticPr fontId="12" type="noConversion"/>
  </si>
  <si>
    <t>CSR_41200</t>
    <phoneticPr fontId="12" type="noConversion"/>
  </si>
  <si>
    <t>ㄴ스마트청구서 개발</t>
    <phoneticPr fontId="12" type="noConversion"/>
  </si>
  <si>
    <t>CSR_41201</t>
    <phoneticPr fontId="12" type="noConversion"/>
  </si>
  <si>
    <t>ㄴB2C PASS 보안서비스</t>
    <phoneticPr fontId="12" type="noConversion"/>
  </si>
  <si>
    <t>CSR_41202</t>
    <phoneticPr fontId="12" type="noConversion"/>
  </si>
  <si>
    <t>26년 10월</t>
    <phoneticPr fontId="12" type="noConversion"/>
  </si>
  <si>
    <t>합계</t>
    <phoneticPr fontId="12" type="noConversion"/>
  </si>
  <si>
    <t>※ 인력투입 M/M는 사업 요구사항에 따라 M/M이 변경될 수 있음을 명시합니다.</t>
    <phoneticPr fontId="12" type="noConversion"/>
  </si>
  <si>
    <t>월</t>
    <phoneticPr fontId="12" type="noConversion"/>
  </si>
  <si>
    <t>상세 추진 내용</t>
    <phoneticPr fontId="12" type="noConversion"/>
  </si>
  <si>
    <t>CSR ID</t>
    <phoneticPr fontId="12" type="noConversion"/>
  </si>
  <si>
    <t>투입M/D</t>
    <phoneticPr fontId="12" type="noConversion"/>
  </si>
  <si>
    <t>투입M/M</t>
    <phoneticPr fontId="12" type="noConversion"/>
  </si>
  <si>
    <t>처리자</t>
    <phoneticPr fontId="12" type="noConversion"/>
  </si>
  <si>
    <t>4월</t>
    <phoneticPr fontId="12" type="noConversion"/>
  </si>
  <si>
    <t>5월</t>
    <phoneticPr fontId="12" type="noConversion"/>
  </si>
  <si>
    <t>CS문의 대응</t>
    <phoneticPr fontId="12" type="noConversion"/>
  </si>
  <si>
    <t>CS1</t>
    <phoneticPr fontId="12" type="noConversion"/>
  </si>
  <si>
    <t>6월 앱 DVT 설계
- 개편 항목 테스트 케이스 설계 , 테스트 데이터 준비, 테스트 환경 설정</t>
    <phoneticPr fontId="12" type="noConversion"/>
  </si>
  <si>
    <t>4월 24일</t>
    <phoneticPr fontId="12" type="noConversion"/>
  </si>
  <si>
    <t>QA1</t>
    <phoneticPr fontId="12" type="noConversion"/>
  </si>
  <si>
    <t>6월 앱 DVT 수행
- 인앱 브라우저, MY 고도화, 오늘의게임, 신분증 가맹점 표기 정책 개선, 계좌인증 금융기관 선택화면 UIUX 개선</t>
    <phoneticPr fontId="12" type="noConversion"/>
  </si>
  <si>
    <t>4월 30일</t>
    <phoneticPr fontId="12" type="noConversion"/>
  </si>
  <si>
    <t>6월 앱 DVT 수행
- MY 고도화, PASS주소록 고도화, PASS안심클라우드, MIS 선택 업데이트 기능, 외부플랫폼 브릿지 페이지</t>
    <phoneticPr fontId="12" type="noConversion"/>
  </si>
  <si>
    <t>5월 8일</t>
    <phoneticPr fontId="12" type="noConversion"/>
  </si>
  <si>
    <t>6월 앱 DVT 수행
- MY 고도화, PASS주소록 고도화, PASS안심클라우드, 유무료 서비스 동의화면 개선</t>
    <phoneticPr fontId="12" type="noConversion"/>
  </si>
  <si>
    <t>5월 14일</t>
    <phoneticPr fontId="12" type="noConversion"/>
  </si>
  <si>
    <t>6월 앱 DVT 수행
- PASS주소록 고도화, PASS안심클라우드, 업데이트 후 서비스 진입 개선</t>
    <phoneticPr fontId="12" type="noConversion"/>
  </si>
  <si>
    <t>5월 18일</t>
    <phoneticPr fontId="12" type="noConversion"/>
  </si>
  <si>
    <t>6월 앱 DVT 후속 점검
- CP 이슈 수정 확인, 산출물 점검, 개편 기능 재검토</t>
    <phoneticPr fontId="12" type="noConversion"/>
  </si>
  <si>
    <t>5월 20일</t>
    <phoneticPr fontId="12" type="noConversion"/>
  </si>
  <si>
    <t>26년 6월 개편 앱 앱 DVT 대응
- 6월 개편 앱 설계</t>
    <phoneticPr fontId="12" type="noConversion"/>
  </si>
  <si>
    <t>QA2</t>
    <phoneticPr fontId="12" type="noConversion"/>
  </si>
  <si>
    <t>26년 6월 개편 앱 앱 DVT 대응
- DVT 수행</t>
    <phoneticPr fontId="12" type="noConversion"/>
  </si>
  <si>
    <t>26년 6월 개편 앱 앱 DVT 대응
- CP 이슈 등록 및 수정 확인, 개편 기능 크로스체크</t>
    <phoneticPr fontId="12" type="noConversion"/>
  </si>
  <si>
    <t>PASS전략파트너 개발 관련 업무보고 및 협의
- 내부/외부 회의 및 협의</t>
    <phoneticPr fontId="12" type="noConversion"/>
  </si>
  <si>
    <t>기획PM</t>
    <phoneticPr fontId="12" type="noConversion"/>
  </si>
  <si>
    <t>신규서비스 개발</t>
    <phoneticPr fontId="12" type="noConversion"/>
  </si>
  <si>
    <t>스마트청구서 세부 기획</t>
    <phoneticPr fontId="12" type="noConversion"/>
  </si>
  <si>
    <t>기능고도화</t>
    <phoneticPr fontId="12" type="noConversion"/>
  </si>
  <si>
    <t>PASS UI/UX 협의를 위한 리스트 작성</t>
    <phoneticPr fontId="12" type="noConversion"/>
  </si>
  <si>
    <t xml:space="preserve">PASS앱 내 보안서비스 추가를 위한 사전 기획 작업 </t>
    <phoneticPr fontId="12" type="noConversion"/>
  </si>
  <si>
    <t>오피스도우미 SDK 업데이트 
- 검수앱 테스트</t>
    <phoneticPr fontId="12" type="noConversion"/>
  </si>
  <si>
    <t>26년 6월 업데이트용 GA4태깅 문서 작성
-  태깅 검수 및 수정 팔요 사항 전달</t>
    <phoneticPr fontId="12" type="noConversion"/>
  </si>
  <si>
    <t>4월 PASS PV 및 체류시간 데이터 취합 (5/13)
- CP사 데이터 취합 및 유플러스 전달
- PUSH 데이터 추가 전달 요청 및 취합</t>
    <phoneticPr fontId="12" type="noConversion"/>
  </si>
  <si>
    <t>기획자3</t>
    <phoneticPr fontId="12" type="noConversion"/>
  </si>
  <si>
    <t>4월 PASS 서비스 품질지표 작성 (5/13)
- GA 지표 작성 및 보고</t>
    <phoneticPr fontId="12" type="noConversion"/>
  </si>
  <si>
    <t>4월 PASS 마케팅 및 PUSH 지표 작성 (5/13)
- PUSH 지표 작성 및 현황 보고</t>
    <phoneticPr fontId="12" type="noConversion"/>
  </si>
  <si>
    <t>서비스 무료 가입자 지표 공유 (5/14)
- 4월 무료서비스 가입자 현황</t>
    <phoneticPr fontId="12" type="noConversion"/>
  </si>
  <si>
    <t>26년 6월 홈페이지 현행화
- 모바일신분증→PASS신분증 명칭 변경 관련 텍스트/이미지 수정 요청
- 개발 서버 홈페이지 검수</t>
    <phoneticPr fontId="12" type="noConversion"/>
  </si>
  <si>
    <t>5월 마케팅 PUSH 발송 
- CP사 일정 취합 
- 발송 규격 세팅
- 일별 발송</t>
    <phoneticPr fontId="12" type="noConversion"/>
  </si>
  <si>
    <t>웹툰 이벤트 운영 지원 (5/4)
- 5월 출석체크 이벤트 관련 검수 배너 세팅 및 테스트
- 상용 배너 오픈 및 홍보 PUSH 발송</t>
    <phoneticPr fontId="12" type="noConversion"/>
  </si>
  <si>
    <t>셀로 프로모션 운영 지원 (5/1)
- 상용 배너 오픈
- 셀로 타겟 대상 홍보 PUSH 발송</t>
    <phoneticPr fontId="12" type="noConversion"/>
  </si>
  <si>
    <t>오버테이크 요청사항 대응
- 광고주 팝업 및 인증완료 배너 운영 지원 및 지표 공유 
- 대출비교 5월 프로모션, 머니적립 5월 배너 운영 지원
- 여행 서비스 제휴 광고 운영 지원
- 통신위성 발사하기 프로모션 배너 BG 협의</t>
    <phoneticPr fontId="12" type="noConversion"/>
  </si>
  <si>
    <t>유/무료 서비스 동의화면 개선(잔여)
- CP 검수 무료 인트로 화면 테스트 및 수정 요청
- 주소록, 명의도용방지 무료 인트로 검수 테스트
- 상용 반영 요청</t>
    <phoneticPr fontId="12" type="noConversion"/>
  </si>
  <si>
    <t>구글 애드몹 광고 형식 추가
- 개발 및 CP 문의 대응
- 검수앱 테스트</t>
    <phoneticPr fontId="12" type="noConversion"/>
  </si>
  <si>
    <t>PASS머니 페이백쇼핑 이벤트 운영 지원
- 주별 홍보 PUSH 발송 
- 상용/검수 딥링크 요청 관련 대응</t>
    <phoneticPr fontId="12" type="noConversion"/>
  </si>
  <si>
    <t>주소록 오픈 이벤트(W. 오피스도우미) (4/13)
- 주간 응모자 리스트 추출 및 CP사 전달
- 문서 열기 챌린지 주간 TOP30 랭킹 데이터 수급 및 상용 반영 요청
- 문서 열기 챌린지 운영 정책 변경(TOP10 → TOP30 확대)에 따른 개발/상용 서버 검수 진행
- 문서 열기 챌린지 랭킹 데이터 업데이트 안내 홍보 PUSH 발송
*문서 열기 챌린지 랭킹 데이터 안내 오류 대응 (5/20)
- 주간 TOP30 랭킹 데이터 재수급 및 재전달 요청
- 미션3 영역 안내 문구 수정 반영 요청 및 개발/상용 서버 검수 진행
- 이벤트 미응모 고객 및 오피스도우미 이용 100회 이상 고객 대상 홍보 PUSH 발송
- 기존 랭킹 공지 관련 문의·민원 대응을 위한 미디어로그 운영팀 내용 공유</t>
    <phoneticPr fontId="12" type="noConversion"/>
  </si>
  <si>
    <t>주소록X더치트프리미엄 연계 이벤트 (5/6)
- 이벤트 개발/상용 서버 검수 진행
- 상용 이벤트 배너 게시
- 홍보 PUSH 발송</t>
    <phoneticPr fontId="12" type="noConversion"/>
  </si>
  <si>
    <t>만보기 SDK 업데이트 
- SDK 수정 버전 수급 및 개발팀 전달
- 검수앱 테스트</t>
    <phoneticPr fontId="12" type="noConversion"/>
  </si>
  <si>
    <t>쉬운화면 모드 추가
- 기획서 초안 작성 및 U+ 공유
- 기획서 수정</t>
    <phoneticPr fontId="12" type="noConversion"/>
  </si>
  <si>
    <t>전자고지 가입 이벤트 운영 지원
- 디자인 가이드 전달 및 BG색상 협의</t>
    <phoneticPr fontId="12" type="noConversion"/>
  </si>
  <si>
    <t>명의도용방지 홍보 PUSH 발송 관련 문의 대응
- 25년 10월 명의도용방지 PUSH 발송 이력 회신
- 26년 6월 발송용 문구 전달</t>
    <phoneticPr fontId="12" type="noConversion"/>
  </si>
  <si>
    <t>26년 전국동시지방선거 홍보
- 홍보 페이지 및 홍보 배너 기획
- 디자인 공유 및 시안 검수
- 디자인 시안 U+ 공유
- 검수 어드민 세팅 및 확인</t>
    <phoneticPr fontId="12" type="noConversion"/>
  </si>
  <si>
    <t xml:space="preserve">외부 플랫폼 진입 시 브릿지 페이지 기획안 작성 및 테스트 지원 </t>
    <phoneticPr fontId="12" type="noConversion"/>
  </si>
  <si>
    <t>기획자4</t>
    <phoneticPr fontId="12" type="noConversion"/>
  </si>
  <si>
    <t xml:space="preserve">유료가입 페이지, 전체 페이지에서 바텀시트로 변경을 위한 기획안 작성 </t>
    <phoneticPr fontId="12" type="noConversion"/>
  </si>
  <si>
    <t>외부 플랫폼 진입 시 브릿지 페이지 테스트 지원 및 CP사 오류 확인 요청</t>
    <phoneticPr fontId="12" type="noConversion"/>
  </si>
  <si>
    <t>5월 7일</t>
    <phoneticPr fontId="12" type="noConversion"/>
  </si>
  <si>
    <t>휴대폰 안심 CP작업에 따른 메뉴 미노출(4/28)/노출(4/29)처리</t>
    <phoneticPr fontId="12" type="noConversion"/>
  </si>
  <si>
    <t>쿠폰팩, 금융사기방지CP작업에 따른 메뉴 미노출(5/19)/노출(5/20)처리</t>
    <phoneticPr fontId="12" type="noConversion"/>
  </si>
  <si>
    <t>스탁, 서비스 명칭 변경에 따른 지원 
- 명칭 변경 및 약관 6개 변경 진행</t>
    <phoneticPr fontId="12" type="noConversion"/>
  </si>
  <si>
    <t>PASS앱 내 보안서비스 추가를 위한 유사 서비스 벤치마킹</t>
    <phoneticPr fontId="12" type="noConversion"/>
  </si>
  <si>
    <t>업무보고 및 협의</t>
    <phoneticPr fontId="12" type="noConversion"/>
  </si>
  <si>
    <t>사업PM</t>
    <phoneticPr fontId="12" type="noConversion"/>
  </si>
  <si>
    <t>모바일지갑 가입자테이블 개인정보(CI) 컬럼 비활성화 적용 구조 검토와 다음 차수 기능 개발검토</t>
    <phoneticPr fontId="12" type="noConversion"/>
  </si>
  <si>
    <t>모바일신분증 인증 완료 화면 사이트명 처리 상이 이슈 분석 및 내부 검증 항목 정리</t>
    <phoneticPr fontId="12" type="noConversion"/>
  </si>
  <si>
    <t>모바일지갑 가입자정보 비식별 처리 후속 반영과 운영 연계 항목 점검 등 모바일신분증 서버 기능 개발검토</t>
    <phoneticPr fontId="12" type="noConversion"/>
  </si>
  <si>
    <t>모바일신분증 인증 완료 화면 사이트명 처리 보완 개발 및 내부 검증 정리</t>
    <phoneticPr fontId="12" type="noConversion"/>
  </si>
  <si>
    <t>모바일신분증 인증내역 노출 기준과 인증 결과 연계 구조 점검 등 모바일신분증 서버 기능 개발검토</t>
    <phoneticPr fontId="12" type="noConversion"/>
  </si>
  <si>
    <t>모바일신분증 인증 결과 연계 기능 보완 및 내부 검증 정리</t>
    <phoneticPr fontId="12" type="noConversion"/>
  </si>
  <si>
    <t>안면인증 통계 연계 구조 검토와 모바일신분증 운영 요청 정리 등 모바일신분증 서버 기능 개발검토</t>
    <phoneticPr fontId="12" type="noConversion"/>
  </si>
  <si>
    <t>모바일신분증 인증 결과 연계 보완과 통계 반영 내부 검증 정리</t>
    <phoneticPr fontId="12" type="noConversion"/>
  </si>
  <si>
    <t>CPM 실패 호출 개선 연계 영향도와 암호화 필드 RP 조회 연동 구조 점검 등 모바일신분증 서버 기능 개발검토</t>
    <phoneticPr fontId="12" type="noConversion"/>
  </si>
  <si>
    <t>모바일신분증 인증 결과 연계 기능 보완과 후속 내부 검증 정리</t>
    <phoneticPr fontId="12" type="noConversion"/>
  </si>
  <si>
    <t xml:space="preserve">서버 운영 후속 정리와 다음 차수 반영 준비, 연계 구조 점검 등 서버 기능 개발검토 </t>
    <phoneticPr fontId="12" type="noConversion"/>
  </si>
  <si>
    <t>부가서비스관리자 접근 권한 정책 추가, 외부광고 노출 정책 점검, 서버 DVT 반영 항목 정리 등 부가서비스 서버 기능 개발검토 및 기획협의</t>
    <phoneticPr fontId="12" type="noConversion"/>
  </si>
  <si>
    <t>부가서비스 관리자 접근 권한 정책 반영과 외부광고 노출 조건 보완, 기능 적용 후 내부 검증 정리</t>
    <phoneticPr fontId="12" type="noConversion"/>
  </si>
  <si>
    <t>명의도용방지서비스 수정, 메인 인증트렌드 영역 개편, PASS머니 X 만보기·복주머니 연계, 부가서비스 FCM SDK 교체 등 부가서비스 서버 기능 개발검토 및 기획협의</t>
    <phoneticPr fontId="12" type="noConversion"/>
  </si>
  <si>
    <t>통합PUSH WEB 서버 SSL 인증서 교체 모니터링, Metaspace OOM 발생 원인 분석, 운영 후속 조치 정리 등 시스템 운영 업무 수행</t>
    <phoneticPr fontId="12" type="noConversion"/>
  </si>
  <si>
    <t>신분증 서비스별 개인정보 수집·보관·파기 정보 확인, 개발기·운영기 자산 매핑 요청 반영, 부가서비스 반영 범위 점검 등 서버 기능 개발검토</t>
    <phoneticPr fontId="12" type="noConversion"/>
  </si>
  <si>
    <t>자산 매핑 요청 후속 정리와 신분증 개인정보 항목 운영 확인, 다음 차수 서버 반영 준비 등 시스템 운영 지원</t>
    <phoneticPr fontId="12" type="noConversion"/>
  </si>
  <si>
    <t>부가서비스 기능 시험 결과 검토, 예외 시험항목 보완, 서버 반영 체크리스트 정리 등 서버 기능 개발검토</t>
    <phoneticPr fontId="12" type="noConversion"/>
  </si>
  <si>
    <t>운영 점검 항목 정리와 연계 테스트 결과 반영 준비, 반영 후속 조치 정리 등 시스템 운영 지원</t>
    <phoneticPr fontId="12" type="noConversion"/>
  </si>
  <si>
    <t>5월 2차 반영 서버 점검 항목 정리, 서비스별 운영 체크포인트 보완, 후속 반영 범위 검토 등 서버 기능 개발검토</t>
    <phoneticPr fontId="12" type="noConversion"/>
  </si>
  <si>
    <t>검수환경 셀로 GW 방화벽 해제 연계 확인과 운영 후속 점검 항목 정리 등 시스템 운영 지원</t>
    <phoneticPr fontId="12" type="noConversion"/>
  </si>
  <si>
    <t>부가서비스 KMS 연동 후속 점검, 서버 반영 일정별 체크포인트 정리, 운영 반영 범위 재점검 등 서버 기능 개발검토</t>
    <phoneticPr fontId="12" type="noConversion"/>
  </si>
  <si>
    <t>서버 반영 후속 운영 점검과 시스템 확인 항목 정리, 차수별 운영 지원 사항 보완 등 시스템 운영 지원</t>
    <phoneticPr fontId="12" type="noConversion"/>
  </si>
  <si>
    <t>부가서비스관리자 접근 권한 정책 추가, 용량산정서·DB 생성 스크립트·원복 스크립트·테이블 인덱스 정의서 작성 등 부가서비스 서버 기능 개발검토 및 기획협의</t>
    <phoneticPr fontId="12" type="noConversion"/>
  </si>
  <si>
    <t>부가서비스 DVT 산출물 정리와 관리자 접근 권한 정책 반영 준비, 기능 적용 후 내부 검증 정리</t>
    <phoneticPr fontId="12" type="noConversion"/>
  </si>
  <si>
    <t>서버 DVT, 기능 시험항목절차및결과서·예외 시험항목절차및결과서·일반서비스 기능 시험 결과 정리 등 부가서비스 서버 기능 개발검토 및 기획협의</t>
    <phoneticPr fontId="12" type="noConversion"/>
  </si>
  <si>
    <t>DVT 산출물 보완과 일반서비스 시험항목 반영, 기능 적용 후 내부 검증 정리</t>
    <phoneticPr fontId="12" type="noConversion"/>
  </si>
  <si>
    <t>서버 DVT 후속 점검, 기능 시험 결과 정리, 일반서비스 반영 준비 항목 보완 등 부가서비스 서버 기능 개발검토 및 기획협의</t>
    <phoneticPr fontId="12" type="noConversion"/>
  </si>
  <si>
    <t>일반서비스 시험항목 보완과 DVT 산출물 정리, 기능 적용 후 내부 검증 정리</t>
    <phoneticPr fontId="12" type="noConversion"/>
  </si>
  <si>
    <t>서버 반영 일정 점검, 기능 시험 결과 정리, 운영 연계 산출물 보완 등 부가서비스 서버 기능 개발검토 및 기획협의</t>
    <phoneticPr fontId="12" type="noConversion"/>
  </si>
  <si>
    <t>서버 DVT 후속 반영과 일반서비스 점검 항목 보완, 기능 적용 후 내부 검증 정리</t>
    <phoneticPr fontId="12" type="noConversion"/>
  </si>
  <si>
    <t>주소록X더치트프리미엄 연계 프로모션 페이지 퍼블</t>
    <phoneticPr fontId="12" type="noConversion"/>
  </si>
  <si>
    <t>퍼블리셔</t>
    <phoneticPr fontId="12" type="noConversion"/>
  </si>
  <si>
    <t>3월</t>
    <phoneticPr fontId="12" type="noConversion"/>
  </si>
  <si>
    <t xml:space="preserve">PASS주소록, 인앱브라우저, 오피스도우미 SDK 반영, 기능 구조 검토 등 AOS 주요 항목 개발검토 </t>
    <phoneticPr fontId="12" type="noConversion"/>
  </si>
  <si>
    <t xml:space="preserve"> Android개발자1 </t>
  </si>
  <si>
    <t>ㄴ업데이트 후 서비스 진입 개선</t>
  </si>
  <si>
    <t xml:space="preserve">앱 업데이트 후 약관 재동의 팝업 노출과 웹뷰 히스토리 동작 이슈 보완 개발 </t>
    <phoneticPr fontId="12" type="noConversion"/>
  </si>
  <si>
    <t xml:space="preserve">외부플랫폼 브릿지 페이지 추가 검토, 계좌인증 은행 로고 변경 요청 반영, 화면 흐름 정리 등 AOS 기능 개발검토 </t>
    <phoneticPr fontId="12" type="noConversion"/>
  </si>
  <si>
    <t xml:space="preserve">bitbucket 계정 신청, iOS 운전면허 오류 팝업 이슈 공유, AOS 배터리 급방전 이슈 정리 등 운영 지원 </t>
    <phoneticPr fontId="12" type="noConversion"/>
  </si>
  <si>
    <t xml:space="preserve">외부플랫폼 브릿지 페이지 추가 검토, 계좌인증 은행 로고 변경 요청 반영, 연계 화면 흐름 정리 등 AOS 기능 개발검토 </t>
    <phoneticPr fontId="12" type="noConversion"/>
  </si>
  <si>
    <t xml:space="preserve">외부플랫폼 브릿지 페이지, 안드로이드 16 대응 SDK 확인, 화면 연계 흐름 검토 등 AOS 기능 개발검토 </t>
    <phoneticPr fontId="12" type="noConversion"/>
  </si>
  <si>
    <t xml:space="preserve">bitbucket 계정 전환 후속, AOS 운영 이슈 정리, 모바일운전면허 요청 대응 연계 확인 등 운영 지원 </t>
    <phoneticPr fontId="12" type="noConversion"/>
  </si>
  <si>
    <t xml:space="preserve">PASS클라우드, 인앱브라우저, MY개편, 전자고지 열람율 개선 등 AOS 핵심 기능 검토 및 구조 설계 </t>
    <phoneticPr fontId="12" type="noConversion"/>
  </si>
  <si>
    <t xml:space="preserve"> Android개발자2 </t>
  </si>
  <si>
    <t xml:space="preserve">오피스도우미 SDK 업데이트 AOS 기능 선행 개발 </t>
    <phoneticPr fontId="12" type="noConversion"/>
  </si>
  <si>
    <t xml:space="preserve">PASS클라우드, 오피스도우미 SDK 업데이트, 애드몹 광고 형식 추가 등 AOS 핵심 기능 검토 및 구조 설계 </t>
    <phoneticPr fontId="12" type="noConversion"/>
  </si>
  <si>
    <t xml:space="preserve">신분증 가맹점 표기 정책 개선 AOS 기능 선행 개발 </t>
    <phoneticPr fontId="12" type="noConversion"/>
  </si>
  <si>
    <t xml:space="preserve">PASS클라우드, 외부플랫폼 브릿지, MY개편 고도화, 오피스도우미 SDK 업데이트 등 AOS 핵심 기능 검토 및 구조 설계 </t>
    <phoneticPr fontId="12" type="noConversion"/>
  </si>
  <si>
    <t xml:space="preserve">업데이트 후 서비스 진입 개선 AOS 기능 선행 개발 </t>
    <phoneticPr fontId="12" type="noConversion"/>
  </si>
  <si>
    <t xml:space="preserve">PASS전자고지 고도화, PASS클라우드 추가, 외부플랫폼 브릿지, 오피스도우미 SDK 연계 등 AOS 핵심 기능 개발검토 </t>
    <phoneticPr fontId="12" type="noConversion"/>
  </si>
  <si>
    <t xml:space="preserve">휴대폰결제 바코드 CU 로고 삭제 AOS 기능 선행 개발 </t>
    <phoneticPr fontId="12" type="noConversion"/>
  </si>
  <si>
    <t xml:space="preserve">PASS주소록, 서비스 진입 개선, 화면 흐름 보완, 기획팀 요청 반영 범위 정리 등 AOS 기능 개발검토 </t>
    <phoneticPr fontId="12" type="noConversion"/>
  </si>
  <si>
    <t xml:space="preserve"> Android개발자3 </t>
  </si>
  <si>
    <t xml:space="preserve">금융혜택 화면 노출 오류와 1:1문의 썸네일 간헐 이슈 수정, 기능 적용 후 화면 확인까지 포함한 AOS 보완 개발 </t>
    <phoneticPr fontId="12" type="noConversion"/>
  </si>
  <si>
    <t xml:space="preserve">PASS주소록 고도화, 외부플랫폼 브릿지, 계좌인증 화면 변경 반영과 기획팀 요청 범위 정리 등 AOS 기능 개발검토 </t>
    <phoneticPr fontId="12" type="noConversion"/>
  </si>
  <si>
    <t xml:space="preserve">앱 업데이트 후 약관 재동의 팝업 노출과 웹뷰 히스토리 오동작 이슈 수정, 기능 적용 후 화면 확인까지 포함한 AOS 보완 개발 </t>
    <phoneticPr fontId="12" type="noConversion"/>
  </si>
  <si>
    <t xml:space="preserve">외부플랫폼 브릿지, 계좌인증 화면 변경, 서비스 진입 흐름 보완 등 AOS 기능 검토와 반영 설계 </t>
    <phoneticPr fontId="12" type="noConversion"/>
  </si>
  <si>
    <t xml:space="preserve">모바일운전면허 요청 대응 연계 화면 확인과 기존 이슈 수정 반영까지 포함한 AOS 기능 보완 개발 </t>
    <phoneticPr fontId="12" type="noConversion"/>
  </si>
  <si>
    <t xml:space="preserve">외부플랫폼 브릿지, 안드로이드 16 대응 확인, 계좌인증 화면 변경 반영 등 AOS 기능 검토 및 적용 설계 </t>
    <phoneticPr fontId="12" type="noConversion"/>
  </si>
  <si>
    <t xml:space="preserve">PASS클라우드, 인앱브라우저, MY개편, SDK 업데이트 연계 항목과 U+ 요청 대응 범위 정리 등 AOS 기능 개발검토 </t>
    <phoneticPr fontId="12" type="noConversion"/>
  </si>
  <si>
    <t xml:space="preserve"> Android개발자4 </t>
  </si>
  <si>
    <t xml:space="preserve">인앱브라우저 AOS 연계 기능 보완 개발과 내부 검증 정리 </t>
    <phoneticPr fontId="12" type="noConversion"/>
  </si>
  <si>
    <t xml:space="preserve">PASS클라우드, 광고 형식 확장, SDK 업데이트, MY개편 반영 항목과 스토어 등록 정보 요청 연계 검토 등 AOS 기능 개발검토 </t>
    <phoneticPr fontId="12" type="noConversion"/>
  </si>
  <si>
    <t xml:space="preserve">신분증 가맹점 표기 정책 개선 AOS 기능 보완 개발과 U+ 요청 대응 항목 정리 </t>
    <phoneticPr fontId="12" type="noConversion"/>
  </si>
  <si>
    <t xml:space="preserve">PASS클라우드, 외부플랫폼 브릿지, MY개편, SDK 업데이트 반영 항목 등 AOS 주요 기능 검토 및 구조 설계 </t>
    <phoneticPr fontId="12" type="noConversion"/>
  </si>
  <si>
    <t xml:space="preserve">업데이트 후 서비스 진입 개선 AOS 기능 후속 보완 개발과 요청 대응 항목 정리 </t>
    <phoneticPr fontId="12" type="noConversion"/>
  </si>
  <si>
    <t xml:space="preserve">PASS클라우드, 외부플랫폼 브릿지, MY개편, SDK 업데이트 반영 항목과 PASS앱 요청 건 정리 등 AOS 기능 개발검토 </t>
    <phoneticPr fontId="12" type="noConversion"/>
  </si>
  <si>
    <t xml:space="preserve">휴대폰결제 바코드 CU 로고 삭제 AOS 기능 보완 개발과 기획 요청 연계 정리 </t>
    <phoneticPr fontId="12" type="noConversion"/>
  </si>
  <si>
    <t xml:space="preserve">고객의소리 URL 변경, MY개편 고도화, PASS주소록 연계 항목 등 AOS 기능 반영 범위 검토 및 화면 흐름 설계 </t>
    <phoneticPr fontId="12" type="noConversion"/>
  </si>
  <si>
    <t xml:space="preserve"> Android개발자5 </t>
  </si>
  <si>
    <t>ㄴ유·무료 서비스 동의화면 개선</t>
  </si>
  <si>
    <t xml:space="preserve">유·무료 서비스 동의화면 개선 AOS 기능 연계 개발 </t>
    <phoneticPr fontId="12" type="noConversion"/>
  </si>
  <si>
    <t xml:space="preserve">PASS주소록 고도화 리뷰, 적용 범위 검토, 화면 흐름 협의 등 AOS 기능 개발검토 </t>
    <phoneticPr fontId="12" type="noConversion"/>
  </si>
  <si>
    <t xml:space="preserve">PASS주소록 고도화 AOS 화면 반영과 후속 동선 보완 개발 </t>
    <phoneticPr fontId="12" type="noConversion"/>
  </si>
  <si>
    <t xml:space="preserve">PASS주소록 고도화 관련 AOS 개발 검토, 기능 반영 범위 정리, 화면 흐름 협의 등 기능 개발검토 </t>
    <phoneticPr fontId="12" type="noConversion"/>
  </si>
  <si>
    <t xml:space="preserve">PASS주소록 고도화 AOS 기능 연계 개발 </t>
    <phoneticPr fontId="12" type="noConversion"/>
  </si>
  <si>
    <t xml:space="preserve">고객의소리 URL 변경, MIS 선택업데이트, 인앱브라우저 추가, MY개편 연계 검토 등 iOS 주요 기능 분석 및 반영 구조 검토 </t>
    <phoneticPr fontId="12" type="noConversion"/>
  </si>
  <si>
    <t xml:space="preserve"> iOS개발자1 </t>
  </si>
  <si>
    <t xml:space="preserve">앱 업데이트 후 서비스 진입 개선 iOS 기능 선행 개발 </t>
    <phoneticPr fontId="12" type="noConversion"/>
  </si>
  <si>
    <t xml:space="preserve">신분증 가맹점 표기 정책 개선, 오늘의게임 햅틱 기능, 서비스 진입 개선 연계 등 iOS 기능 개발검토 </t>
    <phoneticPr fontId="12" type="noConversion"/>
  </si>
  <si>
    <t xml:space="preserve">4월 배포 CVT 2차, ALMS 검증 버전 등록, 내부 검증 공유, 배포 후 모니터링 등 품질 확인 대응 </t>
    <phoneticPr fontId="12" type="noConversion"/>
  </si>
  <si>
    <t xml:space="preserve">4월 배포 CVT 2차, ALMS 검증 버전 등록, 검증 진행 공유, 배포 후 모니터링 등 iOS 품질 확인 대응 </t>
    <phoneticPr fontId="12" type="noConversion"/>
  </si>
  <si>
    <t xml:space="preserve">업데이트 후 서비스 진입 개선, PASS클라우드 분석, 외부플랫폼 브릿지 연계 검토 등 iOS 기능 개발검토 </t>
    <phoneticPr fontId="12" type="noConversion"/>
  </si>
  <si>
    <t xml:space="preserve">4월 배포 CVT 후속 검증, 배포 모니터링, 검증 공유 항목 정리 등 iOS 품질 확인 대응 </t>
    <phoneticPr fontId="12" type="noConversion"/>
  </si>
  <si>
    <t xml:space="preserve">PASS주소록 고도화, PASS클라우드 추가, 외부플랫폼 브릿지, 오피스도우미 SDK 연계 등 iOS 기능 개발검토 </t>
    <phoneticPr fontId="12" type="noConversion"/>
  </si>
  <si>
    <t xml:space="preserve">인앱브라우저, PASS클라우드, 서비스 진입 개선, 인증 UI 보완과 기획 요청 반영 범위 검토 등 iOS 기능 개발검토 </t>
    <phoneticPr fontId="12" type="noConversion"/>
  </si>
  <si>
    <t xml:space="preserve"> iOS개발자2 </t>
  </si>
  <si>
    <t xml:space="preserve">법적 효력 안내 버튼 무반응과 휴대폰결제 진입 오류 문구 이슈 수정, 기능 적용 후 화면 확인까지 포함한 iOS 보완 개발 </t>
    <phoneticPr fontId="12" type="noConversion"/>
  </si>
  <si>
    <t xml:space="preserve">PASS클라우드, 인앱브라우저, 인증 UI 보완, 서비스 진입 흐름과 기획팀 요청 반영 범위 검토 등 iOS 기능 개발검토 </t>
    <phoneticPr fontId="12" type="noConversion"/>
  </si>
  <si>
    <t xml:space="preserve">신분증 가맹점 표기 정책 개선 iOS 기능 연계 개발과 기능 적용 후 화면 확인 정리 </t>
    <phoneticPr fontId="12" type="noConversion"/>
  </si>
  <si>
    <t xml:space="preserve">PASS클라우드, 외부플랫폼 브릿지, 인증 UI 보완, 서비스 진입 흐름 개선 등 iOS 기능 반영 검토 및 구조 설계 </t>
    <phoneticPr fontId="12" type="noConversion"/>
  </si>
  <si>
    <t xml:space="preserve">모바일운전면허 요청 대응 연계 화면 확인과 인증 흐름 보완까지 포함한 iOS 기능 연계 개발 </t>
    <phoneticPr fontId="12" type="noConversion"/>
  </si>
  <si>
    <t xml:space="preserve">PASS클라우드, 외부플랫폼 브릿지, 서비스 진입 흐름 개선, 인증 UI 보완 등 iOS 기능 반영 검토 및 구조 설계 </t>
    <phoneticPr fontId="12" type="noConversion"/>
  </si>
  <si>
    <t xml:space="preserve">휴대폰결제 바코드 CU 로고 삭제 iOS 기능 연계 개발과 화면 확인 정리 </t>
    <phoneticPr fontId="12" type="noConversion"/>
  </si>
  <si>
    <t xml:space="preserve">MY개편, 유·무료 서비스 동의화면 개선, 사용자 동선 정리와 요청 대응 반영 범위 검토 등 iOS 기능 개발검토 </t>
    <phoneticPr fontId="12" type="noConversion"/>
  </si>
  <si>
    <t xml:space="preserve"> iOS개발자3 </t>
  </si>
  <si>
    <t xml:space="preserve">이벤트·광고 알림 토글 미동작과 QR 스캔 후 인증내역 미적재 이슈 수정, 내부 검증 병행 iOS 기능 정비 </t>
    <phoneticPr fontId="12" type="noConversion"/>
  </si>
  <si>
    <t xml:space="preserve">MY개편 고도화, 사용자 흐름 정리, 알림·화면 가이드 반영 범위와 스토어 등록 정보 요청 연계 검토 등 iOS 기능 개발검토 </t>
    <phoneticPr fontId="12" type="noConversion"/>
  </si>
  <si>
    <t xml:space="preserve">MY개편 iOS 화면 보완 개발과 문의 대응 병행 후속 기능 정비 </t>
    <phoneticPr fontId="12" type="noConversion"/>
  </si>
  <si>
    <t xml:space="preserve">MY개편 고도화, 사용자 흐름 정리, 화면 가이드 반영 범위 협의 등 iOS 기능 개발검토 </t>
    <phoneticPr fontId="12" type="noConversion"/>
  </si>
  <si>
    <t xml:space="preserve">MY개편 iOS 화면 보완 개발과 요청 대응 연계 후속 기능 정비 </t>
    <phoneticPr fontId="12" type="noConversion"/>
  </si>
  <si>
    <t xml:space="preserve">MY개편 고도화, 사용자 흐름 정리, 화면 가이드 반영 범위 협의와 PASS앱 요청 연계 검토 등 iOS 기능 개발검토 </t>
    <phoneticPr fontId="12" type="noConversion"/>
  </si>
  <si>
    <t xml:space="preserve">만보기 SDK 업데이트, MIS 선택업데이트, MY개편 연계 항목 등 iOS 기능 적용 범위 검토 및 화면 설계 </t>
    <phoneticPr fontId="12" type="noConversion"/>
  </si>
  <si>
    <t xml:space="preserve"> iOS개발자4 </t>
  </si>
  <si>
    <t xml:space="preserve">유·무료 서비스 동의화면 개선 iOS 기능 보완 개발 </t>
    <phoneticPr fontId="12" type="noConversion"/>
  </si>
  <si>
    <t xml:space="preserve">6월 마이 고도화 리뷰 참석, iOS 요구사항 검토, 반영 범위 협의 등 기능 개발검토 </t>
    <phoneticPr fontId="12" type="noConversion"/>
  </si>
  <si>
    <t xml:space="preserve">iOS 화면 가이드, 알림 동작, 사용자 흐름 검토 등 리뷰 기반 품질 확인 대응 </t>
    <phoneticPr fontId="12" type="noConversion"/>
  </si>
  <si>
    <t xml:space="preserve">MY개편 고도화 iOS 개발 범위 검토, 화면 동선 정리, 사용자 흐름 반영 범위 협의 등 기능 개발검토 </t>
    <phoneticPr fontId="12" type="noConversion"/>
  </si>
  <si>
    <t xml:space="preserve">MY개편 iOS 화면 연계 보완 개발 </t>
    <phoneticPr fontId="12" type="noConversion"/>
  </si>
  <si>
    <t xml:space="preserve">MY개편 고도화 iOS 반영 범위 검토, 화면 동선 정리, 사용자 흐름 반영 협의 등 기능 개발검토 </t>
    <phoneticPr fontId="12" type="noConversion"/>
  </si>
  <si>
    <t xml:space="preserve">유·무료 서비스 동의화면 개선 iOS 기능 후속 보완 개발 </t>
    <phoneticPr fontId="12" type="noConversion"/>
  </si>
  <si>
    <t>4월 20일</t>
    <phoneticPr fontId="12" type="noConversion"/>
  </si>
  <si>
    <t>4월 배포 건 DVT 검증
- 모바일지갑 IMEI 예외처리, iCloud 복원 시 재가입 프로세스 유도 등 배포 요건 및 전체 품질 검증</t>
    <phoneticPr fontId="12" type="noConversion"/>
  </si>
  <si>
    <t>3월 26일</t>
    <phoneticPr fontId="12" type="noConversion"/>
  </si>
  <si>
    <t>4월 배포 건 CVT 1차 검증
- 품질팀 공유 항목 정리, 검증 환경 설정 지원, 검증 서버 앱 모니터링 등 대응</t>
    <phoneticPr fontId="12" type="noConversion"/>
  </si>
  <si>
    <t>4월 4일</t>
    <phoneticPr fontId="12" type="noConversion"/>
  </si>
  <si>
    <t>4월 배포 건 CVT 2차 검증
- 품질팀 공유 항목 정리, 검증 환경 설정 지원, 상용 서버 앱 모니터링 등 대응</t>
    <phoneticPr fontId="12" type="noConversion"/>
  </si>
  <si>
    <t>4월 9일</t>
    <phoneticPr fontId="12" type="noConversion"/>
  </si>
  <si>
    <t>스토어 4월 앱 배포 모니터링
- 배포 버전 확인 및 앱 모니터링</t>
    <phoneticPr fontId="12" type="noConversion"/>
  </si>
  <si>
    <t>4월 13일</t>
    <phoneticPr fontId="12" type="noConversion"/>
  </si>
  <si>
    <t>6월 배포 건 테스트 설계
- PASS 주소록 기능 고도화, PASS클라우드 추가 등 배포 요건 테스트 환경 설계</t>
    <phoneticPr fontId="12" type="noConversion"/>
  </si>
  <si>
    <t>4월 15일</t>
    <phoneticPr fontId="12" type="noConversion"/>
  </si>
  <si>
    <t>6월 배포 건 테스트 설계
- 오늘의게임 부가서비스, 외부플랫폼 브릿지 등 배포 요건 테스트 환경 설계</t>
    <phoneticPr fontId="12" type="noConversion"/>
  </si>
  <si>
    <t>26년 4월 개편 앱 DVT 대응
- DVT 수행</t>
    <phoneticPr fontId="12" type="noConversion"/>
  </si>
  <si>
    <t>26년 4월 개편 앱 CVT 1차 대응
- CVT 1차 검증</t>
    <phoneticPr fontId="12" type="noConversion"/>
  </si>
  <si>
    <t>4월 3일</t>
    <phoneticPr fontId="12" type="noConversion"/>
  </si>
  <si>
    <t>26년 4월 개편 앱 CVT 2차 대응
- CVT 2차 검증</t>
    <phoneticPr fontId="12" type="noConversion"/>
  </si>
  <si>
    <t>26년 4월 개편 앱 모니터링 대응
- 스토어 배포 및 모니터링</t>
    <phoneticPr fontId="12" type="noConversion"/>
  </si>
  <si>
    <t>서비스 품질개선</t>
  </si>
  <si>
    <t>26년 6월 개편 앱 테스트 설계
- 6월 개편 앱 설계</t>
    <phoneticPr fontId="12" type="noConversion"/>
  </si>
  <si>
    <t>4월 15일</t>
  </si>
  <si>
    <t>스마트청구서 기획 1차안 작성 및 공유</t>
    <phoneticPr fontId="12" type="noConversion"/>
  </si>
  <si>
    <t>4월 7일</t>
    <phoneticPr fontId="12" type="noConversion"/>
  </si>
  <si>
    <t xml:space="preserve">PASS U+ 월례회의 : 개발항목 협의 </t>
    <phoneticPr fontId="12" type="noConversion"/>
  </si>
  <si>
    <t xml:space="preserve">4월 8일 </t>
    <phoneticPr fontId="12" type="noConversion"/>
  </si>
  <si>
    <t>4월 17일</t>
    <phoneticPr fontId="12" type="noConversion"/>
  </si>
  <si>
    <t>결제비밀번호 도입 사전 검토 (3/24)
- V3 도입 시 영향도 검토 및 공유</t>
    <phoneticPr fontId="12" type="noConversion"/>
  </si>
  <si>
    <t>기획자1</t>
    <phoneticPr fontId="12" type="noConversion"/>
  </si>
  <si>
    <t>MIS 선택 업데이트 기능 추가
- 개발 문의 대응, MIS 문의 및 확인</t>
    <phoneticPr fontId="12" type="noConversion"/>
  </si>
  <si>
    <t>모바일신분증 가맹점 표기 정책 수정
- 기획서 수정, 개발 문의 대응, 테스트</t>
    <phoneticPr fontId="12" type="noConversion"/>
  </si>
  <si>
    <t>시민증 연동
- 기획 초안 검토 및 PASS 정기 배포 예상 일정 공유</t>
    <phoneticPr fontId="12" type="noConversion"/>
  </si>
  <si>
    <t>모바일신분증 명칭 변경
 - 변경 범위 및 항목 검토 및 기획서 작성, 개발 검토 요청</t>
    <phoneticPr fontId="12" type="noConversion"/>
  </si>
  <si>
    <t>1. 휴대폰결제 상용 약관 추가
 - 상용 환경 약관 추가 반영 및 테스트 (3/31)
 - 휴대폰결제 약관창 UI 문의 정리 및 답변 (4/2)
2. 휴대폰결제 바코드 CU 로고 삭제 건(4/8)
 - 기획서 작성, 디자인 가이드 요청, 개발 문의 대응</t>
    <phoneticPr fontId="12" type="noConversion"/>
  </si>
  <si>
    <t>인증서 발급 시 본인확인 정보 불일치 문구 수정
- 기획서 작성, 수정 문구 및 반영 일정 협의 (본인확인서버)</t>
    <phoneticPr fontId="12" type="noConversion"/>
  </si>
  <si>
    <t>PIN 인증 방식 전환
- 기획서 수정(PIN원복/전환 시나리오 추가) 및 개발 문의 대응</t>
    <phoneticPr fontId="12" type="noConversion"/>
  </si>
  <si>
    <t>모바일신분증 제3자제공 이용기관 리스트
- 웹뷰 검수/상용 반영 및 테스트 (3/25)
- 주민증 가맹점 데이터 현행화 요청 및 웹뷰 반영 (4/13)</t>
    <phoneticPr fontId="12" type="noConversion"/>
  </si>
  <si>
    <t>면허증 개인정보 보안점검 관련 수집 현황 검토 및 공유
 - 면허증 데이터 별 암호화 여부 및 파기 정책 확인 및 공유 (3/17~3/30)
 - 파기 대상 데이터 스케줄러 개발 검토 요청 (3/31)
 - 파기 대상 데이터 일괄 삭제 시 영향도 확인 및 공유 (4/14)</t>
    <phoneticPr fontId="12" type="noConversion"/>
  </si>
  <si>
    <t>신분증 운영 대응
1. 행안부 제출용 주민증 서비스 화면 현행화 및 자료 제작 (3/24)
2. 면허증 확인증 표시 오류 확인 요청 및 적검기간 공유 (4/7)
3. 면허증 작업공지 확인 (4/15)
4. 안드로이드16 도입 영향도 확인 요청 (MIS, 안면인증, 신분증SDK) (4/16)</t>
    <phoneticPr fontId="12" type="noConversion"/>
  </si>
  <si>
    <t>1. 휴대폰결제 전체 검증 시나리오 현행화, 정리 및 공유 (4/14)
2. 휴대폰결제 JWT 테스트 문의 대응
 - 시뮬레이터 푸시 미발송 확인 요청 (3/24)
 - 검수 인증서 발급 오류 문의 및 인증번호 확인 대응 (4/3~4/17)
 - 검수 인증서 2차인증 오류 문의 대응 (4/13)
3. 휴대폰결제 마케팅 배너 운영 확인 요청 (4/13~4/17)</t>
    <phoneticPr fontId="12" type="noConversion"/>
  </si>
  <si>
    <t>PASS전자고지 열람율 개선 고도화 검토
- PASS지갑 규격 수정, 기관 로고 전달 방식 및 반영 일정 협의
- 기획서 수정 및 공유, 디자인 가이드 요청 및 검수, 개발 문의 대응
- 검수 인증수단 추가 인증플로우 테스트, 정리 및 공유</t>
    <phoneticPr fontId="12" type="noConversion"/>
  </si>
  <si>
    <t>안면인증 실패 통계 고도화
- 통계 기준 변경 및 기획서 수정, 개발 문의 대응
- 검수 환경 테스트</t>
    <phoneticPr fontId="12" type="noConversion"/>
  </si>
  <si>
    <t>안면인증 실패 통계 공유 
 - 주차 별 통계 수동 추출 요청, 검증 및 공유 (3월 4주차 ~ 4월 2주차)</t>
    <phoneticPr fontId="12" type="noConversion"/>
  </si>
  <si>
    <t>PASS주소록
- 서비스 오픈 및 모니터링(3/25)
- PASS앱 최초약관 노출 처리</t>
    <phoneticPr fontId="12" type="noConversion"/>
  </si>
  <si>
    <t>기획자2</t>
    <phoneticPr fontId="12" type="noConversion"/>
  </si>
  <si>
    <t>금융기관 선택 화면 현행화
- 검수 및 상용 확인 및 반영(w.RP,인증서 서버)</t>
    <phoneticPr fontId="12" type="noConversion"/>
  </si>
  <si>
    <t>명의도용방지
- 알뜰폰 사업자리스트 현행화 F/U</t>
    <phoneticPr fontId="12" type="noConversion"/>
  </si>
  <si>
    <t>MY - 고도화
- 기획서 업데이트(U+ 추가 요건 반영)
- 관련 디자인 검수 및 U+ 협의
- 일반부가서비스 상세 확인(w.미디어로그)</t>
    <phoneticPr fontId="12" type="noConversion"/>
  </si>
  <si>
    <t>PASS클라우드
- 기획서 업데이트
- 서비스 정책 확인 및 협의(w.오션블루)
- CP사&amp;개발 문의 대응</t>
    <phoneticPr fontId="12" type="noConversion"/>
  </si>
  <si>
    <t xml:space="preserve">PASS클라우드
- 기획서 업데이트
- CP사 기획서 및 SDK 검토
- 기획 리뷰 2차
- CP사&amp;개발 문의 대응 </t>
    <phoneticPr fontId="12" type="noConversion"/>
  </si>
  <si>
    <t>PASS주소록 - 고도화
- 기획서 업데이트
- 공유 시트 디자인 검수 및 수정
- 파일 공유 기능 관련 CP사 개발 요건 및 협의(w.오션블루)
- 페이백 쇼핑 기능 고도화 관련 CP사 사전 공유(w.헥토)</t>
    <phoneticPr fontId="12" type="noConversion"/>
  </si>
  <si>
    <t>인앱브라우저
- 기획서 업데이트
- GA태깅 관련 개발 요청 사항 정리</t>
    <phoneticPr fontId="12" type="noConversion"/>
  </si>
  <si>
    <t>PASS주소록 - 고도화
- 기획서 업데이트
- 기획 리뷰(w.개발팀)
- 파일 공유 기능 관련 CP사 개발 요건 및 협의(w.오션블루)
- 문서 공유 기능 관련 CP사 수정 개발 요청(w.폴라리스오피스)</t>
    <phoneticPr fontId="12" type="noConversion"/>
  </si>
  <si>
    <t>PASS클라우드
- 기획서 업데이트
- CP사&amp;개발 문의 대응
- 검수 어드민 세팅</t>
    <phoneticPr fontId="12" type="noConversion"/>
  </si>
  <si>
    <t>홈 &gt; 주요서비스 영역
- 초기 노출 서비스 변경
MY &gt; U+사업자 홍보영역
- U+웹팩스 링크 변경</t>
    <phoneticPr fontId="12" type="noConversion"/>
  </si>
  <si>
    <t>MY·전체메뉴 통합 개편
- 기획서 업데이트(U+ 추가 요건 반영)
- CP사&amp;개발 문의 대응
- 관련 디자인 추가 수정 요청 및 검수
- 일반 부가서비스 해지 이슈 U+ 공유</t>
    <phoneticPr fontId="12" type="noConversion"/>
  </si>
  <si>
    <t>금융기관 선택 화면 현행화
- 금융기관 로고 변경 관련 서칭 및 수정 요청(w.RP,인증서 서버)
- 검수 반영 및 확인</t>
    <phoneticPr fontId="12" type="noConversion"/>
  </si>
  <si>
    <t>셀로
- 시스템 작업 관련 대응
오피스도우미
- 공유문서 클릭 시 유료가입 노출 관련 이슈 확인</t>
    <phoneticPr fontId="12" type="noConversion"/>
  </si>
  <si>
    <t>PASS주소록 - 고도화
- 기획서 업데이트
- 푸시 공유 GA태깅 요청사항 정리</t>
    <phoneticPr fontId="12" type="noConversion"/>
  </si>
  <si>
    <t>3월</t>
  </si>
  <si>
    <t>펫키퍼 이벤트 운영 지원 (3/23)
- 상용 배너 오픈 및 모니터링</t>
    <phoneticPr fontId="12" type="noConversion"/>
  </si>
  <si>
    <t>서비스 무료 가입자 지표 공유 (4/3)
- 3월 서베이 및 일반 무료서비스 가입자 현황</t>
    <phoneticPr fontId="12" type="noConversion"/>
  </si>
  <si>
    <t>기프트샵 서비스 현황 통계 지표 공유 (4/8)
- 월별 누적 가입자, 기프트샵 진입 GA 데이터 전달</t>
    <phoneticPr fontId="12" type="noConversion"/>
  </si>
  <si>
    <t>3월 PASS PV 및 체류시간 데이터 취합 (4/8)
- CP사 데이터 취합 및 유플러스 전달
- PUSH 데이터 추가 전달 요청 및 취합</t>
    <phoneticPr fontId="12" type="noConversion"/>
  </si>
  <si>
    <t>3월 PASS 서비스 품질지표 작성 (4/8)
- GA 지표 작성 및 보고</t>
    <phoneticPr fontId="12" type="noConversion"/>
  </si>
  <si>
    <t>3월 PASS 마케팅 및 PUSH 지표 작성 (4/8)
- PUSH 지표 작성 및 현황 보고</t>
    <phoneticPr fontId="12" type="noConversion"/>
  </si>
  <si>
    <t>홈 운영 서비스 변경 요청 대응 (4/13)
- 자산영역 대출상품 진입점 추가</t>
    <phoneticPr fontId="12" type="noConversion"/>
  </si>
  <si>
    <t>오피스도우미 SDK 업데이트 
- CP SDK 수급 및 변경 시나리오 확인 요청</t>
    <phoneticPr fontId="12" type="noConversion"/>
  </si>
  <si>
    <t>셀로 프로모션 진행 문의 대응
- 디자인 가이드 전달 및 BG색상 협의</t>
    <phoneticPr fontId="12" type="noConversion"/>
  </si>
  <si>
    <t>26년 4월 업데이트용 GA4태깅 문서 작성
-  태깅 반영 요청 문서 작성</t>
    <phoneticPr fontId="12" type="noConversion"/>
  </si>
  <si>
    <t>웹툰 이벤트 운영 지원 (4/1)
- 4월 출석체크 이벤트 관련 검수 배너 세팅 및 테스트
- 상용 배너 오픈 및 홍보 PUSH 발송</t>
    <phoneticPr fontId="12" type="noConversion"/>
  </si>
  <si>
    <t>ㄴ주소록 오픈 이벤트</t>
    <phoneticPr fontId="12" type="noConversion"/>
  </si>
  <si>
    <t>주소록 오픈 이벤트(W. 오피스도우미) (4/13)
- 기획서 수정 및 사업팀, CP 검토 요청
- 디자인, 퍼블, 개발 수정 요청 및 검수
- 이벤트 배너 기획
- 상용 배너 오픈 및 모니터링, 홍보 PUSH 발송 
- 주별 응모 현황 추출 요청 및 공유</t>
    <phoneticPr fontId="12" type="noConversion"/>
  </si>
  <si>
    <t>4월 마케팅 PUSH 발송 
- CP사 일정 취합 
- 발송 규격 세팅
- 일별 발송</t>
    <phoneticPr fontId="12" type="noConversion"/>
  </si>
  <si>
    <t>오버테이크 요청사항 대응
- 광고주 팝업 및 인증완료 배너 운영 지원 및 지표 공유 
- 대출비교 4월 프로모션 운영 지원
- 여행 서비스 제휴 광고 운영 지원</t>
    <phoneticPr fontId="12" type="noConversion"/>
  </si>
  <si>
    <t xml:space="preserve">유/무료 서비스 동의화면 개선(잔여)
- 무료가입 인트로 CP가이드 제작 및 배포
- CP 검수 url 취합 및 어드민 세팅
- 주소록, 명의도용방지 무료 인트로 화면 기획  </t>
    <phoneticPr fontId="12" type="noConversion"/>
  </si>
  <si>
    <t>구글 애드몹 광고 형식 추가
- 개발 및 CP 문의 대응
- 업데이트 인터페이스 문서 전달</t>
    <phoneticPr fontId="12" type="noConversion"/>
  </si>
  <si>
    <t>26년 6월 홈페이지 현행화
- 제휴문의 제휴사 CI 업데이트
- 26년 6월 앱 업데이트용 이미지 교체</t>
    <phoneticPr fontId="12" type="noConversion"/>
  </si>
  <si>
    <t>주소록X더치트프리미엄 연계 이벤트
- 기획서 작성 및 사업팀 검토 요청
- 디자인, 퍼블 요청 및 검수
- 개발 검토 요청</t>
    <phoneticPr fontId="12" type="noConversion"/>
  </si>
  <si>
    <t xml:space="preserve">PASS머니 페이백쇼핑 이벤트 운영 지원
- 주별 홍보 PUSH 발송 </t>
    <phoneticPr fontId="12" type="noConversion"/>
  </si>
  <si>
    <t>펫신분증 운영 대응 (3월)
1. 펫신분증 방화벽 추가 등록 요청 및 문의 대응 (3/23)
2. 펫신분증 출입QR 생성 예외 처리 협의 및 테스트 (3/26)
3. 펫신분증 검수 펫 등록 요청 및 테스트 (3/26)
4. 펫신분증 출입QR 생성/조회 이슈 확인 요청 및 테스트 (3/31)</t>
    <phoneticPr fontId="12" type="noConversion"/>
  </si>
  <si>
    <t xml:space="preserve">외부 플랫폼 진입 시 브릿지 페이지 기획안 작성 </t>
    <phoneticPr fontId="12" type="noConversion"/>
  </si>
  <si>
    <t>펫신분증 운영 대응 (4월)
1. 펫신분증 진입 오류 조치 요청 및 테스트 (4/3)
2. 펫세권 백화현상 오류 조치 요청 및 테스트 (4/13)
3. 펫신분증 국가등록번호 등록 민원 확인 요청 (4/16)</t>
    <phoneticPr fontId="12" type="noConversion"/>
  </si>
  <si>
    <t>에코혜택모아 서비스 오픈 관련 대응 (4/15)
- 서비스 노출 처리 및 진입점 게시
- FAQ 등록
- 서비스 모니터링</t>
    <phoneticPr fontId="12" type="noConversion"/>
  </si>
  <si>
    <t>마인드케어 프리미엄 서비스 오픈 관련 대응 (4/15)
- 서비스 노출 처리 및 진입점 게시
- FAQ 등록
- 서비스 모니터링</t>
    <phoneticPr fontId="12" type="noConversion"/>
  </si>
  <si>
    <t>해외주식정보, 공모주 정보 CP작업에 따른 메뉴 미노출(4/16)/노출(4/17) 처리</t>
    <phoneticPr fontId="12" type="noConversion"/>
  </si>
  <si>
    <t xml:space="preserve">외부 플랫폼 진입 시 브릿지 페이지 
- CP사 프로세스 협의 후 화면 설계 재수정 </t>
    <phoneticPr fontId="12" type="noConversion"/>
  </si>
  <si>
    <t>인앱브라우저 개발용 리소스 정리</t>
  </si>
  <si>
    <t>3월 24일</t>
  </si>
  <si>
    <t>디자이너1</t>
    <phoneticPr fontId="12" type="noConversion"/>
  </si>
  <si>
    <t>디자인 수정
- 맞춤정보 가이드 변경 - 오늘의 운세/카드영역
- 혜택 - 이벤트 자세히보기 UI 변경</t>
    <phoneticPr fontId="12" type="noConversion"/>
  </si>
  <si>
    <t>3월 27일</t>
  </si>
  <si>
    <t>외부플랫폼 브릿지 페이지 시안</t>
  </si>
  <si>
    <t>휴대폰결제 바코드 CU 로고 삭제 건</t>
  </si>
  <si>
    <t>3월 30일</t>
  </si>
  <si>
    <t>PASS전자고지 배너 시안</t>
  </si>
  <si>
    <t>주소록 공유하기 간편 시트 수정</t>
  </si>
  <si>
    <t>4월 1일</t>
  </si>
  <si>
    <t>오늘의게임 썸네일 디자인 수정</t>
  </si>
  <si>
    <t>4월 9일</t>
  </si>
  <si>
    <t>4월 16일</t>
  </si>
  <si>
    <t>PASS전자고지 배너 시안 수정</t>
  </si>
  <si>
    <t>디자인 수정
- 맞춤정보 CP연동 가이드 수정
- 클라우스 사용량 icon 변경
- 부가서비스 U+알뜰폰 사용자 문구 추가</t>
    <phoneticPr fontId="12" type="noConversion"/>
  </si>
  <si>
    <t>4월 17일</t>
  </si>
  <si>
    <t>무료가입 인트로 CP가이드 제작</t>
    <phoneticPr fontId="12" type="noConversion"/>
  </si>
  <si>
    <t>3월26일</t>
    <phoneticPr fontId="12" type="noConversion"/>
  </si>
  <si>
    <t>디자이너2</t>
    <phoneticPr fontId="12" type="noConversion"/>
  </si>
  <si>
    <t>PASS주소록X오피스도우미 연계 이벤트 랜딩페이지 및 배너</t>
    <phoneticPr fontId="12" type="noConversion"/>
  </si>
  <si>
    <t>PASS주소록 - 고도화
- 새로고침 기능 추가
- 주소록 백업 상태에 따른 디자인 및 모션 적용
- 명의도용방지 상태바 수정</t>
    <phoneticPr fontId="12" type="noConversion"/>
  </si>
  <si>
    <t>4월 14일</t>
    <phoneticPr fontId="12" type="noConversion"/>
  </si>
  <si>
    <t>- 맞춤정보 영역 아이콘 추가(PASS안심클라우드, 페이백쇼핑, 여행상품)
- 부가서비스 아이콘 추가(PASS안심클라우드, 오늘의게임)</t>
  </si>
  <si>
    <t>서비스 아이콘 추가(PASS안심클라우드, 오늘의게임)</t>
  </si>
  <si>
    <t>주소록X더치트프리미엄 연계 이벤트 디자인</t>
    <phoneticPr fontId="12" type="noConversion"/>
  </si>
  <si>
    <t xml:space="preserve">주소록 오픈 이벤트 반영, 통합인증 후속 지원, 서버 산출물 정리 등 서버 연계 기능 개발검토 </t>
    <phoneticPr fontId="12" type="noConversion"/>
  </si>
  <si>
    <t xml:space="preserve">서버개발자1 </t>
    <phoneticPr fontId="12" type="noConversion"/>
  </si>
  <si>
    <t xml:space="preserve">서버 반영 컨플·CDR 작성, 운영 연계 문서화 등 시스템 운영 지원 </t>
    <phoneticPr fontId="12" type="noConversion"/>
  </si>
  <si>
    <t xml:space="preserve">통합인증 CNAME 적용 지원 등 시스템 운영 지원 </t>
    <phoneticPr fontId="12" type="noConversion"/>
  </si>
  <si>
    <t xml:space="preserve">유플러스 대응, 서버 반영 문서화, 운영 지원 항목 정리 등 시스템 운영 업무 수행 </t>
    <phoneticPr fontId="12" type="noConversion"/>
  </si>
  <si>
    <t xml:space="preserve">통합인증 서버 운영 연계 문서 작성 등 시스템 운영 지원 </t>
    <phoneticPr fontId="12" type="noConversion"/>
  </si>
  <si>
    <t xml:space="preserve">정보보호 대응 항목 정리와 운영 연계 구조 검토 등 서버 기능 개발검토 </t>
    <phoneticPr fontId="12" type="noConversion"/>
  </si>
  <si>
    <t xml:space="preserve">서버 운영 문서 정리와 유플러스 연계 대응 항목 정리 등 시스템 운영 지원 </t>
    <phoneticPr fontId="12" type="noConversion"/>
  </si>
  <si>
    <t>부가서비스 CP사 IDC 이관 관련 서버 검토 등 서버 운영 지원</t>
    <phoneticPr fontId="12" type="noConversion"/>
  </si>
  <si>
    <t>PASS전자고지 고도화, MY개편 고도화, 서비스 진입 개선, 전자고지 열람율 개선 등 서버 기능 개발검토 및 기획협의</t>
    <phoneticPr fontId="12" type="noConversion"/>
  </si>
  <si>
    <t xml:space="preserve">서버개발자2 </t>
    <phoneticPr fontId="12" type="noConversion"/>
  </si>
  <si>
    <t xml:space="preserve">nCas 신규 케이스코드 연동과 요금제코드 적용 서버 기능 선행 개발 </t>
    <phoneticPr fontId="12" type="noConversion"/>
  </si>
  <si>
    <t xml:space="preserve">PASS전자고지 고도화, MY개편 고도화, PASS주소록 고도화 등 서버 핵심 기능 개발검토 </t>
    <phoneticPr fontId="12" type="noConversion"/>
  </si>
  <si>
    <t xml:space="preserve">Tomcat 에러 페이지 보안취약점 대응, 어드민 포트분리, nCas 요금제코드 대응 등 시스템 운영 업무 수행 </t>
    <phoneticPr fontId="12" type="noConversion"/>
  </si>
  <si>
    <t xml:space="preserve">PASS전자고지, MY개편, PASS주소록 고도화, 서비스 진입 개선 등 서버 핵심 기능 개발검토 </t>
    <phoneticPr fontId="12" type="noConversion"/>
  </si>
  <si>
    <t xml:space="preserve">모바일지갑 웹 방화벽 해제, 부가서비스 문의 대응, 어드민 포트분리 후속 조치 등 시스템 운영 업무 수행 </t>
    <phoneticPr fontId="12" type="noConversion"/>
  </si>
  <si>
    <t xml:space="preserve">PASS전자고지, PASS주소록, PASS클라우드 추가 등 서버 핵심 기능 개발검토 </t>
    <phoneticPr fontId="12" type="noConversion"/>
  </si>
  <si>
    <t xml:space="preserve">위수탁 및 제3자제공 정보 항목 연계 문의 대응과 부가서비스 운영 후속 정리 등 시스템 운영 업무 수행 </t>
    <phoneticPr fontId="12" type="noConversion"/>
  </si>
  <si>
    <t>모바일신분증 서버 반영 항목 점검 및 구조 정리, 다음 차수 기능 개발검토</t>
    <phoneticPr fontId="12" type="noConversion"/>
  </si>
  <si>
    <t xml:space="preserve">서버개발자3 </t>
    <phoneticPr fontId="12" type="noConversion"/>
  </si>
  <si>
    <t>모바일신분증 연계 기능 개발 및  내부 검증 정리</t>
    <phoneticPr fontId="12" type="noConversion"/>
  </si>
  <si>
    <t xml:space="preserve">모바일신분증 장애 모니터링, 운영 연계 항목 정리, 배포 프로세스 인수인계 등 모바일신분증 서버 기능 개발검토 </t>
    <phoneticPr fontId="12" type="noConversion"/>
  </si>
  <si>
    <t xml:space="preserve">모바일신분증 연계 기능 보완과 운영 반영 준비, 내부 검증 정리까지 포함한 서버 기능 보완 개발 </t>
    <phoneticPr fontId="12" type="noConversion"/>
  </si>
  <si>
    <t xml:space="preserve">모바일신분증 운영 요청 정리와 안면인증 연계 구조 검토 등 모바일신분증 서버 기능 개발검토 </t>
    <phoneticPr fontId="12" type="noConversion"/>
  </si>
  <si>
    <t xml:space="preserve">모바일신분증 서버 연계 기능 보완과 검증 반영 준비 등 서버 기능 보완 개발 </t>
    <phoneticPr fontId="12" type="noConversion"/>
  </si>
  <si>
    <t xml:space="preserve">모바일신분증 서버 운영 요청 정리와 위수탁 항목 연계 검토 등 모바일신분증 서버 기능 개발검토 </t>
    <phoneticPr fontId="12" type="noConversion"/>
  </si>
  <si>
    <t xml:space="preserve">안면인증 통계 연계 보완과 운영 반영 준비 등 모바일신분증 서버 기능 보완 개발 </t>
    <phoneticPr fontId="12" type="noConversion"/>
  </si>
  <si>
    <t>전자고지 이벤트 페이지 개발 검토 및 개발</t>
    <phoneticPr fontId="12" type="noConversion"/>
  </si>
  <si>
    <t xml:space="preserve">서버개발자4 </t>
    <phoneticPr fontId="12" type="noConversion"/>
  </si>
  <si>
    <t xml:space="preserve">검수환경 어드민 포트 분리와 운영 이슈 후속 조치 정리 등 시스템 운영 업무 수행 </t>
    <phoneticPr fontId="12" type="noConversion"/>
  </si>
  <si>
    <t xml:space="preserve">신용관리·모바일지갑 검수환경 아웃바운드 방화벽 해제와 점검결과 정리 등 시스템 운영 지원 </t>
    <phoneticPr fontId="12" type="noConversion"/>
  </si>
  <si>
    <t xml:space="preserve">서버 반영 항목 기술 검토와 운영 연계 구조 정리 등 서버 기능 개발검토 </t>
    <phoneticPr fontId="12" type="noConversion"/>
  </si>
  <si>
    <t xml:space="preserve">KMS 연동 검수 환경 반영 후속 점검과 운영 이슈 정리 등 시스템 운영 업무 수행 </t>
    <phoneticPr fontId="12" type="noConversion"/>
  </si>
  <si>
    <t xml:space="preserve">부가서비스 운영 항목 기술 검토와 반영 준비 정리 등 서버 기능 개발검토 </t>
    <phoneticPr fontId="12" type="noConversion"/>
  </si>
  <si>
    <t xml:space="preserve">위수탁 및 제3자제공 정보 항목 연계 문의 대응과 부가서비스 운영 검토 등 시스템 운영 지원 </t>
    <phoneticPr fontId="12" type="noConversion"/>
  </si>
  <si>
    <t xml:space="preserve">에코혜택모아 IDC 서버 이관과 회선 초기화 요청 연계 검토 등 서버 기능 개발검토 </t>
    <phoneticPr fontId="12" type="noConversion"/>
  </si>
  <si>
    <t xml:space="preserve">통합인증 IMEI 제거 DVT 산출물 점검, 상용화 시험, 면허증 테스트데이터 등록 등 서버 반영 검증 </t>
    <phoneticPr fontId="12" type="noConversion"/>
  </si>
  <si>
    <t xml:space="preserve">서버개발자5 </t>
    <phoneticPr fontId="12" type="noConversion"/>
  </si>
  <si>
    <t xml:space="preserve">모바일신분증 블록체인 자료 요청, 안면인식 통계 확인등 운영 요청 대응 </t>
    <phoneticPr fontId="12" type="noConversion"/>
  </si>
  <si>
    <t xml:space="preserve">통합인증 서버 CVT, DB 원복 검증 테스트, 반영 패키지 리허설, 상용화 시험 진행 등 서버 반영 검증 </t>
    <phoneticPr fontId="12" type="noConversion"/>
  </si>
  <si>
    <t xml:space="preserve">모바일신분증 장애 확인, 블록체인 자료 요청, 상용 DB 사용량 확인, CP사 문의 대응 등 운영 요청 대응 </t>
    <phoneticPr fontId="12" type="noConversion"/>
  </si>
  <si>
    <t xml:space="preserve">통합인증 서버 CVT, DB 원복 검증, 반영 패키지 리허설, 상용화 시험 등 서버 반영 검증 </t>
    <phoneticPr fontId="12" type="noConversion"/>
  </si>
  <si>
    <t xml:space="preserve">KMS 연동 검수 서버 방화벽 오픈, 모바일신분증 운영 대응, 모의해킹 취약점 후속 조치 등 시스템 운영 업무 수행 </t>
    <phoneticPr fontId="12" type="noConversion"/>
  </si>
  <si>
    <t xml:space="preserve">통합인증 서버 CVT, KMS 연동 검수 환경 점검, 반영 검증 후속 정리 등 서버 반영 검증 </t>
    <phoneticPr fontId="12" type="noConversion"/>
  </si>
  <si>
    <t xml:space="preserve">KMS 연동 검수 서버 방화벽 오픈, 모바일신분증 운영 대응, 해외 부모앱 웹뷰 전환 연계 점검 등 시스템 운영 업무 수행 </t>
    <phoneticPr fontId="12" type="noConversion"/>
  </si>
  <si>
    <t xml:space="preserve">오늘의게임 부가서비스, 애드몹 광고 형식 추가 개발검토 </t>
    <phoneticPr fontId="12" type="noConversion"/>
  </si>
  <si>
    <t xml:space="preserve">서버개발자6 </t>
    <phoneticPr fontId="12" type="noConversion"/>
  </si>
  <si>
    <t xml:space="preserve">1:1문의 저장형 XSS와 설정 미흡 기반 XSS 조치 선행 개발 </t>
    <phoneticPr fontId="12" type="noConversion"/>
  </si>
  <si>
    <t xml:space="preserve">애드몹 광고 형식 추가, MY탭 오늘의게임·셀로 컨텐츠 API, 인트로 연동관리 페이지 등 부가서비스 서버 기능 검토 및 설계 </t>
    <phoneticPr fontId="12" type="noConversion"/>
  </si>
  <si>
    <t xml:space="preserve">오늘의게임 부가 하위서비스 데이터 처리와 연동 기능 선행 개발 </t>
    <phoneticPr fontId="12" type="noConversion"/>
  </si>
  <si>
    <t xml:space="preserve">MY개편 추가작업 반영과 부가서비스 API 정비, 어드민 점검결과 작성 연계 등 서버 기능 보완 개발 </t>
    <phoneticPr fontId="12" type="noConversion"/>
  </si>
  <si>
    <t xml:space="preserve">MY개편 고도화, 홈페이지 현행화, 부가서비스 관리자 정책 추가 등 서버 기능 검토 및 구조 설계 </t>
    <phoneticPr fontId="12" type="noConversion"/>
  </si>
  <si>
    <t xml:space="preserve">유·무료 서비스 동의화면 개선 연계 보완과 관리자 정책 반영 준비 등 서버 기능 보완 개발 </t>
    <phoneticPr fontId="12" type="noConversion"/>
  </si>
  <si>
    <t xml:space="preserve">MIS 선택업데이트 데이터 처리와 안면인증 통계 고도화 등 서버 반영 항목 구조 설계 </t>
    <phoneticPr fontId="12" type="noConversion"/>
  </si>
  <si>
    <t xml:space="preserve">서버개발자7 </t>
    <phoneticPr fontId="12" type="noConversion"/>
  </si>
  <si>
    <t xml:space="preserve">안면인증 실패 데이터 추출, 개인정보·위치정보 자료 요청, 모바일신분증 운영 확인 등 서비스 운영 요청 대응 </t>
    <phoneticPr fontId="12" type="noConversion"/>
  </si>
  <si>
    <t xml:space="preserve">안면인증 실패 데이터 추출, 개인정보·위치정보 자료 요청, 결제수단 등록 수 추출 등 모바일신분증 운영 요청 대응 </t>
    <phoneticPr fontId="12" type="noConversion"/>
  </si>
  <si>
    <t xml:space="preserve">안면인증 통계 고도화 서버 기능 설계와 이벤트 연계 반영 구조 검토 </t>
    <phoneticPr fontId="12" type="noConversion"/>
  </si>
  <si>
    <t xml:space="preserve">안면인증 실패 데이터 추출 요청, 모바일신분증 요청 대응, 운영 확인 항목 정리 등 서비스 운영 요청 대응 </t>
    <phoneticPr fontId="12" type="noConversion"/>
  </si>
  <si>
    <t xml:space="preserve">안면인증 통계 고도화 서버 기능 설계와 주소록X오피스도우미 연계 이벤트 반영 검토 </t>
    <phoneticPr fontId="12" type="noConversion"/>
  </si>
  <si>
    <t xml:space="preserve">안면인증 실패 데이터 추출 요청, 모바일신분증 운영 확인, 관련 요청사항 정리 등 서비스 운영 요청 대응 </t>
    <phoneticPr fontId="12" type="noConversion"/>
  </si>
  <si>
    <t xml:space="preserve">안면인증 통계 고도화 완료 반영과 부가서비스 관리자 접근 권한 정책 구조 설계 </t>
    <phoneticPr fontId="12" type="noConversion"/>
  </si>
  <si>
    <t>마케팅</t>
    <phoneticPr fontId="12" type="noConversion"/>
  </si>
  <si>
    <t>전자고지 활성화 이벤트 당첨자 발표 페이지 수정 퍼블</t>
    <phoneticPr fontId="12" type="noConversion"/>
  </si>
  <si>
    <t>PASS주소록 오피스 도우미 이벤트 퍼블</t>
    <phoneticPr fontId="12" type="noConversion"/>
  </si>
  <si>
    <t>U+'홈페이지 현행화</t>
    <phoneticPr fontId="12" type="noConversion"/>
  </si>
  <si>
    <t>2월</t>
    <phoneticPr fontId="12" type="noConversion"/>
  </si>
  <si>
    <t>ㄴ26년 3월 앱 배포 검수</t>
  </si>
  <si>
    <t>3월 배포 DVT 이슈 대응 및 소스 점검 
- 주소록</t>
    <phoneticPr fontId="12" type="noConversion"/>
  </si>
  <si>
    <t>기존 문제점 수정 개발 및 DVT 앱 반영 
- AOS</t>
    <phoneticPr fontId="12" type="noConversion"/>
  </si>
  <si>
    <t>3월 배포 CVT 1차 앱 소스 머지 및 취합 점검 
- AOS</t>
    <phoneticPr fontId="12" type="noConversion"/>
  </si>
  <si>
    <t>앱 CVT 2차 앱 소스 머지 및 취합 점검 
- AOS</t>
    <phoneticPr fontId="12" type="noConversion"/>
  </si>
  <si>
    <t>ㄴ PASS 전자고지 열람 시 IMEI 조회 실패 오류 안내 개선</t>
  </si>
  <si>
    <t>모바일지갑 IMEI 제거 개발 검토 
- AOS</t>
    <phoneticPr fontId="12" type="noConversion"/>
  </si>
  <si>
    <t>스토어 앱 배포 및 이슈 점검 
- AOS</t>
    <phoneticPr fontId="12" type="noConversion"/>
  </si>
  <si>
    <t>MIS SDK 업데이트 개발 
- AOS</t>
    <phoneticPr fontId="12" type="noConversion"/>
  </si>
  <si>
    <t>ㄴPASS클라우드</t>
  </si>
  <si>
    <t>신규부가서비스 PASS 클라우드 추가 건 내부 개발 검토 
- AOS</t>
    <phoneticPr fontId="12" type="noConversion"/>
  </si>
  <si>
    <t>인앱브라우처 웹타입 추가 건 기획 초안 검토 및 협의 
- AOS</t>
    <phoneticPr fontId="12" type="noConversion"/>
  </si>
  <si>
    <t>3월 배포 DVT 이슈 대응 및 소스 점검 
- PASS 머니 회원 탈퇴</t>
    <phoneticPr fontId="12" type="noConversion"/>
  </si>
  <si>
    <t>3월 배포 DVT 이슈 대응 및 소스 점검 
- 고객의소리 URL 변경</t>
    <phoneticPr fontId="12" type="noConversion"/>
  </si>
  <si>
    <t>앱 CVT 1차 대응 및 내부 점검
- AOS</t>
    <phoneticPr fontId="12" type="noConversion"/>
  </si>
  <si>
    <t>MY개편 고도화 기획 초안 검토 및 추가 협의 
- AOS</t>
    <phoneticPr fontId="12" type="noConversion"/>
  </si>
  <si>
    <t>앱 CVT 2차 이슈 대응 및 내부 점검 
- AOS</t>
    <phoneticPr fontId="12" type="noConversion"/>
  </si>
  <si>
    <t>ㄴMIS 실행 시 선택 업데이트 기능 추가</t>
  </si>
  <si>
    <t>MIS 선택업데이트 기능 추가 관련 개발 검토 
- AOS</t>
    <phoneticPr fontId="12" type="noConversion"/>
  </si>
  <si>
    <t>MY개편 고도화 기획 초안 검토 및 협의 
- AOS</t>
    <phoneticPr fontId="12" type="noConversion"/>
  </si>
  <si>
    <t>3월 배포 DVT 이슈 대응 및 소스 점검 
- 하단 GNB 개편</t>
    <phoneticPr fontId="12" type="noConversion"/>
  </si>
  <si>
    <t>3월 배포 DVT 이슈 대응 및 소스 점검 
- OCR 보안취약점 조치</t>
    <phoneticPr fontId="12" type="noConversion"/>
  </si>
  <si>
    <t>앱 CVT 1차 이슈 대응 및 내부 점검 
- AOS</t>
    <phoneticPr fontId="12" type="noConversion"/>
  </si>
  <si>
    <t>만보기 SDK 업데이트 개발 검토 
- AOS</t>
    <phoneticPr fontId="12" type="noConversion"/>
  </si>
  <si>
    <t>3월 배포 DVT 이슈 대응 및 소스 점검 
- MY화면 개편</t>
    <phoneticPr fontId="12" type="noConversion"/>
  </si>
  <si>
    <t>3월 배포 DVT 이슈 대응 및 소스 점검 
- 3월 이동규격 추가</t>
    <phoneticPr fontId="12" type="noConversion"/>
  </si>
  <si>
    <t>3월 배포 DVT 이슈 대응 및 소스 점검 
- 오피스도우미 SDK 업데이트</t>
    <phoneticPr fontId="12" type="noConversion"/>
  </si>
  <si>
    <t>오피스도우미 클라우드 관련 SDK 수정 대응 개발 검토 
- AOS</t>
    <phoneticPr fontId="12" type="noConversion"/>
  </si>
  <si>
    <t>유/무료 서비스 동의화면 개선건 기획 초안 리뷰 및 협의 
- AOS</t>
    <phoneticPr fontId="12" type="noConversion"/>
  </si>
  <si>
    <t>GA4 추가 태깅 작업 
- AOS</t>
    <phoneticPr fontId="12" type="noConversion"/>
  </si>
  <si>
    <t>ㄴ고객의 소리 링크 변경</t>
  </si>
  <si>
    <t>고객의소리 URL 변경 개발 검토 
- AOS</t>
    <phoneticPr fontId="12" type="noConversion"/>
  </si>
  <si>
    <t>유/무료 서비스 동의화면 개선건 기획 초안 리뷰 및 협의 
- 부가서비스 서버</t>
    <phoneticPr fontId="12" type="noConversion"/>
  </si>
  <si>
    <t>앱전달 요청 대응 
- 휴대폰결제, 베이직</t>
    <phoneticPr fontId="12" type="noConversion"/>
  </si>
  <si>
    <t>인앱브라우처 웹타입 추가 건 기획 초안 검토 및 협의 
- iOS</t>
    <phoneticPr fontId="12" type="noConversion"/>
  </si>
  <si>
    <t>앱 CVT 1차 대응 및 내부 점검
- iOS</t>
    <phoneticPr fontId="12" type="noConversion"/>
  </si>
  <si>
    <t>3월 배포 CVT 1차 앱 소스 머지 및 취합 점검 
- iOS</t>
    <phoneticPr fontId="12" type="noConversion"/>
  </si>
  <si>
    <t>앱 CVT 2차 앱 소스 머지 및 취합 점검 
- iOS</t>
    <phoneticPr fontId="12" type="noConversion"/>
  </si>
  <si>
    <t>앱전달 요청 대응 
- 품질팀, 폴라리스오피스, 와이즈솔루션, 헥토, 우연컴퍼니</t>
    <phoneticPr fontId="12" type="noConversion"/>
  </si>
  <si>
    <t>앱 CVT 2차 이슈 대응 및 내부 점검 
- iOS</t>
    <phoneticPr fontId="12" type="noConversion"/>
  </si>
  <si>
    <t>스토어 앱 배포 및 이슈 점검 
- iOS</t>
    <phoneticPr fontId="12" type="noConversion"/>
  </si>
  <si>
    <t>ㄴIOS : PASS 앱 icloud (클라우드 복원시 재가입 프로세스 유도)</t>
  </si>
  <si>
    <t>iCloud 복원 시 재가입 프로세스 유도 개발 검토 및 개발</t>
    <phoneticPr fontId="12" type="noConversion"/>
  </si>
  <si>
    <t>신규부가서비스 PASS 클라우드 추가 건 내부 개발 검토 
- iOS</t>
    <phoneticPr fontId="12" type="noConversion"/>
  </si>
  <si>
    <t>MY개편 고도화 기획 초안 검토 및 협의 
- iOS</t>
    <phoneticPr fontId="12" type="noConversion"/>
  </si>
  <si>
    <t>앱 CVT 1차 이슈 대응 및 내부 점검 
- iOS</t>
    <phoneticPr fontId="12" type="noConversion"/>
  </si>
  <si>
    <t>만보기 SDK 업데이트 개발 검토 
- iOS</t>
    <phoneticPr fontId="12" type="noConversion"/>
  </si>
  <si>
    <t>기존 문제점 수정 개발 및 DVT 앱 반영 
- iOS</t>
    <phoneticPr fontId="12" type="noConversion"/>
  </si>
  <si>
    <t>모바일지갑 IMEI 제거 개발 검토 
- iOS</t>
    <phoneticPr fontId="12" type="noConversion"/>
  </si>
  <si>
    <t>고객의소리 URL 변경 개발 검토 
- iOS</t>
    <phoneticPr fontId="12" type="noConversion"/>
  </si>
  <si>
    <t>유/무료 서비스 동의화면 개선건 기획 초안 리뷰 및 협의 
- iOS</t>
    <phoneticPr fontId="12" type="noConversion"/>
  </si>
  <si>
    <t>GA4 추가 태깅 작업 
- iOS</t>
    <phoneticPr fontId="12" type="noConversion"/>
  </si>
  <si>
    <t>MY개편 고도화 기획 초안 검토 및 추가 협의 
- iOS</t>
    <phoneticPr fontId="12" type="noConversion"/>
  </si>
  <si>
    <t>MIS SDK 업데이트 개발 
- iOS</t>
    <phoneticPr fontId="12" type="noConversion"/>
  </si>
  <si>
    <t>MIS 선택업데이트 기능 추가 관련 개발 검토 
- iOS</t>
    <phoneticPr fontId="12" type="noConversion"/>
  </si>
  <si>
    <t>26년 3월 정기 배포 검수
- DVT(검수 환경) 수행</t>
    <phoneticPr fontId="12" type="noConversion"/>
  </si>
  <si>
    <t>26년 3월 정기 배포 검수
- CVT 1차(검수 환경) 대응
- 검수 앱 점검</t>
    <phoneticPr fontId="12" type="noConversion"/>
  </si>
  <si>
    <t>3월 10일</t>
    <phoneticPr fontId="12" type="noConversion"/>
  </si>
  <si>
    <t>26년 3월 정기 배포 검수
- CVT 2차(상용 환경) 대응
- 상용 앱 점검</t>
    <phoneticPr fontId="12" type="noConversion"/>
  </si>
  <si>
    <t>3월 13일</t>
    <phoneticPr fontId="12" type="noConversion"/>
  </si>
  <si>
    <t>26년 3월 정기 배포 검수
- 모바일신분증 기능 검증
- 부가서비스 기능 검증</t>
    <phoneticPr fontId="12" type="noConversion"/>
  </si>
  <si>
    <t>3월 16일</t>
    <phoneticPr fontId="12" type="noConversion"/>
  </si>
  <si>
    <t>26년 3월 정기 배포 검수
- 스토어 배포 대응</t>
    <phoneticPr fontId="12" type="noConversion"/>
  </si>
  <si>
    <t>3월 18일</t>
    <phoneticPr fontId="12" type="noConversion"/>
  </si>
  <si>
    <t>26년 3월 정기 배포 검수
- 스토어 배포 대응</t>
  </si>
  <si>
    <t>CSR_11409</t>
  </si>
  <si>
    <t>3월 18일</t>
  </si>
  <si>
    <t>기존 문제점 내부 검토
- iCloud 복원 시 재가입 프로세스 진행 현황 검토</t>
    <phoneticPr fontId="12" type="noConversion"/>
  </si>
  <si>
    <t>3월 20일</t>
    <phoneticPr fontId="12" type="noConversion"/>
  </si>
  <si>
    <t>기존 문제점 내부 검토
- iCloud 복원 시 재가입 프로세스 진행 현황 검토</t>
  </si>
  <si>
    <t>3월 20일</t>
  </si>
  <si>
    <t>3월 5일</t>
    <phoneticPr fontId="12" type="noConversion"/>
  </si>
  <si>
    <t>2월</t>
  </si>
  <si>
    <t>26년 3월 배포 앱 DVT
- DVT 수행</t>
  </si>
  <si>
    <t>2월 26일</t>
  </si>
  <si>
    <t>2월 27일</t>
  </si>
  <si>
    <t>26년 3월 개편 앱 CVT 1차 대응
- CVT 1차 이슈 항목 점검
- 검수 앱 점검</t>
    <phoneticPr fontId="12" type="noConversion"/>
  </si>
  <si>
    <t>3월 11일</t>
  </si>
  <si>
    <t>26년 3월 개편 앱 CVT 2차 대응
- CVT 2차 사용앱 점검</t>
    <phoneticPr fontId="12" type="noConversion"/>
  </si>
  <si>
    <t>3월 13일</t>
  </si>
  <si>
    <t>ㄴ26년 3월 2차 서버 검수</t>
  </si>
  <si>
    <t>26년 3월 정기 배포 검수
- 모바일신분증 기능 검증
- 부가서비스 기능 검증</t>
  </si>
  <si>
    <t>CSR_11411</t>
  </si>
  <si>
    <t>3월 16일</t>
  </si>
  <si>
    <t>3월 4일</t>
  </si>
  <si>
    <t>3월 6일</t>
  </si>
  <si>
    <t>안면인증 통계 고도화
- 데이터 추출기준 변경 및 기획서 수정</t>
    <phoneticPr fontId="12" type="noConversion"/>
  </si>
  <si>
    <t>1. 모바일운전면허 확인서비스 장애 대응 (2/27~3/1)
2. 모바일운전면허 확인서비스 공지등록요청 (3회)
3. PASS전자고지 열람 오류 VOC
  - 개발팀 검토 요청 및 개선 방향 협의</t>
    <phoneticPr fontId="12" type="noConversion"/>
  </si>
  <si>
    <t>모바일신분증 제3자제공 이용기관 리스트
- 가맹점 데이터 현행화 요청 및 웹뷰 제작 요청</t>
    <phoneticPr fontId="12" type="noConversion"/>
  </si>
  <si>
    <t>1. PASS지갑 운영 개선을 위한 데이터 추출 요청
2. IPMS 적용 현황 정리 및 공유</t>
    <phoneticPr fontId="12" type="noConversion"/>
  </si>
  <si>
    <t xml:space="preserve">서비스 품질관리를 위한 내부 QA 진행 </t>
    <phoneticPr fontId="12" type="noConversion"/>
  </si>
  <si>
    <t>1. 휴대폰결제 바코드 생성 오류 테스트 및 개발검토요청
2. 신분증검증 가맹점 표시 기준 확인 및 개발 확인요청</t>
    <phoneticPr fontId="12" type="noConversion"/>
  </si>
  <si>
    <t>26년 3월 배포 준비
- DVT 수행, 관리자 데이터 세팅 및 CP 오류 문의 대응
- 3/10 서버 반영 테스트 및 모니터링
- 3/18 앱 배포 및 모니터링</t>
    <phoneticPr fontId="12" type="noConversion"/>
  </si>
  <si>
    <t>모바일신분증 가맹점 표기 정책 수정
- 기획서 작성 및 개발검토요청</t>
    <phoneticPr fontId="12" type="noConversion"/>
  </si>
  <si>
    <t xml:space="preserve">PASS전자고지 열람율 개선 고도화 검토
- 기획서 리뷰 및 PASS지갑 지원 가능 여부 검토요청
- 전자고지 검수 PUSH발송 테스트 및 확인요청 </t>
    <phoneticPr fontId="12" type="noConversion"/>
  </si>
  <si>
    <t>MIS 선택 업데이트 기능 추가
- 기획 리뷰 및 기획서 수정, 개발검토, MIS 문의</t>
    <phoneticPr fontId="12" type="noConversion"/>
  </si>
  <si>
    <t>1. PASS지갑 가입 계좌인증 및 검수기 등록 요청 대응 (3/16)
2. PASS지갑 안드로이드 타겟 버전 상향 영향도 확인 (2/24)</t>
    <phoneticPr fontId="12" type="noConversion"/>
  </si>
  <si>
    <t xml:space="preserve">1. MASA 신분증결제 이벤트 당첨자 검증 (2/24)
2. 안면인증 실패 통계 주차 별 공유 (2월 3주~3월 3주)
3. 모바일운전면허 갱신 정책 개발 검토요청 (3/9)
4. 안면인증 등록 성공율 기준 검토요청 (3/13)
5. 모바일운전면허 개인정보 수집 현황 확인요청 (3/17)
6. 주민등록모바일확인서비스 화면 현행화 및 정리 (3/20)
7. 모바일신분증 IMSI 이슈 검토요청 (3/20) </t>
    <phoneticPr fontId="12" type="noConversion"/>
  </si>
  <si>
    <t>금융혜택
- 광고 배너 타입 변경(2/26)
셀로
- 시스템 작업 관련 대응</t>
    <phoneticPr fontId="12" type="noConversion"/>
  </si>
  <si>
    <t>PASS주소록
- 기획서 업데이트
- CP사&amp;개발 문의 대응
- 서비스 약관 어드민 세팅
- 문서 공유 기능 관련 이슈 대응</t>
    <phoneticPr fontId="12" type="noConversion"/>
  </si>
  <si>
    <t>계좌점유인증(3월)
- 금융기관 리스트 U+ 협의
- 금융기관 리스트 현행화(w.RP,인증서 서버)</t>
    <phoneticPr fontId="12" type="noConversion"/>
  </si>
  <si>
    <t>ㄴPASS클라우드</t>
    <phoneticPr fontId="12" type="noConversion"/>
  </si>
  <si>
    <t>PASS클라우드
- 기획서 업데이트
- 클라우드 서비스 관련 미팅(w.오션블루)
- CP사&amp;개발 문의 대응</t>
    <phoneticPr fontId="12" type="noConversion"/>
  </si>
  <si>
    <t>오늘의 게임
- 기획서 업데이트
- CP사&amp;개발 문의 대응</t>
    <phoneticPr fontId="12" type="noConversion"/>
  </si>
  <si>
    <t>MY - 고도화
- 기획서 업데이트(U+ 추가 요건 반영)
- 관련 디자인 요청 및 검수
- 기획 리뷰 1차
- 일반부가서비스 상세 확인(w.미디어로그)</t>
    <phoneticPr fontId="12" type="noConversion"/>
  </si>
  <si>
    <t>PASS주소록 - 고도화
- 기획서 업데이트
- 공유 시트 디자인 검수 및 수정
- CP사 개발 요건 및 일정 협의</t>
    <phoneticPr fontId="12" type="noConversion"/>
  </si>
  <si>
    <t>MY·전체메뉴 통합 개편
- 기획서 수정
- CP사&amp;개발 문의 대응
- 일반 부가서비스 세팅 및 테스트
- 맞춤정보 영역 아이콘 변경</t>
    <phoneticPr fontId="12" type="noConversion"/>
  </si>
  <si>
    <t>애드몹 광고형식 추가
- 기획서 초안 작성 및 개발 검토 요청
- 기획서 업데이트(광고 노출 제어 기능 추가)</t>
    <phoneticPr fontId="12" type="noConversion"/>
  </si>
  <si>
    <t>계좌점유인증 uiux개편(6월)
- 금융기관 선택 화면 디자인 검수 및 U+ 협의
- 금융기관 리스트 현행화 요청(w.RP,인증서 서버)</t>
    <phoneticPr fontId="12" type="noConversion"/>
  </si>
  <si>
    <t xml:space="preserve">PASS클라우드
- 기획서 업데이트
- CP사 기획서 및 SDK 검토
- 기획 리뷰 1차
- CP사&amp;개발 문의 대응 </t>
    <phoneticPr fontId="12" type="noConversion"/>
  </si>
  <si>
    <t>인앱브라우저
- 기획서 업데이트
- 기획 요건 U+ 협의
- 기능 관련 개발 문의 대응</t>
    <phoneticPr fontId="12" type="noConversion"/>
  </si>
  <si>
    <t>PIN 인증 방식 전환
- 기획서 수정 및 개발 문의 대응</t>
    <phoneticPr fontId="12" type="noConversion"/>
  </si>
  <si>
    <t>26년 3월 업데이트용 GA4태깅 검수
- 검수 태깅 적용 테스트 및 수정 요청</t>
    <phoneticPr fontId="12" type="noConversion"/>
  </si>
  <si>
    <t>서비스 무료 가입자 지표 공유
- 2월 서베이 및 일반 무료서비스 가입자 현황</t>
    <phoneticPr fontId="12" type="noConversion"/>
  </si>
  <si>
    <t>PASS머니 잔액 보유 고객 탈퇴 프로세스 개선
- 상용 반영 및 모니터링</t>
    <phoneticPr fontId="12" type="noConversion"/>
  </si>
  <si>
    <t>유·무료 서비스 동의화면 개선
- CP 상용 환경 반영 요청 및 검수</t>
    <phoneticPr fontId="12" type="noConversion"/>
  </si>
  <si>
    <t>3월 12일</t>
    <phoneticPr fontId="12" type="noConversion"/>
  </si>
  <si>
    <t>투데이 이벤트 운영 지원
- 검수 배너 세팅 및 테스트
- 상용 배너 오픈</t>
    <phoneticPr fontId="12" type="noConversion"/>
  </si>
  <si>
    <t>펫키퍼 이벤트 운영 지원
- 검수 배너 세팅 및 테스트</t>
    <phoneticPr fontId="12" type="noConversion"/>
  </si>
  <si>
    <t>웹툰 이벤트 운영 지원
- 2월 출석체크 이벤트 관련 PUSH 데이터 공유</t>
    <phoneticPr fontId="12" type="noConversion"/>
  </si>
  <si>
    <t>2월 PASS 마케팅 및 PUSH 지표 작성
- PUSH 지표 작성 및 현황 보고</t>
    <phoneticPr fontId="12" type="noConversion"/>
  </si>
  <si>
    <t>2월 PASS 서비스 품질지표 작성
- GA 지표 작성 및 보고</t>
    <phoneticPr fontId="12" type="noConversion"/>
  </si>
  <si>
    <t>2월 PASS PV 및 체류시간 데이터 취합
- CP사 데이터 취합 및 유플러스 전달
- PUSH 데이터 추가 전달 요청 및 취합</t>
    <phoneticPr fontId="12" type="noConversion"/>
  </si>
  <si>
    <t xml:space="preserve">앱 업데이트 완료 후 서비스 진입 로직 개선
- 기획서 작성 및 리뷰
- 유플러스 요건 협의 </t>
    <phoneticPr fontId="12" type="noConversion"/>
  </si>
  <si>
    <t>휴대폰결제 GA4 적용 관련 문의 대응
- 개발 문의 대응 
- 개발 가이드 문서 공유</t>
    <phoneticPr fontId="12" type="noConversion"/>
  </si>
  <si>
    <t>ㄴ주소록 오픈 이벤트</t>
  </si>
  <si>
    <t>주소록 오픈 이벤트
- 기획서 작성 및 사업팀 검토 요청
- 디자인, 퍼블, 개발 검수
- 이벤트 배너 기획</t>
    <phoneticPr fontId="12" type="noConversion"/>
  </si>
  <si>
    <t>유/무료 서비스 동의화면 개선(잔여)
- 기획서 작성
- 개발 문의 대응</t>
    <phoneticPr fontId="12" type="noConversion"/>
  </si>
  <si>
    <t>ㄴPASS 전자고지 활성화 이벤트</t>
  </si>
  <si>
    <t>PASS 전자고지 활성화 이벤트
- 당첨자 발표 기획서 작성
- 디자인, 퍼블 요청 및 검수
- 응모자 추출 요청 및 서비스 가입 여부 확인 요청(인증서, 전자고지)</t>
    <phoneticPr fontId="12" type="noConversion"/>
  </si>
  <si>
    <t xml:space="preserve">PASS머니 페이백쇼핑 이벤트 홍보 지원
- 주별 PUSH 발송 및 데이터 공유 </t>
    <phoneticPr fontId="12" type="noConversion"/>
  </si>
  <si>
    <t>3월 마케팅 PUSH 발송 
- CP사 일정 취합 
- 발송 규격 세팅
- 일별 발송</t>
    <phoneticPr fontId="12" type="noConversion"/>
  </si>
  <si>
    <t>오버테이크 요청사항 대응
- 광고주 팝업 및 인증완료 배너 운영 지원 및 지표 공유 
- 대출비교 3월 프로모션 운영 지원
- 여행 서비스 제휴 광고 운영 지원</t>
    <phoneticPr fontId="12" type="noConversion"/>
  </si>
  <si>
    <t>ㄴ JWT 도입에 따른 앱 진입/인증 흐름 개선</t>
  </si>
  <si>
    <t>JWT 도입에 따른 현 프로세스 정리 
- 신분증, 본인확인, 휴대폰결제 프로세스 확인</t>
    <phoneticPr fontId="12" type="noConversion"/>
  </si>
  <si>
    <t>3월 9일</t>
    <phoneticPr fontId="12" type="noConversion"/>
  </si>
  <si>
    <t>3월 17일</t>
    <phoneticPr fontId="12" type="noConversion"/>
  </si>
  <si>
    <t>ㄴ마인드케어 프리미엄</t>
  </si>
  <si>
    <t>마인드케어프리미엄 서비스 연동
- 상용 어드민 세팅
- CP 상용 테스트 관련 세팅 지원</t>
    <phoneticPr fontId="12" type="noConversion"/>
  </si>
  <si>
    <t>ㄴ에코혜택모아</t>
  </si>
  <si>
    <t>에코혜택모아 서비스 연동
- 상용 어드민 세팅
- CP 상용 테스트 관련 세팅 지원</t>
    <phoneticPr fontId="12" type="noConversion"/>
  </si>
  <si>
    <t>장애대응 공지메뉴 추가 (VAS 어드민)</t>
  </si>
  <si>
    <t>VAS 메뉴 확인 및 기획서 작성</t>
    <phoneticPr fontId="12" type="noConversion"/>
  </si>
  <si>
    <t>신용관리, 부동산지키미
- 약관 공지 요청 (3/13)
- 약관 변경 (3/20)</t>
    <phoneticPr fontId="12" type="noConversion"/>
  </si>
  <si>
    <t>1. 펫신분증 IP 추가 관련 개발검토요청 및 문의 대응
'2. 펫신분증 출입QR 생성 오류 테스트 및 확인 요청</t>
    <phoneticPr fontId="12" type="noConversion"/>
  </si>
  <si>
    <t>PASS 주소록 리소스 수정</t>
    <phoneticPr fontId="12" type="noConversion"/>
  </si>
  <si>
    <t>2월 23일</t>
    <phoneticPr fontId="12" type="noConversion"/>
  </si>
  <si>
    <t>ㄴ하단GNB 개편</t>
  </si>
  <si>
    <t>하단 GNB 메뉴 추가</t>
    <phoneticPr fontId="12" type="noConversion"/>
  </si>
  <si>
    <t>2월 25일</t>
    <phoneticPr fontId="12" type="noConversion"/>
  </si>
  <si>
    <t>앱스토어 스크린샷 현행화</t>
    <phoneticPr fontId="12" type="noConversion"/>
  </si>
  <si>
    <t>2월 27일</t>
    <phoneticPr fontId="12" type="noConversion"/>
  </si>
  <si>
    <t>서비스 아이콘 추가(여행)</t>
    <phoneticPr fontId="12" type="noConversion"/>
  </si>
  <si>
    <t>휴대폰결제 QR 바텀시트 수정</t>
    <phoneticPr fontId="12" type="noConversion"/>
  </si>
  <si>
    <t>3월 11일</t>
    <phoneticPr fontId="12" type="noConversion"/>
  </si>
  <si>
    <t>신분증결제 고도화</t>
  </si>
  <si>
    <t>신분증결제 QR 바텀시트 수정</t>
    <phoneticPr fontId="12" type="noConversion"/>
  </si>
  <si>
    <t>인앱 브라우저 내 공유하기 디자인</t>
    <phoneticPr fontId="12" type="noConversion"/>
  </si>
  <si>
    <t>계좌인증 금융기관 선택 UI 개선</t>
    <phoneticPr fontId="12" type="noConversion"/>
  </si>
  <si>
    <t>3월 19일</t>
    <phoneticPr fontId="12" type="noConversion"/>
  </si>
  <si>
    <t>- MY 맞춤정보 icon 수정
- red dot 추가
- 부가서비스 하단 텍스트 추가</t>
    <phoneticPr fontId="12" type="noConversion"/>
  </si>
  <si>
    <t>2월 15일</t>
    <phoneticPr fontId="12" type="noConversion"/>
  </si>
  <si>
    <t>당첨자 페이지 디자인</t>
    <phoneticPr fontId="12" type="noConversion"/>
  </si>
  <si>
    <t>주소록 이벤트 디자인</t>
    <phoneticPr fontId="12" type="noConversion"/>
  </si>
  <si>
    <t>주소록 공유하기 간편 시트 수정</t>
    <phoneticPr fontId="12" type="noConversion"/>
  </si>
  <si>
    <t>주소록 공유하기 간편 시트</t>
    <phoneticPr fontId="12" type="noConversion"/>
  </si>
  <si>
    <t>3월 6일</t>
    <phoneticPr fontId="12" type="noConversion"/>
  </si>
  <si>
    <t>3월 1차 부가서비스 컨플런스 작성 대응</t>
    <phoneticPr fontId="12" type="noConversion"/>
  </si>
  <si>
    <t>3월 1차 일반서비스 컨플런스 작성 대응</t>
    <phoneticPr fontId="12" type="noConversion"/>
  </si>
  <si>
    <t>모바일신분증 통합통계 건수 체크 대응</t>
    <phoneticPr fontId="12" type="noConversion"/>
  </si>
  <si>
    <t>3월 1차 서버 반영 내부 소스 점검 및 추가 테스트
- 부가서비스</t>
    <phoneticPr fontId="12" type="noConversion"/>
  </si>
  <si>
    <t>모바일지갑 IMEI 제거 개발 검토 
- 서버</t>
    <phoneticPr fontId="12" type="noConversion"/>
  </si>
  <si>
    <t>통합인증 IMEI값 제거 개발 검토</t>
    <phoneticPr fontId="12" type="noConversion"/>
  </si>
  <si>
    <t>3월 주소록 오픈 이벤트 개발검토 및 개발</t>
    <phoneticPr fontId="12" type="noConversion"/>
  </si>
  <si>
    <t>3월 2차 컨플 작성 대응 
- 모바일운전면허</t>
    <phoneticPr fontId="12" type="noConversion"/>
  </si>
  <si>
    <t>MY개편 고도화 기획 초안 검토 및 협의 
- 부가서비스 서버</t>
    <phoneticPr fontId="12" type="noConversion"/>
  </si>
  <si>
    <t>3월 배포 DVT 이슈 대응 및 소스 점검 
- 1:1문의하기 유형 추가</t>
    <phoneticPr fontId="12" type="noConversion"/>
  </si>
  <si>
    <t>3월 1차 서버 CVT 준비 및 진행 
- 반영패키지 준비 및 리허설 
- 상용화 시험 
- SQL 검증 및 파티션 테스트</t>
    <phoneticPr fontId="12" type="noConversion"/>
  </si>
  <si>
    <t>3월 1차 서버 상용 반영
- 상용 반영 최종 점검
- 상용 반영
- 모니터링 및 내부 추가 검증 
- 소스 머지 및 관리</t>
    <phoneticPr fontId="12" type="noConversion"/>
  </si>
  <si>
    <t>MY개편 관련 부가서비스 코드 추가 반영 대응</t>
    <phoneticPr fontId="12" type="noConversion"/>
  </si>
  <si>
    <t>부가서비스 3월 2차 CVT 지원 
- 반영패키지 준비 및 리허설 
- DB 파티션 테스트</t>
    <phoneticPr fontId="12" type="noConversion"/>
  </si>
  <si>
    <t>nCAS 요금제코드 목록 갯수 제한 관련 대응</t>
    <phoneticPr fontId="12" type="noConversion"/>
  </si>
  <si>
    <t>3월 1차 모바일운전면허 컨플런스 작성 대응</t>
    <phoneticPr fontId="12" type="noConversion"/>
  </si>
  <si>
    <t>검수환경 펫키퍼 연동 오류 이슈 대응</t>
    <phoneticPr fontId="12" type="noConversion"/>
  </si>
  <si>
    <t>펫신분증 연동 방화벽 처리 대응</t>
    <phoneticPr fontId="12" type="noConversion"/>
  </si>
  <si>
    <t>3월 1차 서버 반영 내부 소스 점검 및 추가 테스트
- 모바일운전면허</t>
    <phoneticPr fontId="12" type="noConversion"/>
  </si>
  <si>
    <t>통합PUSH 상용 톰캣 에러 페이지 보안취약점 대응</t>
    <phoneticPr fontId="12" type="noConversion"/>
  </si>
  <si>
    <t>부가서비스 상용 WEB SSL 인증서 교체작업 대응</t>
    <phoneticPr fontId="12" type="noConversion"/>
  </si>
  <si>
    <t>상용 일반서비스 메모리 증설작업 대응</t>
    <phoneticPr fontId="12" type="noConversion"/>
  </si>
  <si>
    <t>일반서비스 H2 프로토콜 처리 시 간헐적 데이터 유실 대응</t>
    <phoneticPr fontId="12" type="noConversion"/>
  </si>
  <si>
    <t>MIS 선택업데이트 기능 추가 관련 개발 검토 
- 모바일운전면허 서버</t>
    <phoneticPr fontId="12" type="noConversion"/>
  </si>
  <si>
    <t>3월 2차 컨플 작성 대응 
- 부가서비스/일반서비스</t>
    <phoneticPr fontId="12" type="noConversion"/>
  </si>
  <si>
    <t>26년 2월 부가서비스 무료가입자 통계 추출 대응</t>
    <phoneticPr fontId="12" type="noConversion"/>
  </si>
  <si>
    <t>부가서비스 검수 WEB서버 방화벽 오픈 대응</t>
    <phoneticPr fontId="12" type="noConversion"/>
  </si>
  <si>
    <t>부가서비스 인덱스 추가 생성 요청 대응</t>
    <phoneticPr fontId="12" type="noConversion"/>
  </si>
  <si>
    <t>신분증확인서비스 안면인식 데이터 처리 흐름도 작성 대응</t>
    <phoneticPr fontId="12" type="noConversion"/>
  </si>
  <si>
    <t>3월 1차 서버 반영 내부 소스 점검 및 추가 테스트
- 일반서비스</t>
    <phoneticPr fontId="12" type="noConversion"/>
  </si>
  <si>
    <t>MY개편 고도화 기획 초안 검토 및 추가 협의 
- 부가서비스 서버</t>
    <phoneticPr fontId="12" type="noConversion"/>
  </si>
  <si>
    <t>부가서비스 KCB 인증서 갱신 대응</t>
    <phoneticPr fontId="12" type="noConversion"/>
  </si>
  <si>
    <t>1월 전자고지 활성화이벤트 당첨자페이지 개발검토 및 개발</t>
    <phoneticPr fontId="12" type="noConversion"/>
  </si>
  <si>
    <t>검수환경 어드민 포트 분리 작업 대응</t>
    <phoneticPr fontId="12" type="noConversion"/>
  </si>
  <si>
    <t>신분증결제 KICC 연동 테스트 및 전용선 추가 대응</t>
    <phoneticPr fontId="12" type="noConversion"/>
  </si>
  <si>
    <t>기존 문제점 소스 코드 내부 검토 
- 모바일운전면허 서버</t>
    <phoneticPr fontId="12" type="noConversion"/>
  </si>
  <si>
    <t>모바일운전면허 3월 2차 CVT 지원 
- 반영패키지 준비 및 리허설 
- 상용화 시험 대응 
- DB 파티션 테스트</t>
    <phoneticPr fontId="12" type="noConversion"/>
  </si>
  <si>
    <t>검수환경 오피스도우미 연동 오류 이슈 대응</t>
    <phoneticPr fontId="12" type="noConversion"/>
  </si>
  <si>
    <t>기존 문제점 소스 코드 내부 검토 
- 부가서비스 서버</t>
    <phoneticPr fontId="12" type="noConversion"/>
  </si>
  <si>
    <t>모바일신분증 개인정보 제3자제공 이용기관 리스트 페이지 데이터 추출 및 개발 검토 대응</t>
    <phoneticPr fontId="12" type="noConversion"/>
  </si>
  <si>
    <t>신규부가서비스 PASS 클라우드 추가 건 내부 개발 검토 
- 부가서비스 서버</t>
    <phoneticPr fontId="12" type="noConversion"/>
  </si>
  <si>
    <t>전자고지 대량 발송 모니터링 대응</t>
    <phoneticPr fontId="12" type="noConversion"/>
  </si>
  <si>
    <t>안면인증 실패 데이터 추출 요청 대응</t>
    <phoneticPr fontId="12" type="noConversion"/>
  </si>
  <si>
    <t>신분증결제 결제수단 등록 통계 추출 대응</t>
    <phoneticPr fontId="12" type="noConversion"/>
  </si>
  <si>
    <t>PASS 주소록 오픈 이벤트 페이지 퍼블</t>
    <phoneticPr fontId="12" type="noConversion"/>
  </si>
  <si>
    <t>전자고지 활성화 이벤트 당첨자 발표 페이지 퍼블</t>
    <phoneticPr fontId="12" type="noConversion"/>
  </si>
  <si>
    <t>1월</t>
    <phoneticPr fontId="12" type="noConversion"/>
  </si>
  <si>
    <t>ㄴ26년 2월 앱 긴급 배포 검수</t>
  </si>
  <si>
    <t>PASS앱 2월 긴급 배포 CVT 대응 (ALMS버전 등록 및 이슈 대응, 내부 추가 테스트) 
- AOS</t>
    <phoneticPr fontId="12" type="noConversion"/>
  </si>
  <si>
    <t>앱전달 요청 대응 
- 데이사이드, 품질팀, 보안팀</t>
    <phoneticPr fontId="12" type="noConversion"/>
  </si>
  <si>
    <t>PASS앱 개인정보 삭제/파기 정책 현황 확인 대응 
- AOS</t>
    <phoneticPr fontId="12" type="noConversion"/>
  </si>
  <si>
    <t>PASS앱 2월 긴급 배포 대응 (스토어 배포 및 테스트/모니터링) 
- AOS</t>
    <phoneticPr fontId="12" type="noConversion"/>
  </si>
  <si>
    <t>앱전달 요청 대응 
- 우연컴퍼니, 휴대폰결제, 헥토, 인포바인, 와이즈솔루션</t>
    <phoneticPr fontId="12" type="noConversion"/>
  </si>
  <si>
    <t>3월 배포 DVT 이슈 대응 
- 유/무료 서비스 동의화면 개선, PASS인증서</t>
    <phoneticPr fontId="12" type="noConversion"/>
  </si>
  <si>
    <t>앱전달 요청 대응 
- 오버테이크, 오피스, 더치트, 비디젠</t>
    <phoneticPr fontId="12" type="noConversion"/>
  </si>
  <si>
    <t>3월 배포 DVT 이슈 대응 및 소스 점검 
- PASS 주소록</t>
    <phoneticPr fontId="12" type="noConversion"/>
  </si>
  <si>
    <t>PASS 주소록 추가 개발 
- AOS</t>
    <phoneticPr fontId="12" type="noConversion"/>
  </si>
  <si>
    <t>3월 이동규격 H/I 규격 추가 개발 
- AOS</t>
    <phoneticPr fontId="12" type="noConversion"/>
  </si>
  <si>
    <t>모바일운전면허 OCR 보안 취약점 패치 
- AOS</t>
    <phoneticPr fontId="12" type="noConversion"/>
  </si>
  <si>
    <t>3월 배포 DVT 이슈 대응 
- 금융혜택 동기화, 하단 GNB 개선, 다회선 전환</t>
    <phoneticPr fontId="12" type="noConversion"/>
  </si>
  <si>
    <t>3월 배포 DVT 이슈 대응 및 소스 점검 
- MY전체메뉴 개편</t>
    <phoneticPr fontId="12" type="noConversion"/>
  </si>
  <si>
    <t>PASS에코혜택모아 부가서비스 추가 개발 
- AOS</t>
    <phoneticPr fontId="12" type="noConversion"/>
  </si>
  <si>
    <t>3월 배포 DVT 이슈 대응 
- 모바일지갑, 계좌점유인증, 신분증결제 통계</t>
    <phoneticPr fontId="12" type="noConversion"/>
  </si>
  <si>
    <t>3월 배포 DVT 이슈 대응 
- 1:1문의하기, 펫신분증, 안면인증</t>
    <phoneticPr fontId="12" type="noConversion"/>
  </si>
  <si>
    <t>3월 배포 DVT 이슈 대응 및 소스 점검 
- 오피스도우미</t>
    <phoneticPr fontId="12" type="noConversion"/>
  </si>
  <si>
    <t>MY/전체메뉴 통합 개편 개발 
- AOS</t>
    <phoneticPr fontId="12" type="noConversion"/>
  </si>
  <si>
    <t>ㄴ펫신분증 UI 개선</t>
  </si>
  <si>
    <t>펫신분증 UI/UX 개편 추가 개발 
- AOS</t>
    <phoneticPr fontId="12" type="noConversion"/>
  </si>
  <si>
    <t>3월 배포 DVT 이슈 대응 
- PASS머니, PASS에코혜택모아, 휴대폰결제</t>
    <phoneticPr fontId="12" type="noConversion"/>
  </si>
  <si>
    <t>3월 배포 DVT 이슈 대응 및 소스 점검 
- 고객의소리</t>
    <phoneticPr fontId="12" type="noConversion"/>
  </si>
  <si>
    <t>휴대폰결제 해지 약관 개편 개발 
- AOS</t>
    <phoneticPr fontId="12" type="noConversion"/>
  </si>
  <si>
    <t>고객 민원 대응 
- 인증오류 1건, 실행불가 1건</t>
    <phoneticPr fontId="12" type="noConversion"/>
  </si>
  <si>
    <t>GA 태깅 추가 개발 
- AOS</t>
    <phoneticPr fontId="12" type="noConversion"/>
  </si>
  <si>
    <t>모바일지갑 SDK 업데이트 대응 
- AOS</t>
    <phoneticPr fontId="12" type="noConversion"/>
  </si>
  <si>
    <t>고객의소리 URL 변경 대응 
- AOS</t>
    <phoneticPr fontId="12" type="noConversion"/>
  </si>
  <si>
    <t>3월 배포 DVT 이슈 대응 및 소스 점검
- 모바일신분증, 약관, 홈화면</t>
    <phoneticPr fontId="12" type="noConversion"/>
  </si>
  <si>
    <t>PASS에코혜택모아 부가서비스 추가 개발 
- iOS</t>
    <phoneticPr fontId="12" type="noConversion"/>
  </si>
  <si>
    <t>PASS앱 2월 긴급 배포 CVT 대응 (ALMS버전 등록 및 이슈 대응, 내부 추가 테스트) 
- iOS</t>
    <phoneticPr fontId="12" type="noConversion"/>
  </si>
  <si>
    <t>PASS앱 개인정보 삭제/파기 정책 현황 확인 대응 
- iOS</t>
    <phoneticPr fontId="12" type="noConversion"/>
  </si>
  <si>
    <t>PASS앱 2월 긴급 배포 대응 (스토어 배포 및 테스트/모니터링) 
- iOS</t>
    <phoneticPr fontId="12" type="noConversion"/>
  </si>
  <si>
    <t>GA 태깅 추가 개발 
- iOS</t>
    <phoneticPr fontId="12" type="noConversion"/>
  </si>
  <si>
    <t>고객의소리 URL 변경 대응 
- iOS</t>
    <phoneticPr fontId="12" type="noConversion"/>
  </si>
  <si>
    <t>휴대폰결제 해지 약관 개편 개발 
- iOS</t>
    <phoneticPr fontId="12" type="noConversion"/>
  </si>
  <si>
    <t>오피스도우미 iOS 무료회원 크레딧 이슈 수정 대응 
- iOS</t>
    <phoneticPr fontId="12" type="noConversion"/>
  </si>
  <si>
    <t>3월 이동규격 H/I 규격 추가 개발 
- iOS</t>
    <phoneticPr fontId="12" type="noConversion"/>
  </si>
  <si>
    <t>펫신분증 UI/UX 개편 추가 개발 
- iOS</t>
    <phoneticPr fontId="12" type="noConversion"/>
  </si>
  <si>
    <t>PASS 주소록 추가 개발 
- iOS</t>
    <phoneticPr fontId="12" type="noConversion"/>
  </si>
  <si>
    <t>MY/전체메뉴 통합 개편 개발 
- iOS</t>
    <phoneticPr fontId="12" type="noConversion"/>
  </si>
  <si>
    <t>모바일운전면허 OCR 보안 취약점 패치 
- iOS</t>
    <phoneticPr fontId="12" type="noConversion"/>
  </si>
  <si>
    <t>모바일지갑 SDK 업데이트 대응 
- iOS</t>
    <phoneticPr fontId="12" type="noConversion"/>
  </si>
  <si>
    <t>26년 2월 긴급 배포 준비
- 검수/상용 환경 검증
- 앱 배포 후 모니터링</t>
    <phoneticPr fontId="12" type="noConversion"/>
  </si>
  <si>
    <t>26년 3월 정기 배포 검수 준비
- 테스트케이스 설계
- 검수 테스트 환경 설정</t>
    <phoneticPr fontId="12" type="noConversion"/>
  </si>
  <si>
    <t>2월 4일</t>
    <phoneticPr fontId="12" type="noConversion"/>
  </si>
  <si>
    <t>2월 10일</t>
    <phoneticPr fontId="12" type="noConversion"/>
  </si>
  <si>
    <t>2월 16일</t>
    <phoneticPr fontId="12" type="noConversion"/>
  </si>
  <si>
    <t>2월 20일</t>
    <phoneticPr fontId="12" type="noConversion"/>
  </si>
  <si>
    <t>26년 2월 긴급 배포 준비
- 검수/상용 환경 검증
- 앱 배포 후 모니터링</t>
  </si>
  <si>
    <t>26년 3월 정기 배포 검수 준비
- 테스트케이스 설계
- 검수 테스트 환경 설정</t>
  </si>
  <si>
    <t>2월 4일</t>
  </si>
  <si>
    <t>26년 3월 정기 배포 검수
- DVT(검수 환경) 수행</t>
  </si>
  <si>
    <t>2월 10일</t>
  </si>
  <si>
    <t>2월 16일</t>
  </si>
  <si>
    <t>2월 20일</t>
  </si>
  <si>
    <t>MIS 선택 업데이트 기능 추가
- 기획서 작성 및 개발 검토 요청</t>
    <phoneticPr fontId="12" type="noConversion"/>
  </si>
  <si>
    <t>PIN 인증 방식 전환
- 기획서 작성 및 개발 검토 요청</t>
    <phoneticPr fontId="12" type="noConversion"/>
  </si>
  <si>
    <t>26년 3월 배포 준비
- 통합 화면설계서 및 CDR 문서 작성
- DVT 및 앱설명회, 검수앱 전달</t>
    <phoneticPr fontId="12" type="noConversion"/>
  </si>
  <si>
    <t>26년 2월 긴급 배포 준비
- CDR 문서 작성 및 검수
- 앱 배포 후 모니터링</t>
    <phoneticPr fontId="12" type="noConversion"/>
  </si>
  <si>
    <t>안면인증 실패 데이터 추출
- 데이터 추출 범위 정리 및 개발 검토 요청
- 기간 별 추출 요청, 편집 및 공유
- 어드민 기획서 작성</t>
    <phoneticPr fontId="12" type="noConversion"/>
  </si>
  <si>
    <t>고객의소리 URL 변경
- 기획서 작성 및 개발 검토 요청</t>
    <phoneticPr fontId="12" type="noConversion"/>
  </si>
  <si>
    <t>PASS전자고지 열람율 개선 고도화 검토
- 기획서 작성 및 개발 검토 요청</t>
    <phoneticPr fontId="12" type="noConversion"/>
  </si>
  <si>
    <t>PASS전자고지 열람 오류 VOC
- 개선안 검토 및 공유, 개발 검토 요청</t>
    <phoneticPr fontId="12" type="noConversion"/>
  </si>
  <si>
    <t xml:space="preserve">1. PASS전자고지 문서 열람 플로우 정리 및 공유
2. 모바일신분증 기획문서 현행화 및 공유 
- 신분증 검증, 안면인증
3. 모바일신분증 현행 약관 취합 및 전달
4. 모바일신분증 인증 가맹점 표기 정책 검토 </t>
    <phoneticPr fontId="12" type="noConversion"/>
  </si>
  <si>
    <t>1. 면허증 상용 DB 반영 작업 (1/29)
- 작업공지 테스트 및 설정, 공지사항 등록 요청
- 모니터링 및 테스트
2. PASS앱 서비스 중단 모니터링 및 테스트 (2/11)</t>
    <phoneticPr fontId="12" type="noConversion"/>
  </si>
  <si>
    <t>- 26' 앱 개편사항 요약 내용 수정</t>
    <phoneticPr fontId="12" type="noConversion"/>
  </si>
  <si>
    <t>금융혜택 연동 개발 추가
- CP사 협의 및 개발 테스트 F/U</t>
    <phoneticPr fontId="12" type="noConversion"/>
  </si>
  <si>
    <t>MY·전체메뉴 통합 개편
- 기획서 수정
- CP사&amp;개발 문의 대응
- GA태깅 문서 작성
- 품질팀 공유용 문서 작성</t>
    <phoneticPr fontId="12" type="noConversion"/>
  </si>
  <si>
    <t>PASS주소록 
- 기획서 업데이트
- CP사 개발 요건 및 일정 협의
- 품질팀 공유용 문서 작성
- 온보딩 디자인 기획</t>
    <phoneticPr fontId="12" type="noConversion"/>
  </si>
  <si>
    <t>PASS주소록 
- 기획서 업데이트
- 유사서비스 약관 서칭 및 서비스 약관 작성 
- CP사 개발 요건 및 일정 협의</t>
    <phoneticPr fontId="12" type="noConversion"/>
  </si>
  <si>
    <t>인앱브라우저
- 기획서 초안 작성</t>
    <phoneticPr fontId="12" type="noConversion"/>
  </si>
  <si>
    <t>금융혜택 UIUX개편 관련 대응
- 개편사항 공유 및 내부 QA요청
- 금융혜택 탭 명칭 변경</t>
    <phoneticPr fontId="12" type="noConversion"/>
  </si>
  <si>
    <t>오늘의 게임
- 개발 요건 협의(w.와이즈솔루션)
- 기획서 초안 작성</t>
    <phoneticPr fontId="12" type="noConversion"/>
  </si>
  <si>
    <t>MY개편 고도화(5월)
- 개발 요건 협의(w.U+)
- 기획서 초안 작성</t>
    <phoneticPr fontId="12" type="noConversion"/>
  </si>
  <si>
    <t>명의도용방지
- 알뜰폰 사업자리스트 현행화</t>
    <phoneticPr fontId="12" type="noConversion"/>
  </si>
  <si>
    <t>PASS주소록 고도화(5월)
- 개발 요건 협의(w.U+)
- 기획서 초안 작성</t>
    <phoneticPr fontId="12" type="noConversion"/>
  </si>
  <si>
    <t>MY·전체메뉴 통합 개편
- 기획서 수정
- CP사&amp;개발 문의 대응</t>
    <phoneticPr fontId="12" type="noConversion"/>
  </si>
  <si>
    <t>서베이
- PUSH 관련 문의 대응
셀로
- 시스템 작업 관련 대응</t>
    <phoneticPr fontId="12" type="noConversion"/>
  </si>
  <si>
    <t>계좌점유인증
- 금융기관 전체 리스트 문의
- 계좌점유인증 개발 서버 및 프로세스 확인</t>
    <phoneticPr fontId="12" type="noConversion"/>
  </si>
  <si>
    <t>PASS클라우드
- CP사 문의사항 대응
- 개발 관련 기술 미팅(w.오션블루,폴라리스오피스)</t>
    <phoneticPr fontId="12" type="noConversion"/>
  </si>
  <si>
    <t>투데이 이벤트 운영 지원
- 검수 이벤트 배너 세팅 및 테스트
- 상용 이벤트 배너 오픈</t>
    <phoneticPr fontId="12" type="noConversion"/>
  </si>
  <si>
    <t>In-App Rating 데이터 U+ 공유
- 고객 인입 데이터 및 rating 팝업 화면 공유</t>
    <phoneticPr fontId="12" type="noConversion"/>
  </si>
  <si>
    <t>서비스 무료 가입자 지표 공유
- 1월 서베이 및 일반 무료서비스 가입자 현황</t>
    <phoneticPr fontId="12" type="noConversion"/>
  </si>
  <si>
    <t>26년 3월 업데이트용 GA4태깅 문서 작성
- GA4 태깅 문서 작성 및 개발 요청</t>
    <phoneticPr fontId="12" type="noConversion"/>
  </si>
  <si>
    <t>유·무료 서비스 동의화면 개선
- CP 개발서버 반영 사항 검수 및 수정 요청</t>
    <phoneticPr fontId="12" type="noConversion"/>
  </si>
  <si>
    <t>PASS 전자고지 활성화 이벤트
- 참여 홍보 PUSH 발송</t>
    <phoneticPr fontId="12" type="noConversion"/>
  </si>
  <si>
    <t>웹툰 이벤트 운영 지원
- 검수 이벤트 배너 세팅 및 테스트
- 상용 이벤트 배너 오픈
- 홍보 PUSH 발송</t>
    <phoneticPr fontId="12" type="noConversion"/>
  </si>
  <si>
    <t>PASS머니 잔액 보유 고객 탈퇴 프로세스 개선
- 개발 검수
- CP사 및 개발 문의 대응</t>
    <phoneticPr fontId="12" type="noConversion"/>
  </si>
  <si>
    <t>ㄴGS25 신분증결제 오픈 이벤트 1차</t>
  </si>
  <si>
    <t>GS25X신분증결제 오픈 이벤트(1차) 당첨자 발표
- 상용 페이지 오픈
- U+ 운영결과자료 공유</t>
    <phoneticPr fontId="12" type="noConversion"/>
  </si>
  <si>
    <t>PASS머니 페이백쇼핑 이벤트 홍보 지원
- CP사 개발 문의 대응
- 주요서비스 icon 제작 지원
- 주별 PUSH 발송 지원
- 딥링크 생성 및 전달</t>
    <phoneticPr fontId="12" type="noConversion"/>
  </si>
  <si>
    <t>1월 PASS 마케팅 및 PUSH 지표 작성
- PUSH 지표 작성 및 현황 보고</t>
    <phoneticPr fontId="12" type="noConversion"/>
  </si>
  <si>
    <t>2월 마케팅 PUSH 발송 
- CP사 일정 취합 
- 발송 규격 세팅
- 일별 발송</t>
    <phoneticPr fontId="12" type="noConversion"/>
  </si>
  <si>
    <t>오버테이크 요청사항 대응
- 광고주 팝업 및 인증완료 배너 운영 지원 및 지표 공유 
- 대출비교 2월 프로모션 운영 지원
- 2월 금고열기 프로모션 운영 지원
- 여행 서비스 제휴 광고 운영 지원
- PASS 머니 적립 이벤트</t>
    <phoneticPr fontId="12" type="noConversion"/>
  </si>
  <si>
    <t>1월 PASS 서비스 품질지표 작성
- GA 지표 작성 및 보고</t>
    <phoneticPr fontId="12" type="noConversion"/>
  </si>
  <si>
    <t>1월 PASS PV 및 체류시간 데이터 취합
- CP사 데이터 취합 및 유플러스 전달
- PUSH 데이터 추가 전달 요청 및 취합</t>
    <phoneticPr fontId="12" type="noConversion"/>
  </si>
  <si>
    <t>1월</t>
  </si>
  <si>
    <t>CP 문의 대응
- 펫키퍼 LGU+ 및 LGU+ MVNO 개인정보 제3자 제공동의  약관 변경 대응
- PASS스탁/해외주식정보/공모주정보/쿠폰팩/휴대폰안심 : LGU+ 및 LGU+ MVNO 개인정보 제3자 제공동의 약관 변경 대응
- 오피스도우미 LGU+ 및 LGU+ MVNO 개인정보 제3자 제공동의  약관 변경 대응
- 더치트프리미엄 유료 서비스 이용약관, LGU+및 LGU+ MVNO 개인정보 제3자 제공 동의 약관 변경 대응
- 더치트프리미엄 web-view 연동정의서 및 UIUX 개편 관련 문의 대응
- 펫신분증 서버 이전 대응
- 방화벽 신청 및 관련 문의 대응, 검토
- 기타 문의사항 대응 및 검수앱 배포</t>
    <phoneticPr fontId="12" type="noConversion"/>
  </si>
  <si>
    <t>오피스도우미 iOS SDK 업데이트 관련 대응</t>
    <phoneticPr fontId="12" type="noConversion"/>
  </si>
  <si>
    <t>만보기 SDK 업데이트 관련 대응</t>
    <phoneticPr fontId="12" type="noConversion"/>
  </si>
  <si>
    <t xml:space="preserve">마인드케어프리미엄 서비스 연동
- 정책 등 협의에 따른 기획서 업데이트 
- 약관, FAQ, TC 설계서 수급 및 세팅
- 서비스아이콘 세팅
- 개발진행 관련 f/u </t>
    <phoneticPr fontId="12" type="noConversion"/>
  </si>
  <si>
    <t xml:space="preserve">에코혜택모아 서비스 연동
- 정책 등 협의에 따른 기획서 업데이트 
- 약관, FAQ, TC 설계서 수급 및 세팅
- 서비스아이콘 세팅
- 개발진행 관련 f/u </t>
    <phoneticPr fontId="12" type="noConversion"/>
  </si>
  <si>
    <t>펫신분증 고도화 관련 f/u 
- 디자인요청 검수, CP사 협의 등</t>
  </si>
  <si>
    <t>유료가입 인트로 디자인 가이드 수정</t>
    <phoneticPr fontId="12" type="noConversion"/>
  </si>
  <si>
    <t>1월 21일</t>
    <phoneticPr fontId="12" type="noConversion"/>
  </si>
  <si>
    <t>PASS 주소록 디자인</t>
    <phoneticPr fontId="12" type="noConversion"/>
  </si>
  <si>
    <t>1월 30일</t>
    <phoneticPr fontId="12" type="noConversion"/>
  </si>
  <si>
    <t>서비스 아이콘 추가(홈 6종, 전체 3종) 수정</t>
    <phoneticPr fontId="12" type="noConversion"/>
  </si>
  <si>
    <t>2월 5일</t>
    <phoneticPr fontId="12" type="noConversion"/>
  </si>
  <si>
    <t>2월 9일</t>
    <phoneticPr fontId="12" type="noConversion"/>
  </si>
  <si>
    <t>앱 접근권한 화면 수정</t>
    <phoneticPr fontId="12" type="noConversion"/>
  </si>
  <si>
    <t>MY·전체메뉴 통합 개편 디자인 수정</t>
    <phoneticPr fontId="12" type="noConversion"/>
  </si>
  <si>
    <t>2월 12일</t>
    <phoneticPr fontId="12" type="noConversion"/>
  </si>
  <si>
    <t>유료가입 인트로 디자인 가이드 검수 및 수정</t>
    <phoneticPr fontId="12" type="noConversion"/>
  </si>
  <si>
    <t>PASS 주소록 온보딩 디자인</t>
    <phoneticPr fontId="12" type="noConversion"/>
  </si>
  <si>
    <t>2월 11일</t>
    <phoneticPr fontId="12" type="noConversion"/>
  </si>
  <si>
    <t>ㄴ1:1 문의 카테고리 추가</t>
  </si>
  <si>
    <t>1:1 문의하기 유형 추가 개발</t>
    <phoneticPr fontId="12" type="noConversion"/>
  </si>
  <si>
    <t>3월 이동규격 H/I 규격 추가 개발 
- 부가서비스 서버</t>
    <phoneticPr fontId="12" type="noConversion"/>
  </si>
  <si>
    <t>PASS앱 개인정보 삭제/파기 정책 현황 확인 대응 
- 부가서비스 서버</t>
    <phoneticPr fontId="12" type="noConversion"/>
  </si>
  <si>
    <t>ㄴ26년 3월 1차 서버 검수</t>
  </si>
  <si>
    <t>3월 1차 서버 내부 테스트 및 ALMS 문서 준비 
- 부가서비스 서버</t>
    <phoneticPr fontId="12" type="noConversion"/>
  </si>
  <si>
    <t>PASS마인드케어 프리미엄 추가 CP연동테스트 대응</t>
    <phoneticPr fontId="12" type="noConversion"/>
  </si>
  <si>
    <t>3월 배포 DVT 이슈 대응 및 소스 점검
- 보안취약점 조치, 이벤트/혜택메뉴</t>
    <phoneticPr fontId="12" type="noConversion"/>
  </si>
  <si>
    <t>PASS 주소록 추가 개발 
- 부가서비스 서버</t>
    <phoneticPr fontId="12" type="noConversion"/>
  </si>
  <si>
    <t>PASS에코혜택모아 부가서비스 추가 개발 
- 부가서비스 서버</t>
    <phoneticPr fontId="12" type="noConversion"/>
  </si>
  <si>
    <t xml:space="preserve">일반서비스 검수서버 WEB VIP방화벽 이슈 대응 </t>
    <phoneticPr fontId="12" type="noConversion"/>
  </si>
  <si>
    <t>PASS 전자고지 발송 지연 대응</t>
    <phoneticPr fontId="12" type="noConversion"/>
  </si>
  <si>
    <t>부가서비스 어드민 개인정보 감사 에이전트 설치 지원 및 모니터링</t>
    <phoneticPr fontId="12" type="noConversion"/>
  </si>
  <si>
    <t>ㄴ26년 2월 서버 긴급 검수</t>
  </si>
  <si>
    <t xml:space="preserve">부가서비스 서버 2월 긴급 반영 대응 
- 품질 CVT 및 상용 반영 </t>
    <phoneticPr fontId="12" type="noConversion"/>
  </si>
  <si>
    <t>전자고지 push 대량발송 모니터링 대응</t>
    <phoneticPr fontId="12" type="noConversion"/>
  </si>
  <si>
    <t>ㄴ26년 01월 2차 서버 검수</t>
  </si>
  <si>
    <t>모바일신분증 1월 2차 서버 상용 반영 및 모니터링 
- 서버 반영 전후 확인</t>
    <phoneticPr fontId="12" type="noConversion"/>
  </si>
  <si>
    <t>PASS앱 개인정보 삭제/파기 정책 현황 확인 대응 
- 모바일신분증 서버</t>
    <phoneticPr fontId="12" type="noConversion"/>
  </si>
  <si>
    <t>모바일신분증 인덱스 DB 작업 검토 및 지원</t>
    <phoneticPr fontId="12" type="noConversion"/>
  </si>
  <si>
    <t>모바일신분증 안면인증 서비스 관련 플로우 자료 대응</t>
    <phoneticPr fontId="12" type="noConversion"/>
  </si>
  <si>
    <t>모바일신분증 DB 개인정보 저장 데이터 암호화 여부 조사 대응</t>
    <phoneticPr fontId="12" type="noConversion"/>
  </si>
  <si>
    <t>통합인증 상용 서버 SSL 인증서 업데이트 모니터링 및 지원</t>
    <phoneticPr fontId="12" type="noConversion"/>
  </si>
  <si>
    <t>PUSH 통계 업데이트 대응</t>
    <phoneticPr fontId="12" type="noConversion"/>
  </si>
  <si>
    <t>26년 1월 서비스 무료가입자 통계 추출 대응</t>
    <phoneticPr fontId="12" type="noConversion"/>
  </si>
  <si>
    <t>부가서비스 버전 업그레이드 CVT 대응 
- DB 이중화시험 
- WEB 반영 리허설 
- 상용 반영 패키지 준비</t>
    <phoneticPr fontId="12" type="noConversion"/>
  </si>
  <si>
    <t>부가서비스 버전 업그레이드 CVT 대응 
- WAS 반영 리허설
- ADMIN 반영 리허설 
- 문서 추가 현행화</t>
    <phoneticPr fontId="12" type="noConversion"/>
  </si>
  <si>
    <t>부가서비스 버전 업그레이드 CVT 대응 
- 문서 추가 현행화 
- admin 운영이관사전점검 조치 대응</t>
    <phoneticPr fontId="12" type="noConversion"/>
  </si>
  <si>
    <t>모바일신분증 1월 2차 CVT
- 반영패키지 준비 및 리허설</t>
    <phoneticPr fontId="12" type="noConversion"/>
  </si>
  <si>
    <t>모바일신분증 1월 2차 CVT
- 상용화 시험 준비 및 상용화 시험</t>
    <phoneticPr fontId="12" type="noConversion"/>
  </si>
  <si>
    <t>3월 1차 서버 내부 테스트 및 ALMS 문서 준비 
- 모바일신분증 서버</t>
    <phoneticPr fontId="12" type="noConversion"/>
  </si>
  <si>
    <t>PASS에코혜택모아 추가 CP연동테스트 대응</t>
    <phoneticPr fontId="12" type="noConversion"/>
  </si>
  <si>
    <t>3월 배포 DVT 이슈 대응 
- 1:1문의하기, 펫신분븡, 안면인증</t>
    <phoneticPr fontId="12" type="noConversion"/>
  </si>
  <si>
    <t>통합인증 CI/CI 초기화 이슈 대응</t>
    <phoneticPr fontId="12" type="noConversion"/>
  </si>
  <si>
    <t>PASS 주소록 추가 개발 
- 부가서비스 관리자 서버</t>
    <phoneticPr fontId="12" type="noConversion"/>
  </si>
  <si>
    <t>25년 신분증결제xGS25 런칭 프로모션 1차 당첨자 페이지 개발 검토 및 개발</t>
    <phoneticPr fontId="12" type="noConversion"/>
  </si>
  <si>
    <t>명의도용방지 알뜰폰 사업자리스트 화면 현행화 검토 및 개발</t>
    <phoneticPr fontId="12" type="noConversion"/>
  </si>
  <si>
    <t>MY/전체메뉴 통합 개편 개발 
- 모바일신분증 서버</t>
    <phoneticPr fontId="12" type="noConversion"/>
  </si>
  <si>
    <t>기존문제점 항목 수정 개발
- AOS</t>
    <phoneticPr fontId="12" type="noConversion"/>
  </si>
  <si>
    <t>유/뮤료 서비스 동의화면 개선 개발
- AOS</t>
    <phoneticPr fontId="12" type="noConversion"/>
  </si>
  <si>
    <t>PASS 주소록 서비스 추가 개발 검토 및 기획 협의
- AOS</t>
    <phoneticPr fontId="12" type="noConversion"/>
  </si>
  <si>
    <t>PASS 주소록 서비스 추가 개발
- AOS</t>
    <phoneticPr fontId="12" type="noConversion"/>
  </si>
  <si>
    <t>만보기 SDK 업데이트 개발 검토 및 협의
- AOS</t>
    <phoneticPr fontId="12" type="noConversion"/>
  </si>
  <si>
    <t>12월</t>
    <phoneticPr fontId="12" type="noConversion"/>
  </si>
  <si>
    <t>MY/전체 메뉴 개편 개발
- AOS</t>
    <phoneticPr fontId="12" type="noConversion"/>
  </si>
  <si>
    <t>하단 GNB 개편 개발 검토 및 기획 협의
- AOS</t>
    <phoneticPr fontId="12" type="noConversion"/>
  </si>
  <si>
    <t>하단 GNB 개편 개발
- AOS</t>
    <phoneticPr fontId="12" type="noConversion"/>
  </si>
  <si>
    <t>모바일신분증 등록 간소화 검토 및 3사 회의 대응</t>
    <phoneticPr fontId="12" type="noConversion"/>
  </si>
  <si>
    <t>휴대폰결제 해지 및 약관보기 개편 개발 검토 및 협의
- AOS</t>
    <phoneticPr fontId="12" type="noConversion"/>
  </si>
  <si>
    <t>휴대폰결제 해지 및 약관보기 개편 개발 
- AOS</t>
    <phoneticPr fontId="12" type="noConversion"/>
  </si>
  <si>
    <t>안면인증 부정행위 판단 오류 발생 시 인증 제한 개발 검토
- AOS</t>
    <phoneticPr fontId="12" type="noConversion"/>
  </si>
  <si>
    <t>PASS머니 잔액 보유 고객 탈퇴 프로세스 개선 개발
- AOS</t>
    <phoneticPr fontId="12" type="noConversion"/>
  </si>
  <si>
    <t>3월개편 GA4 태깅 추가 개발
- AOS</t>
    <phoneticPr fontId="12" type="noConversion"/>
  </si>
  <si>
    <t>신규부가서비스 PASS마인드케어 개발
- AOS</t>
    <phoneticPr fontId="12" type="noConversion"/>
  </si>
  <si>
    <t>펫신분증 UI/UX 개편 수정 개발
- AOS</t>
    <phoneticPr fontId="12" type="noConversion"/>
  </si>
  <si>
    <t>PASS머니 잔액 보유 고객 탈퇴 프로세스 개선 개발 검토
- AOS</t>
    <phoneticPr fontId="12" type="noConversion"/>
  </si>
  <si>
    <t>모바일지갑 SDK 업데이트 개발
- AOS</t>
    <phoneticPr fontId="12" type="noConversion"/>
  </si>
  <si>
    <t>PASS인증서 마이데이터 정보조회 기관 항목 추가 개발
- AOS</t>
    <phoneticPr fontId="12" type="noConversion"/>
  </si>
  <si>
    <t>PASS인증서 인정평가 개선 항목 개발
- AOS</t>
    <phoneticPr fontId="12" type="noConversion"/>
  </si>
  <si>
    <t>ㄴ부가서비스 다회선 전환시 안내 문구 및 마스킹 처리 적용</t>
  </si>
  <si>
    <t>부가서비스 다회선 전환 문구 수정 개발
- AOS</t>
    <phoneticPr fontId="12" type="noConversion"/>
  </si>
  <si>
    <t>3월 개편용 H/I 이동 규격 추가 개발 검토
- AOS</t>
    <phoneticPr fontId="12" type="noConversion"/>
  </si>
  <si>
    <t>모바일신분증 등록 시 안면 필수 등록 기획 협의 및 개발 검토
- AOS</t>
    <phoneticPr fontId="12" type="noConversion"/>
  </si>
  <si>
    <t>신규부가서비스 PASS클라우드 개발 검토 및 기획 협의
- AOS</t>
    <phoneticPr fontId="12" type="noConversion"/>
  </si>
  <si>
    <t>신규부가서비스 PASS에코혜택모아 개발
- AOS</t>
    <phoneticPr fontId="12" type="noConversion"/>
  </si>
  <si>
    <t xml:space="preserve">펫신분증 UI/UX개편 개발 검토 및 기획 협의
- AOS </t>
    <phoneticPr fontId="12" type="noConversion"/>
  </si>
  <si>
    <t>기존문제점 항목 수정 개발
- iOS</t>
    <phoneticPr fontId="12" type="noConversion"/>
  </si>
  <si>
    <t>VOC 대응
- PASS앱 실행 오류</t>
    <phoneticPr fontId="12" type="noConversion"/>
  </si>
  <si>
    <t>PASS인증서 마이데이터 정보조회 기관 항목 추가 개발
- iOS</t>
    <phoneticPr fontId="12" type="noConversion"/>
  </si>
  <si>
    <t>PASS 주소록 서비스 추가 개발 검토 및 기획 협의
- iOS</t>
    <phoneticPr fontId="12" type="noConversion"/>
  </si>
  <si>
    <t>PASS머니 잔액 보유 고객 탈퇴 프로세스 개선 개발
- iOS</t>
    <phoneticPr fontId="12" type="noConversion"/>
  </si>
  <si>
    <t>신규부가서비스 PASS클라우드 개발 검토 및 기획 협의
- iOS</t>
    <phoneticPr fontId="12" type="noConversion"/>
  </si>
  <si>
    <t>PASS 주소록 서비스 추가 개발
- iOS</t>
    <phoneticPr fontId="12" type="noConversion"/>
  </si>
  <si>
    <t>휴대폰결제 해지 및 약관보기 개편 개발 검토 및 협의
- iOS</t>
    <phoneticPr fontId="12" type="noConversion"/>
  </si>
  <si>
    <t>PASS머니 잔액 보유 고객 탈퇴 프로세스 개선 개발 검토
- iOS</t>
    <phoneticPr fontId="12" type="noConversion"/>
  </si>
  <si>
    <t>안면인증 부정행위 판단 오류 발생 시 인증 제한 개발 검토
- iOS</t>
    <phoneticPr fontId="12" type="noConversion"/>
  </si>
  <si>
    <t>모바일신분증 등록 시 안면 필수 등록 기획 협의 및 개발 검토
- iOS</t>
    <phoneticPr fontId="12" type="noConversion"/>
  </si>
  <si>
    <t>PASS인증서 인정평가 개선 항목 개발
- iOS</t>
    <phoneticPr fontId="12" type="noConversion"/>
  </si>
  <si>
    <t>만보기 SDK 업데이트 개발 검토 및 협의
- iOS</t>
    <phoneticPr fontId="12" type="noConversion"/>
  </si>
  <si>
    <t>신규부가서비스 PASS에코혜택모아 개발
- iOS</t>
    <phoneticPr fontId="12" type="noConversion"/>
  </si>
  <si>
    <t>휴대폰결제 해지 및 약관보기 개편 개발 
- iOS</t>
    <phoneticPr fontId="12" type="noConversion"/>
  </si>
  <si>
    <t>펫신분증 UI/UX개편 개발 검토 및 기획 협의
- iOS</t>
    <phoneticPr fontId="12" type="noConversion"/>
  </si>
  <si>
    <t>모바일지갑 SDK 업데이트 개발
- iOS</t>
    <phoneticPr fontId="12" type="noConversion"/>
  </si>
  <si>
    <t>MY/전체 메뉴 개편 개발
- iOS</t>
    <phoneticPr fontId="12" type="noConversion"/>
  </si>
  <si>
    <t>유/뮤료 서비스 동의화면 개선 개발
- iOS</t>
    <phoneticPr fontId="12" type="noConversion"/>
  </si>
  <si>
    <t>3월개편 GA4 태깅 추가 개발
- iOS</t>
    <phoneticPr fontId="12" type="noConversion"/>
  </si>
  <si>
    <t>3월 개편용 H/I 이동 규격 추가 개발 검토
- iOS</t>
    <phoneticPr fontId="12" type="noConversion"/>
  </si>
  <si>
    <t>신규부가서비스 PASS마인드케어 개발
- iOS</t>
    <phoneticPr fontId="12" type="noConversion"/>
  </si>
  <si>
    <t>펫신분증 UI/UX 개편 수정 개발
- iOS</t>
    <phoneticPr fontId="12" type="noConversion"/>
  </si>
  <si>
    <t>하단 GNB 개편 개발 검토 및 기획 협의
- iOS</t>
    <phoneticPr fontId="12" type="noConversion"/>
  </si>
  <si>
    <t>하단 GNB 개편 개발
- iOS</t>
    <phoneticPr fontId="12" type="noConversion"/>
  </si>
  <si>
    <t>부가서비스 다회선 전환 문구 수정 개발
- iOS</t>
    <phoneticPr fontId="12" type="noConversion"/>
  </si>
  <si>
    <t>26년 3월 개편 준비
- 테스트케이스 설계</t>
    <phoneticPr fontId="12" type="noConversion"/>
  </si>
  <si>
    <t>26년 3월 개편 준비
- 테스트케이스 설계
- 테스트 환경 설정</t>
    <phoneticPr fontId="12" type="noConversion"/>
  </si>
  <si>
    <t>PASS 앱 서비스 품질 개선
- 25년도 잔여 결함 확인 및 대응</t>
    <phoneticPr fontId="12" type="noConversion"/>
  </si>
  <si>
    <t>26년 1월 긴급 개편 대응
- 검증 환경 검증
- 스토어 배포 모니터링</t>
    <phoneticPr fontId="12" type="noConversion"/>
  </si>
  <si>
    <t>서비스품질관리</t>
  </si>
  <si>
    <t>서비스운영</t>
  </si>
  <si>
    <t>검수기 등록
- CP사 2건</t>
    <phoneticPr fontId="12" type="noConversion"/>
  </si>
  <si>
    <t>PASS 앱 서비스 품질 개선
- 25년도 잔여 결함 검토 및 처리</t>
    <phoneticPr fontId="12" type="noConversion"/>
  </si>
  <si>
    <t>26년 3월 개편 준비
- 테스트케이스 설계
- 테스트 환경 셋팅</t>
    <phoneticPr fontId="12" type="noConversion"/>
  </si>
  <si>
    <t>개발PM</t>
    <phoneticPr fontId="12" type="noConversion"/>
  </si>
  <si>
    <t>PASS인증서 전분야 마이데이터
- 기획서 수정, 디자인 요청, 개발 문의 대응</t>
    <phoneticPr fontId="12" type="noConversion"/>
  </si>
  <si>
    <t>PASS인증서 인정평가 수정
- 본인인증 정보 직접 입력 및 IPMS 적용</t>
    <phoneticPr fontId="12" type="noConversion"/>
  </si>
  <si>
    <t>모바일신분증 제3자제공 이용기관 리스트 
- 기획서 작성 및 디자인/퍼블리싱 요청
- 사업/기획/개발 협의 및 데이터 필터링 요청</t>
    <phoneticPr fontId="12" type="noConversion"/>
  </si>
  <si>
    <t xml:space="preserve">통신개통 부정가입 방지 신분증 간편 등록
- 기획서 작성 및 개발 검토 요청
- 신분증 간편등록 3사 회의 참석 </t>
    <phoneticPr fontId="12" type="noConversion"/>
  </si>
  <si>
    <t>안면인증 부정 시도 카운트 정책
- 기획서 작성 및 검토 요청
- 사업/기획/개발 협의</t>
    <phoneticPr fontId="12" type="noConversion"/>
  </si>
  <si>
    <t>안면인증 필수 등록 정책
- 기획서 작성 및 검토 요청, 디자인 요청
- 사업/기획/개발 협의</t>
    <phoneticPr fontId="12" type="noConversion"/>
  </si>
  <si>
    <t>PASS인증서 약관 개정
- 이용약관 개정 ADMIN 반영 (1.9 버전 업데이트)
- 인증업무준칙 개정 고지 등록 (1.7 버전 업데이트)</t>
    <phoneticPr fontId="12" type="noConversion"/>
  </si>
  <si>
    <t>1. 신분증 작업공지 등록 요청
 - 모바일운전면허 시스템 점검 및 갱신정책 공지 (3건)
2. 모바일운전면허 쏘카 도입 문의 개발검토 요청
3. 개인정보 컴플라이언스 안면인증 약관 내용 수정</t>
    <phoneticPr fontId="12" type="noConversion"/>
  </si>
  <si>
    <t>통신개통 부정가입 방지 인증완료 UX 수정 (iOS)
- 기획서 작성 및 개발 검토 요청</t>
    <phoneticPr fontId="12" type="noConversion"/>
  </si>
  <si>
    <t>안면인증 실패 데이터 추출
- 데이터 추출 범위 정리 및 개발 검토 요청</t>
    <phoneticPr fontId="12" type="noConversion"/>
  </si>
  <si>
    <t>PASS지갑
- SDK 업데이트 개발 요청 (1.13.7)
- 전자고지 이벤트 관련 딥링크 QR 전달</t>
    <phoneticPr fontId="12" type="noConversion"/>
  </si>
  <si>
    <t>휴대폰결제 이용동의 철회 기능 및 설정 메뉴 추가
- 기획서 작성, 검토 및 수정
- 사업/기획/개발 협의</t>
    <phoneticPr fontId="12" type="noConversion"/>
  </si>
  <si>
    <t>MY·전체메뉴 통합 개편
- 기획 요건 유플러스 협의
- 기획서 수정
- 개발 문의 대응
- CP사 연동 테스트 F/U</t>
    <phoneticPr fontId="12" type="noConversion"/>
  </si>
  <si>
    <t>-오늘의 게임 CP사, U+ 협의 진행</t>
    <phoneticPr fontId="12" type="noConversion"/>
  </si>
  <si>
    <t>- 개발 요건 협의 및 기획서 수정</t>
    <phoneticPr fontId="12" type="noConversion"/>
  </si>
  <si>
    <t>PASS주소록 
- 기획리뷰 및 개발요건 협의 
- CP사 개발 요청
- 기획서 업데이트
- 디자인 수정 요청 등</t>
    <phoneticPr fontId="12" type="noConversion"/>
  </si>
  <si>
    <t xml:space="preserve"> 가입 상태 동기화 관련 문의 대응</t>
    <phoneticPr fontId="12" type="noConversion"/>
  </si>
  <si>
    <t>- 기획서 리뷰
- CP사 협의 
- 개발 일정 협의</t>
    <phoneticPr fontId="12" type="noConversion"/>
  </si>
  <si>
    <t>PASS주소록  고도화
- 파일 공유 Flow 공유
- 페이백서비스 연동 관련 cp사 협의</t>
    <phoneticPr fontId="12" type="noConversion"/>
  </si>
  <si>
    <t>PASS주소록 
- 기획리뷰 2차(1/15), 개발 요건 협의(w.U+,CP사)
- 기획서 업데이트, 디자인 수정 요청</t>
    <phoneticPr fontId="12" type="noConversion"/>
  </si>
  <si>
    <t>금융혜택 연동 개발 추가
- 개발 요건 및 일정 협의</t>
    <phoneticPr fontId="12" type="noConversion"/>
  </si>
  <si>
    <t>- 26' 앱 개편사항 요약 파일 전달
- Compliance 정기 점검 증적 전달
- 어드민 개인화서비스 메뉴 관련 개발 문의 대응
- 오피스도우미 관련 회의</t>
    <phoneticPr fontId="12" type="noConversion"/>
  </si>
  <si>
    <t>1월 20일</t>
    <phoneticPr fontId="12" type="noConversion"/>
  </si>
  <si>
    <t>펫키퍼 신규가입 이벤트 운영 지원
- 11월~12월 신규가입 이벤트 GA 데이터 공유</t>
    <phoneticPr fontId="12" type="noConversion"/>
  </si>
  <si>
    <t>12월 22일</t>
    <phoneticPr fontId="12" type="noConversion"/>
  </si>
  <si>
    <t>12월</t>
  </si>
  <si>
    <t>ㄴPASS 출첵 스탬프 이벤트</t>
  </si>
  <si>
    <t>PASS 출첵 스탬프 이벤트 당첨자 발표
- 상용 오픈 및 모니터링
- 경품 발송 요청 및 PUSH 발송
- 이벤트 운영결과자료 사업팀 공유</t>
    <phoneticPr fontId="12" type="noConversion"/>
  </si>
  <si>
    <t>12월 29일</t>
    <phoneticPr fontId="12" type="noConversion"/>
  </si>
  <si>
    <t xml:space="preserve">생활정보 이벤트 운영 지원
- 11월~12월 신규가입 이벤트 PUSH 데이터 전달 </t>
    <phoneticPr fontId="12" type="noConversion"/>
  </si>
  <si>
    <t>1월 13일</t>
    <phoneticPr fontId="12" type="noConversion"/>
  </si>
  <si>
    <t>PASS머니 운영 요청사항 대응
- PASS머니 해지 요청 에러 관련 문의 대응</t>
    <phoneticPr fontId="12" type="noConversion"/>
  </si>
  <si>
    <t>유·무료 서비스 동의화면 개선
- 유료가입 인트로 디자인 가이드 검수
- CP사 가이드 배포 및 문의 대응
- CP사 디자인 검수 및 취합</t>
    <phoneticPr fontId="12" type="noConversion"/>
  </si>
  <si>
    <t>GS25X신분증결제 오픈 이벤트(1차) 당첨자 발표
- 기획서 작성 및 당첨자 선별
- 디자인 / 퍼블 / 개발 서버 검수
- 기프트샵 경품 지급 협조 요청</t>
    <phoneticPr fontId="12" type="noConversion"/>
  </si>
  <si>
    <t>PASS 전자고지 활성화 이벤트
- 기획서 작성
- 디자인, 퍼블, 개발 검수 
- 상용 오픈 및 홍보 PUSH 발송
- 이벤트 배너 기획 및 오픈
- 인증서 발급 고객 정보 요청 및  PUSH 데이터 세팅</t>
    <phoneticPr fontId="12" type="noConversion"/>
  </si>
  <si>
    <t>웹툰 이벤트 운영 지원
- 11월~12월 신규가입 룰렛 이벤트 GA 데이터 전달
- 2월 이벤트 배너 영역 및 BG 색상 협의</t>
    <phoneticPr fontId="12" type="noConversion"/>
  </si>
  <si>
    <t>PASS머니 잔액 보유 고객 탈퇴 프로세스 개선
- 기획서 업데이트
- 디자인 검수
- CP사 및 개발 문의 대응</t>
    <phoneticPr fontId="12" type="noConversion"/>
  </si>
  <si>
    <t>1월 마케팅 PUSH 발송 
- CP사 일정 취합 
- 발송 규격 세팅
- 일별 발송</t>
    <phoneticPr fontId="12" type="noConversion"/>
  </si>
  <si>
    <t>오버테이크 요청사항 대응
- 광고주 팝업 및 인증완료 배너 운영 지원 및 지표 공유 
- 대출비교 1월 프로모션 운영 지원
- 머니+하기 프로모션 당첨자 발표 배너 게시</t>
    <phoneticPr fontId="12" type="noConversion"/>
  </si>
  <si>
    <t>서비스 무료 가입자 지표 공유
- 12월 서베이 및 일반 무료서비스 가입자 현황</t>
    <phoneticPr fontId="12" type="noConversion"/>
  </si>
  <si>
    <t>1월 6일</t>
    <phoneticPr fontId="12" type="noConversion"/>
  </si>
  <si>
    <t>사업팀 요청 GA 데이터 공유
- 12월 전체메뉴 &gt; 외부사업자 영역 GA 데이터 전달</t>
    <phoneticPr fontId="12" type="noConversion"/>
  </si>
  <si>
    <t>1월 7일</t>
    <phoneticPr fontId="12" type="noConversion"/>
  </si>
  <si>
    <t>12월 PASS 서비스 품질지표 작성
- GA 지표 작성 및 보고</t>
    <phoneticPr fontId="12" type="noConversion"/>
  </si>
  <si>
    <t>1월 9일</t>
    <phoneticPr fontId="12" type="noConversion"/>
  </si>
  <si>
    <t>12월 PASS 마케팅 및 PUSH 지표 작성
- PUSH 지표 작성 및 현황 보고</t>
    <phoneticPr fontId="12" type="noConversion"/>
  </si>
  <si>
    <t>12월 PASS PV 및 체류시간 데이터 취합
- CP사 데이터 취합 및 유플러스 전달</t>
    <phoneticPr fontId="12" type="noConversion"/>
  </si>
  <si>
    <t>CP 문의 대응
- 투데이 가입 관련 문의 대응
- 스마트피싱보호 LGU+및 LGU+ MVNO 개인정보 제3자 제공 동의 약관 변경 대응
- 생활정보  LGU+ 및 LGU+ MVNO 개인정보 제3자 제공동의, 혜택정보.광고수신동의, 고객혜택제공을 위한 정보수집및 이용동의, PASS생활정보 청약철회 안내 4종 약관 변경 대응 
- 기타 문의사항 대응</t>
    <phoneticPr fontId="12" type="noConversion"/>
  </si>
  <si>
    <t xml:space="preserve">마인드케어프리미엄 서비스 연동
- 정책 등 협의에 따른 기획서 업데이트 
- 약관, FAQ, TC 설계서 요청 (대기)
- 서비스아이콘 등 디자인 요청
- 개발진행 관련 f/u </t>
    <phoneticPr fontId="12" type="noConversion"/>
  </si>
  <si>
    <t xml:space="preserve">에코혜택모아 서비스 연동
- 정책 등 협의에 따른 기획서 업데이트 
- 약관, FAQ, TC 설계서 요청 (대기)
- 서비스아이콘 등 디자인 요청
- 개발진행 관련 f/u </t>
    <phoneticPr fontId="12" type="noConversion"/>
  </si>
  <si>
    <t>펫신분증 고도화 관련 f/u 
- 디자인요청 검수, CP사 협의 등</t>
    <phoneticPr fontId="12" type="noConversion"/>
  </si>
  <si>
    <t>MY·전체메뉴 통합 개편 디자인</t>
    <phoneticPr fontId="12" type="noConversion"/>
  </si>
  <si>
    <t>12월 23일</t>
    <phoneticPr fontId="12" type="noConversion"/>
  </si>
  <si>
    <t>12월 31일</t>
    <phoneticPr fontId="12" type="noConversion"/>
  </si>
  <si>
    <t>하단 GNB 개편 디자인 - 툴팁 추가</t>
    <phoneticPr fontId="12" type="noConversion"/>
  </si>
  <si>
    <t>1월 16일</t>
    <phoneticPr fontId="12" type="noConversion"/>
  </si>
  <si>
    <t>PASS 주소록 디자인 수정</t>
    <phoneticPr fontId="12" type="noConversion"/>
  </si>
  <si>
    <t>하단 GNB 개편 디자인</t>
    <phoneticPr fontId="12" type="noConversion"/>
  </si>
  <si>
    <t>PASS머니 잔액 보유 고객 탈퇴 프로세스 개선 디자인</t>
    <phoneticPr fontId="12" type="noConversion"/>
  </si>
  <si>
    <t>1월 14일</t>
    <phoneticPr fontId="12" type="noConversion"/>
  </si>
  <si>
    <t>유·무료 서비스 동의화면 개선
- 유료가입 인트로 디자인 가이드 디자인</t>
    <phoneticPr fontId="12" type="noConversion"/>
  </si>
  <si>
    <t>검색 아이콘 추가</t>
    <phoneticPr fontId="12" type="noConversion"/>
  </si>
  <si>
    <t>서비스 아이콘 추가(홈 6종, 전체 3종)</t>
    <phoneticPr fontId="12" type="noConversion"/>
  </si>
  <si>
    <t>1월 19일</t>
    <phoneticPr fontId="12" type="noConversion"/>
  </si>
  <si>
    <t>PASS 전자고지 활성화 이벤트 페이지 디자인</t>
    <phoneticPr fontId="12" type="noConversion"/>
  </si>
  <si>
    <t>1월 5일</t>
    <phoneticPr fontId="12" type="noConversion"/>
  </si>
  <si>
    <t>PASS인증서 전분야 마이데이터 수정 반영 디자인</t>
    <phoneticPr fontId="12" type="noConversion"/>
  </si>
  <si>
    <t>PASS 전자고지 활성화 이벤트 배너 세트 디자인</t>
    <phoneticPr fontId="12" type="noConversion"/>
  </si>
  <si>
    <t>GS25X신분증결제 오픈 이벤트(1차) 당첨자 발표
- 당첨자 페이지 디자인</t>
    <phoneticPr fontId="12" type="noConversion"/>
  </si>
  <si>
    <t>1월 8일</t>
    <phoneticPr fontId="12" type="noConversion"/>
  </si>
  <si>
    <t>MY/전체 메뉴 개편 개발
- 모바일운전면허 서버</t>
    <phoneticPr fontId="12" type="noConversion"/>
  </si>
  <si>
    <t>모바일신분증 등록 시 안면 필수 등록 기획 협의 및 개발 검토
- 모바일운전면허 서버</t>
    <phoneticPr fontId="12" type="noConversion"/>
  </si>
  <si>
    <t>PASS머니 잔액 보유 고객 탈퇴 프로세스 개선 개발
- 부가서비스 서버</t>
    <phoneticPr fontId="12" type="noConversion"/>
  </si>
  <si>
    <t>MY/전체 메뉴 개편 개발
- 부가서비스 서버</t>
    <phoneticPr fontId="12" type="noConversion"/>
  </si>
  <si>
    <t>금융혜택 고객 가입 상태 동기화 개선 개발
- 부가서비스 서버</t>
    <phoneticPr fontId="12" type="noConversion"/>
  </si>
  <si>
    <t>PASS머니 가입자 성별 추출 요청 건 대응</t>
    <phoneticPr fontId="12" type="noConversion"/>
  </si>
  <si>
    <t>펫신분증 UI/UX개편 개발 검토 및 기획 협의
- 부가서비스 서버</t>
    <phoneticPr fontId="12" type="noConversion"/>
  </si>
  <si>
    <t>PASS머니 잔액 보유 고객 탈퇴 프로세스 개선 개발 검토
- 부가서비스 서버</t>
    <phoneticPr fontId="12" type="noConversion"/>
  </si>
  <si>
    <t>PASS 주소록 서비스 추가 개발 검토 및 기획 협의
- 일반서비스 서버</t>
    <phoneticPr fontId="12" type="noConversion"/>
  </si>
  <si>
    <t>전자고지 PUSH 발송 건수 제한 해제 적용 대응 및 모니터링 지원</t>
    <phoneticPr fontId="12" type="noConversion"/>
  </si>
  <si>
    <t>PASS 주소록 서비스 추가 개발
- 일반서비스 서버</t>
    <phoneticPr fontId="12" type="noConversion"/>
  </si>
  <si>
    <t>부가서비스 다회선 전환 문구 수정 개발
- 부가서비스</t>
    <phoneticPr fontId="12" type="noConversion"/>
  </si>
  <si>
    <t>1:1문의 유형 추가 개발 검토 및 협의</t>
    <phoneticPr fontId="12" type="noConversion"/>
  </si>
  <si>
    <t>신규부가서비스 PASS마인드케어 연동 검토 및 대응</t>
    <phoneticPr fontId="12" type="noConversion"/>
  </si>
  <si>
    <t>신규부가서비스 PASS에코혜택모아 연동 검토 및 대응</t>
    <phoneticPr fontId="12" type="noConversion"/>
  </si>
  <si>
    <t>모바일운전면허 해지자 동기화 개발
- 모바일운전면허 서버</t>
    <phoneticPr fontId="12" type="noConversion"/>
  </si>
  <si>
    <t>안면인증 부정행위 판단 오류 발생 시 인증 제한 개발 검토
- 모바일운전면허 서버</t>
    <phoneticPr fontId="12" type="noConversion"/>
  </si>
  <si>
    <t>모바일운전면허 1월 2차 CVT 대응
- ALMS 문서 작성 및 내부 기능 검증</t>
    <phoneticPr fontId="12" type="noConversion"/>
  </si>
  <si>
    <t>안면인증 부정행위 판단 오류 발생 시 인증 제한 개발
- 모바일운전면허 서버</t>
    <phoneticPr fontId="12" type="noConversion"/>
  </si>
  <si>
    <t>모바일신분증 개인정보 제3자제공 이용기관 리스트 페이지 추가 개발 검토 및 협의</t>
    <phoneticPr fontId="12" type="noConversion"/>
  </si>
  <si>
    <t>모바일운전면허 1월 2차 CVT 대응
- SQL 검증 및 CVT 대응
- 반영 패키지 준비</t>
    <phoneticPr fontId="12" type="noConversion"/>
  </si>
  <si>
    <t>모바일운전면허 해지자 동기화 개발 검토 및 개발
- 모바일운전면허 서버</t>
    <phoneticPr fontId="12" type="noConversion"/>
  </si>
  <si>
    <t>부가서비스 버전 업그레이드 CVT 진행 및 대응
- 기능검증
- 성능검증</t>
    <phoneticPr fontId="12" type="noConversion"/>
  </si>
  <si>
    <t>부가서비스 버전 업그레이드 CVT 진행 및 대응
- 예외시험 케이스 대응</t>
    <phoneticPr fontId="12" type="noConversion"/>
  </si>
  <si>
    <t>부가서비스 버전 업그레이드 CVT 진행 및 대응
- 운영이관사전점검 조치 대응</t>
    <phoneticPr fontId="12" type="noConversion"/>
  </si>
  <si>
    <t>PUSH 월별 발송관리 노출 오류 수정 개발</t>
    <phoneticPr fontId="12" type="noConversion"/>
  </si>
  <si>
    <t>12월 서비스 무료가입자 통계 추출 대응</t>
    <phoneticPr fontId="12" type="noConversion"/>
  </si>
  <si>
    <t>전자고지 활성화 이벤트 개발 검토 및 협의</t>
    <phoneticPr fontId="12" type="noConversion"/>
  </si>
  <si>
    <t>25년 PASS 출첵 스탬프 이벤트 당첨자 조회 페이지 상용 반영 및 모니터링</t>
    <phoneticPr fontId="12" type="noConversion"/>
  </si>
  <si>
    <t>25년 PASS 출첵 스탬프 이벤트 응모자 추출 대응</t>
    <phoneticPr fontId="12" type="noConversion"/>
  </si>
  <si>
    <t>MIS A2A 시나리오 문의 대응</t>
    <phoneticPr fontId="12" type="noConversion"/>
  </si>
  <si>
    <t>MY/전체 메뉴 개편 개발
- 관리자 서버</t>
    <phoneticPr fontId="12" type="noConversion"/>
  </si>
  <si>
    <t>신규부가서비스 PASS클라우드 개발 검토 및 기획 협의
- 부가서비스 서버</t>
    <phoneticPr fontId="12" type="noConversion"/>
  </si>
  <si>
    <t xml:space="preserve">부가서비스 관리자 보안취약점 조치 개발 검토 </t>
    <phoneticPr fontId="12" type="noConversion"/>
  </si>
  <si>
    <t>신규부가서비스 PASS마인드케어 개발
- 부가서비스 서버</t>
    <phoneticPr fontId="12" type="noConversion"/>
  </si>
  <si>
    <t>부가서비스 관리자 보안취약점 조치 개발</t>
    <phoneticPr fontId="12" type="noConversion"/>
  </si>
  <si>
    <t>25년 PASS 출첵 스탬프 이벤트 당첨자 조회 페이지 수정개발 검토 및 개발 반영</t>
    <phoneticPr fontId="12" type="noConversion"/>
  </si>
  <si>
    <t>신분증결제xGS25 런칭 프로모션 1차 응모자 추출 대응</t>
    <phoneticPr fontId="12" type="noConversion"/>
  </si>
  <si>
    <t>신분증결제 가입 및 결제수단 등록 현황 추출 대응</t>
    <phoneticPr fontId="12" type="noConversion"/>
  </si>
  <si>
    <t>금융혜택 고객 가입 및 상태값 관련 이슈 확인 대응</t>
    <phoneticPr fontId="12" type="noConversion"/>
  </si>
  <si>
    <t>전자고지 활성화 이벤트 개발 검토 및 개발</t>
    <phoneticPr fontId="12" type="noConversion"/>
  </si>
  <si>
    <t>신규부가서비스 PASS에코혜택모아 개발
- 부가서비스 서버</t>
    <phoneticPr fontId="12" type="noConversion"/>
  </si>
  <si>
    <t>신분증결제xGS25 런칭 프로모션 1차 당첨자 조회 페이지 개발 검토 및 개발</t>
    <phoneticPr fontId="12" type="noConversion"/>
  </si>
  <si>
    <t>우리동네GS 성인인증 통계 추가 개발
- 모바일운전면허 서버</t>
    <phoneticPr fontId="12" type="noConversion"/>
  </si>
  <si>
    <t>우리동네GS 성인인증 통계 추가 개발
- 관리자 서버</t>
    <phoneticPr fontId="12" type="noConversion"/>
  </si>
  <si>
    <t>PASS 전자고지 활성화 이벤트 페이지 퍼블</t>
    <phoneticPr fontId="12" type="noConversion"/>
  </si>
  <si>
    <t>GS25X신분증결제 오픈 이벤트(1차) 당첨자 발표
- 당첨자 페이지 퍼블</t>
    <phoneticPr fontId="12" type="noConversion"/>
  </si>
  <si>
    <t>11월</t>
    <phoneticPr fontId="12" type="noConversion"/>
  </si>
  <si>
    <t>PASS앱 11월 배포 대응
- CVT 2차 이슈 대응
- 스토어 배포 버전 생성 및 내부 테스트</t>
    <phoneticPr fontId="12" type="noConversion"/>
  </si>
  <si>
    <t>Android개발자1</t>
    <phoneticPr fontId="12" type="noConversion"/>
  </si>
  <si>
    <t>보안 강화 관련 과업 검토 요청 대응
- AOS</t>
    <phoneticPr fontId="12" type="noConversion"/>
  </si>
  <si>
    <t>MY 전체메뉴 통합 개편 기획 리뷰 및 협의
- AOS</t>
    <phoneticPr fontId="12" type="noConversion"/>
  </si>
  <si>
    <t>기존 잔여 문제점 확인 및 수정 개발
- AOS</t>
    <phoneticPr fontId="12" type="noConversion"/>
  </si>
  <si>
    <t>MY 전체메뉴 통합 개편 개발 검토 및 추가 협의
- AOS</t>
    <phoneticPr fontId="12" type="noConversion"/>
  </si>
  <si>
    <t>MY 전체메뉴 통합 개편 개발 검토 및 개발
- AOS</t>
    <phoneticPr fontId="12" type="noConversion"/>
  </si>
  <si>
    <t>모바일신분증 개인정보 현황 관련 조사 대응</t>
    <phoneticPr fontId="12" type="noConversion"/>
  </si>
  <si>
    <t>우리동네GS 성인인증 건수 통계 추가 건 기획 협의 및 분석
- AOS</t>
    <phoneticPr fontId="12" type="noConversion"/>
  </si>
  <si>
    <t>웹타입 인앱 브라우저 추가 기획 협의 및 분석
- AOS</t>
    <phoneticPr fontId="12" type="noConversion"/>
  </si>
  <si>
    <t>PASS앱 11월 배포 대응
- 스토어 배포
- Crash 리포트 분석 및 대응</t>
    <phoneticPr fontId="12" type="noConversion"/>
  </si>
  <si>
    <t>12월 긴급 앱 배포 CVT 대응
- CVT 소스 머지
- CVT 앱 준비(앱실링)
- 품질팀 요청사항 대응</t>
    <phoneticPr fontId="12" type="noConversion"/>
  </si>
  <si>
    <t>유/무료 서비스 동의화면 개선 기획 리뷰 및 개발 협의
- AOS</t>
    <phoneticPr fontId="12" type="noConversion"/>
  </si>
  <si>
    <t>12월 긴급 앱 배포 대응
- 스토어 배포 및 모니터링
- Crash 모니터링 및 이슈 확인</t>
    <phoneticPr fontId="12" type="noConversion"/>
  </si>
  <si>
    <t>CP사 대응 (앱전달 요청 대응)
- 휴대폰결제
- 데이사이드 MIS</t>
    <phoneticPr fontId="12" type="noConversion"/>
  </si>
  <si>
    <t>MIS Core SDK 추가 포팅 작업
- AOS</t>
    <phoneticPr fontId="12" type="noConversion"/>
  </si>
  <si>
    <t>계좌점유인증 현행화 기획 리뷰 및 협의
- AOS</t>
    <phoneticPr fontId="12" type="noConversion"/>
  </si>
  <si>
    <t>우리동네GS 성인인증 통계 추가 개발 검토 및 개발
- AOS</t>
    <phoneticPr fontId="12" type="noConversion"/>
  </si>
  <si>
    <t>계좌점유인증 현행화 개발 검토 및 개발
- AOS</t>
    <phoneticPr fontId="12" type="noConversion"/>
  </si>
  <si>
    <t>보안 강화 관련 과업 검토 요청 대응
- iOS</t>
    <phoneticPr fontId="12" type="noConversion"/>
  </si>
  <si>
    <t>MY 전체메뉴 통합 개편 기획 리뷰 및 협의
- iOS</t>
    <phoneticPr fontId="12" type="noConversion"/>
  </si>
  <si>
    <t>MY 전체메뉴 통합 개편 개발 검토 및 추가 협의
- iOS</t>
    <phoneticPr fontId="12" type="noConversion"/>
  </si>
  <si>
    <t>계좌점유인증 현행화 기획 리뷰 및 협의
- iOS</t>
    <phoneticPr fontId="12" type="noConversion"/>
  </si>
  <si>
    <t>MY 전체메뉴 통합 개편 개발 검토 및 개발
- iOS</t>
    <phoneticPr fontId="12" type="noConversion"/>
  </si>
  <si>
    <t>계좌점유인증 현행화 개발 검토 및 개발
- iOS</t>
    <phoneticPr fontId="12" type="noConversion"/>
  </si>
  <si>
    <t>CP사 대응 (앱전달 요청 대응)
- 휴대폰결제
- 데이사이드 MIS
- 품질팀</t>
    <phoneticPr fontId="12" type="noConversion"/>
  </si>
  <si>
    <t>유/무료 서비스 동의화면 개선 기획 리뷰 및 개발 협의
- iOS</t>
    <phoneticPr fontId="12" type="noConversion"/>
  </si>
  <si>
    <t>MIS Core SDK 추가 포팅 작업
- iOS</t>
    <phoneticPr fontId="12" type="noConversion"/>
  </si>
  <si>
    <t>웹타입 인앱 브라우저 추가 기획 협의 및 분석
- iOS</t>
    <phoneticPr fontId="12" type="noConversion"/>
  </si>
  <si>
    <t>우리동네GS 성인인증 건수 통계 추가 건 기획 협의 및 분석
- iOS</t>
    <phoneticPr fontId="12" type="noConversion"/>
  </si>
  <si>
    <t>기존 잔여 문제점 확인 및 수정 개발
- iOS</t>
    <phoneticPr fontId="12" type="noConversion"/>
  </si>
  <si>
    <t>우리동네GS 성인인증 통계 추가 개발 검토 및 개발
- iOS</t>
    <phoneticPr fontId="12" type="noConversion"/>
  </si>
  <si>
    <t>ㄴ25년 11월 앱 배포 검수</t>
  </si>
  <si>
    <t>25년 11월 개편 앱 CVT 2차 대응
- CVT 이슈 항목 점검
- 내부 기능점검</t>
    <phoneticPr fontId="12" type="noConversion"/>
  </si>
  <si>
    <t>25년 11월 개편 앱 스토어 배포 대응
- 개편기능 점검
- 기본기능 점검</t>
    <phoneticPr fontId="12" type="noConversion"/>
  </si>
  <si>
    <t>25년 11월 개편 앱 CVT 1차 준비
- CVT 1차 앱 준비 및 내부 기능 점검</t>
    <phoneticPr fontId="12" type="noConversion"/>
  </si>
  <si>
    <t>25년 12월 개편 앱 DVT 대응
- DVT 수행</t>
    <phoneticPr fontId="12" type="noConversion"/>
  </si>
  <si>
    <t>25년 12월 개편 앱 CVT 1차 대응
- 검증 환경설정 지원
- 내부 기능점검</t>
    <phoneticPr fontId="12" type="noConversion"/>
  </si>
  <si>
    <t>25년 11월 개편 앱 CVT 2차 준비
- CVT 2차 앱 준비 및 내부 기능 점검</t>
    <phoneticPr fontId="12" type="noConversion"/>
  </si>
  <si>
    <t>25년 12월 개편 앱 CVT 2차 대응
- CVT 이슈 항목 점검
- 내부 기능점검</t>
    <phoneticPr fontId="12" type="noConversion"/>
  </si>
  <si>
    <t>25년 12월 개편 앱 스토어 배포 대응
- 개편기능 점검
- 기본기능 점검</t>
    <phoneticPr fontId="12" type="noConversion"/>
  </si>
  <si>
    <t>검수기 등록
- CP사 4건</t>
    <phoneticPr fontId="12" type="noConversion"/>
  </si>
  <si>
    <t>25년 11월 개편 앱 CVT 2차 대응
- CVT 이슈 항목 점검
- 내부 기능점검</t>
  </si>
  <si>
    <t>11월 27일</t>
  </si>
  <si>
    <t>ㄴ25년 12월 앱 긴급 배포 검수</t>
  </si>
  <si>
    <t>25년 12월 긴급 개편 앱 CVT 2차 준비
- CVT 2차 앱 준비</t>
  </si>
  <si>
    <t>12월 10일</t>
  </si>
  <si>
    <t>25년 12월 긴급 개편 앱 CVT 2차 대응
- CVT 2차 내부 기능 점검</t>
  </si>
  <si>
    <t>12월 12일</t>
  </si>
  <si>
    <t>25년 12월 앱 긴급 배포 모니터링
- 개편/기본기능 점검</t>
  </si>
  <si>
    <t>12월 16일</t>
  </si>
  <si>
    <t>25년 11월 앱 배포 모니터링
- 개편/기본기능 점검</t>
  </si>
  <si>
    <t>12월 1일</t>
  </si>
  <si>
    <t>25년 12월 긴급 개편 앱 DVT 준비
- TC 설계 및 테스트 환경 세팅</t>
  </si>
  <si>
    <t>12월 3일</t>
  </si>
  <si>
    <t>25년 12월 긴급 개편 앱 CVT 1차 준비
- CVT 1차 앱 준비</t>
  </si>
  <si>
    <t>12월 5일</t>
  </si>
  <si>
    <t>25년 12월 긴급 개편 앱 DVT
- DVT 수행</t>
  </si>
  <si>
    <t>12월 9일</t>
  </si>
  <si>
    <t>25년 12월 긴급 개편 앱 CVT 1차 대응
- CVT 1차 내부 기능 점검</t>
  </si>
  <si>
    <t>11월</t>
  </si>
  <si>
    <t xml:space="preserve">신분증결제 신규 가맹점 오픈
- 사용처 웹뷰 수정 기획/디자인 및 관리자 이미지 변경 (GS편의점 추가)
- 편의점 현장 테스트 </t>
    <phoneticPr fontId="12" type="noConversion"/>
  </si>
  <si>
    <t xml:space="preserve">25년 11월
- 스토어 업데이트 및 모니터링
- 면허증 패턴 변경 관련 이미지 관리자 이미지 변경 및 테스트
- IOS 위젯 배경 밝기 조치사항 정리 및 공유 </t>
    <phoneticPr fontId="12" type="noConversion"/>
  </si>
  <si>
    <t>25년 12월 배포 검수
- 부정가입방지 인증 및 기본 기능 검증
- 안면인증 버전 설정
- 스토어 업데이트 및 모니터링</t>
    <phoneticPr fontId="12" type="noConversion"/>
  </si>
  <si>
    <t>PASS전자고지 활성화 계획안
- 타사 레퍼런스 조사 및 정리
- 딥링크 테스트 및 링크 전달</t>
    <phoneticPr fontId="12" type="noConversion"/>
  </si>
  <si>
    <t>1:1문의 문의유형 추가
- 기획서 작성 및 디자인/퍼블 요청</t>
    <phoneticPr fontId="12" type="noConversion"/>
  </si>
  <si>
    <t>1. 신분증 작업공지 등록 요청 및 테스트
- 모바일운전면허 시스템 점검공지 (2건)
2. 고객의소리 링크 변경 검토
- 운영 방식 검토 및 회신</t>
    <phoneticPr fontId="12" type="noConversion"/>
  </si>
  <si>
    <t>통신개통 부정가입방지 
1. 신분증 간편등록 기획서 작성
2. 인증 플로우 정리 및 공유
3. 실물신분증 및 모바일신분증 MIS 인증 테스트 수행</t>
    <phoneticPr fontId="12" type="noConversion"/>
  </si>
  <si>
    <t>안면인증 등록 유도
1. 기존 정책 및 플로우 정리 및 공유
2. 미등록 사용자 등록 유도 플로우 검토 및 기획서 작성
3. 부정사용방지를 위한 특정 에러코드 예외 처리 정책 적용</t>
    <phoneticPr fontId="12" type="noConversion"/>
  </si>
  <si>
    <t>PASS인증서 전분야 마이데이터
- 인증요청화면 수정 기획 리뷰 및 테스트</t>
    <phoneticPr fontId="12" type="noConversion"/>
  </si>
  <si>
    <t xml:space="preserve">구글 광고 연동 (추가 타입 적용)
- 개발 문의 대응
- 상용CVT 진행 </t>
    <phoneticPr fontId="12" type="noConversion"/>
  </si>
  <si>
    <t>ㄴ회원가입화면 개선</t>
  </si>
  <si>
    <t>회원가입_계좌인증 추가
- 공유용 기획서 운영팀(미디어로그) 전달</t>
    <phoneticPr fontId="12" type="noConversion"/>
  </si>
  <si>
    <t xml:space="preserve">PASS인증서 약관 수정
- 본인확인 약관 수정 </t>
    <phoneticPr fontId="12" type="noConversion"/>
  </si>
  <si>
    <t>MY·전체메뉴 통합 개편
- 기획 요건 유플러스 협의
- 기획서 작성
- 내부 기획&amp;개발 회의(1회)
- CP사 및 개발 문의 대응</t>
    <phoneticPr fontId="12" type="noConversion"/>
  </si>
  <si>
    <t>전체메뉴 외부사업자 컨텐츠 영역
- 컨텐츠 추가 가이드 작성 및 전달
- 컨텐츠 추가(총 3건)</t>
    <phoneticPr fontId="12" type="noConversion"/>
  </si>
  <si>
    <t>- 기획서 작성
- 디자인 개발팀 전달</t>
    <phoneticPr fontId="12" type="noConversion"/>
  </si>
  <si>
    <t>인앱브라우저 타입 추가
- 기획 요건 유플러스 협의
- 기획서 작성
- 내부 기획&amp;개발 회의(1회)
- 개발 문의 대응</t>
    <phoneticPr fontId="12" type="noConversion"/>
  </si>
  <si>
    <t>홈 검색 기능 추가
- 기획서 작성
- 개발 문의 대응</t>
    <phoneticPr fontId="12" type="noConversion"/>
  </si>
  <si>
    <t>- 기획 요건 및 디자인 유플러스 협의
- 기획서 작성
- 개발 문의 대응</t>
    <phoneticPr fontId="12" type="noConversion"/>
  </si>
  <si>
    <t>MY·전체메뉴 통합 개편
- 기획 요건 및 디자인 유플러스 협의
- 기획서 수정 및 업데이트
- 내부 기획&amp;개발 회의(2회)
- CP사 및 개발 문의 대응</t>
    <phoneticPr fontId="12" type="noConversion"/>
  </si>
  <si>
    <t>- 기획서 작성
- 정책, 일정 등 CP사 협의
- CP사 개발 회의(12/15) 
- 개발 문의 대응</t>
    <phoneticPr fontId="12" type="noConversion"/>
  </si>
  <si>
    <t>PASS 주소록
- 기획 요건 유플러스 협의
- 기획서 수정 및 업데이트
- 연계 CP사 자료 공유 및 협의
- 개발 문의 대응</t>
    <phoneticPr fontId="12" type="noConversion"/>
  </si>
  <si>
    <t>MASA 결제연동 이벤트 홍보 지원
- 홍보 배너 기획 및 운영
- PUSH 발송 지원</t>
    <phoneticPr fontId="12" type="noConversion"/>
  </si>
  <si>
    <t>12월 15일</t>
    <phoneticPr fontId="12" type="noConversion"/>
  </si>
  <si>
    <t>PASS머니 잔액 보유 고객 탈퇴 프로세스 개선
- 기획서 작성</t>
    <phoneticPr fontId="12" type="noConversion"/>
  </si>
  <si>
    <t>12월 17일</t>
    <phoneticPr fontId="12" type="noConversion"/>
  </si>
  <si>
    <t>PASS전자고지 활성화 계획안
- 서비스 활성화 계획안 및 타사 현황 공유</t>
    <phoneticPr fontId="12" type="noConversion"/>
  </si>
  <si>
    <t>유·무료 서비스 동의화면 개선
- 기획서 작성 및 기획 리뷰
- 유플러스 검토 요청</t>
    <phoneticPr fontId="12" type="noConversion"/>
  </si>
  <si>
    <t>12월 18일</t>
    <phoneticPr fontId="12" type="noConversion"/>
  </si>
  <si>
    <t>PASS 출첵 스탬프 이벤트
- 출석 진행중 고객 대상 주간참여독려 PUSH 발송
PASS 출첵 스탬프 이벤트 당첨자 발표
- 기획서 작성 및 당첨자 선별
- 디자인 / 퍼블 / 개발 서버 검수
- 기프트샵 경품 지급 협조 요청</t>
    <phoneticPr fontId="12" type="noConversion"/>
  </si>
  <si>
    <t>12월 19일</t>
    <phoneticPr fontId="12" type="noConversion"/>
  </si>
  <si>
    <t>GS25X신분증결제 오픈 이벤트(1차)
- 상용 오픈
- 홍보 PUSH 발송</t>
    <phoneticPr fontId="12" type="noConversion"/>
  </si>
  <si>
    <t>GS25X신분증결제 오픈 이벤트(2차)
- 기획서 작성
- 디자인, 퍼블 요청, 개발 서버 검수 
- 홍보 배너 기획</t>
    <phoneticPr fontId="12" type="noConversion"/>
  </si>
  <si>
    <t>PASS머니 운영 요청사항 대응
- 서비스 점검 관련 서비스 미노출 처리
- PUSH 유효 사용자 관련 문의 대응</t>
    <phoneticPr fontId="12" type="noConversion"/>
  </si>
  <si>
    <t>12월 마케팅 PUSH 발송 
- CP사 일정 취합 
- 발송 규격 세팅
- 일별 발송</t>
    <phoneticPr fontId="12" type="noConversion"/>
  </si>
  <si>
    <t>오버테이크 요청사항 대응
- 광고주 팝업 및 인증완료 배너 운영 지원 및 지표 공유 
- 대출비교 12월 프로모션 운영 지원
- 머니+하기 프로모션 진행 관련 배너 교체</t>
    <phoneticPr fontId="12" type="noConversion"/>
  </si>
  <si>
    <t>서비스 무료 가입자 지표 공유
- 11월 서베이 및 일반 무료서비스 가입자 현황</t>
    <phoneticPr fontId="12" type="noConversion"/>
  </si>
  <si>
    <t>12월 3일</t>
    <phoneticPr fontId="12" type="noConversion"/>
  </si>
  <si>
    <t>11월 PASS 서비스 품질지표 작성
- GA 지표 작성 및 보고</t>
    <phoneticPr fontId="12" type="noConversion"/>
  </si>
  <si>
    <t>12월 8일</t>
    <phoneticPr fontId="12" type="noConversion"/>
  </si>
  <si>
    <t>11월 PASS 마케팅 및 PUSH 지표 작성
- PUSH 지표 작성 및 현황 보고</t>
    <phoneticPr fontId="12" type="noConversion"/>
  </si>
  <si>
    <t>11월 PASS PV 및 체류시간 데이터 취합
- CP사 데이터 취합 및 유플러스 전달</t>
    <phoneticPr fontId="12" type="noConversion"/>
  </si>
  <si>
    <t>펫신분증 고도화 관련 f/u 
- 정책 등 협의, 기획서 작성</t>
    <phoneticPr fontId="12" type="noConversion"/>
  </si>
  <si>
    <t xml:space="preserve">마인드케어프리미엄 서비스 연동
- 정책 등 협의, 기획서 작성
- 개발검토 관련 f/u </t>
    <phoneticPr fontId="12" type="noConversion"/>
  </si>
  <si>
    <t xml:space="preserve">에코혜택모아 서비스 연동
- 정책 등 협의, 기획서 작성
- 개발검토 관련 f/u </t>
    <phoneticPr fontId="12" type="noConversion"/>
  </si>
  <si>
    <t>CP 문의 대응
- 스탁/해외주식 등 GTM 스니펫 코드 삽입 제외 안내
-  [데이터유니버스] U+PASS 스마트피싱보호 서비스 IP 변경에 따른 방화벽 변경 등록 -&gt; 상용 환경 반영 확인
- 스마트피싱보호(검수환경) 진입 시 오류에 대한 대응
- 부동산지키미(상용환경) 오류 응답값에 대한 확인 요청
- 부동산지키미(상용환경) 서비스 진입 시 오류 에 대한 대응
- 헬스케어 개인정보 제3자 제공동의 약관 변경 대응
- 투데이, 마인드케어 개인정보 제3자 동의 약관 변경 대응
- 생활정보 개인정보 제3자 동의 등 약관 변경에 대한 공지사항 등록
- 기타 문의사항 대응</t>
    <phoneticPr fontId="12" type="noConversion"/>
  </si>
  <si>
    <t>PASS전자고지 Home 서비스 icon</t>
    <phoneticPr fontId="12" type="noConversion"/>
  </si>
  <si>
    <t>11월 26일</t>
    <phoneticPr fontId="12" type="noConversion"/>
  </si>
  <si>
    <t>11월 28일</t>
    <phoneticPr fontId="12" type="noConversion"/>
  </si>
  <si>
    <t>홈 검색 기능 추가에 따른 시안</t>
    <phoneticPr fontId="12" type="noConversion"/>
  </si>
  <si>
    <t>디자인 현행화</t>
    <phoneticPr fontId="12" type="noConversion"/>
  </si>
  <si>
    <t>12월 10일</t>
    <phoneticPr fontId="12" type="noConversion"/>
  </si>
  <si>
    <t>GNB 개편 시안 디자인</t>
    <phoneticPr fontId="12" type="noConversion"/>
  </si>
  <si>
    <t>12월 11일</t>
    <phoneticPr fontId="12" type="noConversion"/>
  </si>
  <si>
    <t>기사용 홍보 이미지 제작</t>
    <phoneticPr fontId="12" type="noConversion"/>
  </si>
  <si>
    <t>11월 24일</t>
    <phoneticPr fontId="12" type="noConversion"/>
  </si>
  <si>
    <t>GS25X신분증결제 오픈 이벤트(1차)
- 이벤트 페이지 수정</t>
    <phoneticPr fontId="12" type="noConversion"/>
  </si>
  <si>
    <t>PASS 출첵 스탬프 이벤트
- 당첨자 발표 페이지
- 홍보배너 수정</t>
    <phoneticPr fontId="12" type="noConversion"/>
  </si>
  <si>
    <t>12월 16일</t>
    <phoneticPr fontId="12" type="noConversion"/>
  </si>
  <si>
    <t>GS25X신분증결제 오픈 이벤트(2차)
- 이벤트 페이지
- 홍보배너 세트</t>
    <phoneticPr fontId="12" type="noConversion"/>
  </si>
  <si>
    <t>iOS 26 위젯 디자인 적용</t>
    <phoneticPr fontId="12" type="noConversion"/>
  </si>
  <si>
    <t>12월 26일</t>
    <phoneticPr fontId="12" type="noConversion"/>
  </si>
  <si>
    <t>MASA 결제연동 이벤트 홍보 지원</t>
    <phoneticPr fontId="12" type="noConversion"/>
  </si>
  <si>
    <t>우리동네GS 성인인증 건수 통계 추가 건 기획 협의 및 분석
- 모바일신분증</t>
    <phoneticPr fontId="12" type="noConversion"/>
  </si>
  <si>
    <t>보안 강화 관련 과업 검토 요청 대응
- 부가서비스</t>
    <phoneticPr fontId="12" type="noConversion"/>
  </si>
  <si>
    <t>메사쿠어 안면인증 사용자 정보 및 인증 이력삭제 대응 및 모니터링</t>
    <phoneticPr fontId="12" type="noConversion"/>
  </si>
  <si>
    <t>부가서비스 PASS마인드케어 프리미엄 개발 검토</t>
    <phoneticPr fontId="12" type="noConversion"/>
  </si>
  <si>
    <t>부가서비스 PASS에코혜택모아 개발 검토</t>
    <phoneticPr fontId="12" type="noConversion"/>
  </si>
  <si>
    <t>MY 전체메뉴 통합 개편 개발 검토 및 추가 협의
- 모바일신분증</t>
    <phoneticPr fontId="12" type="noConversion"/>
  </si>
  <si>
    <t>서버 내부 소스 검수 및 버그 개선
- 부가서비스</t>
    <phoneticPr fontId="12" type="noConversion"/>
  </si>
  <si>
    <t>부가서비스 PASS마인드케어 프리미엄 개발 검토 및 협의</t>
    <phoneticPr fontId="12" type="noConversion"/>
  </si>
  <si>
    <t>부가서비스 PASS에코혜택모아 개발 검토 및 협의</t>
    <phoneticPr fontId="12" type="noConversion"/>
  </si>
  <si>
    <t>부가서비스 버전 업그레이드 CVT 준비
- 기능 검증 및 성능테스트</t>
    <phoneticPr fontId="12" type="noConversion"/>
  </si>
  <si>
    <t>25년 11월 취약점 점검 관련 대응</t>
    <phoneticPr fontId="12" type="noConversion"/>
  </si>
  <si>
    <t>MY 전체메뉴 통합 개편 기획 리뷰 및 협의
- 부가서비스 서버</t>
    <phoneticPr fontId="12" type="noConversion"/>
  </si>
  <si>
    <t>부가서비스 버전 업그레이드 CVT 준비
- 반영 패키지 준비 및 CVT 내부 테스트</t>
    <phoneticPr fontId="12" type="noConversion"/>
  </si>
  <si>
    <t>MY 전체메뉴 통합 개편 개발 검토 및 추가 협의
- 부가서비스</t>
    <phoneticPr fontId="12" type="noConversion"/>
  </si>
  <si>
    <t>개인정보 포함 테이블 조사 대응
- 부가서비스</t>
    <phoneticPr fontId="12" type="noConversion"/>
  </si>
  <si>
    <t>MY 전체메뉴 통합 개편 개발 검토 및 개발
- 부가서비스</t>
    <phoneticPr fontId="12" type="noConversion"/>
  </si>
  <si>
    <t>PASS전자고지 TPS 이슈 대응</t>
    <phoneticPr fontId="12" type="noConversion"/>
  </si>
  <si>
    <t>보안 강화 관련 과업 검토 요청 대응
- 모바일신분증</t>
    <phoneticPr fontId="12" type="noConversion"/>
  </si>
  <si>
    <t>신분증결제 통계 고도화 기획 협의 및 분석</t>
    <phoneticPr fontId="12" type="noConversion"/>
  </si>
  <si>
    <t>MY 전체메뉴 통합 개편 기획 리뷰 및 협의
- 모바일신분증 서버</t>
    <phoneticPr fontId="12" type="noConversion"/>
  </si>
  <si>
    <t>모바일신분증 12월 긴급반영 CVT 준비 및 CVT
- 산출물 작성
- 반영 패키지 준비 및 리허설 등</t>
    <phoneticPr fontId="12" type="noConversion"/>
  </si>
  <si>
    <t>모바일신분증 12월 긴급 상용 반영
- 상용 반영 패키지 준비
- 상용 반영 및 모니터링</t>
    <phoneticPr fontId="12" type="noConversion"/>
  </si>
  <si>
    <t>개인정보 포함 테이블 조사 대응
- 모바일신분증</t>
    <phoneticPr fontId="12" type="noConversion"/>
  </si>
  <si>
    <t>우리동네GS 성인인증 통계 추가 개발 검토 및 개발
- 모바일신분증 서버</t>
    <phoneticPr fontId="12" type="noConversion"/>
  </si>
  <si>
    <t>신분증결제 통계 추가 개발 검토 및 개발
- 모바일신분증 서버</t>
    <phoneticPr fontId="12" type="noConversion"/>
  </si>
  <si>
    <t>서버개발자3</t>
    <phoneticPr fontId="12" type="noConversion"/>
  </si>
  <si>
    <t>부가서비스 버전 업그레이드 CVT 준비
- 이중화 시험 및 예외 문서 작업
- 반영 리허설</t>
    <phoneticPr fontId="12" type="noConversion"/>
  </si>
  <si>
    <t>부가서비스 버전 업그레이드 CVT 진행
- 기능 시험</t>
    <phoneticPr fontId="12" type="noConversion"/>
  </si>
  <si>
    <t>모바일신분증 특정 시나리오 성공률 하락 확인 대응</t>
    <phoneticPr fontId="12" type="noConversion"/>
  </si>
  <si>
    <t>모바일신분증 MPM 프로세스 개선 개발 검토 및 개발
- 서버</t>
    <phoneticPr fontId="12" type="noConversion"/>
  </si>
  <si>
    <t>MIS 검수기 등록 지원</t>
    <phoneticPr fontId="12" type="noConversion"/>
  </si>
  <si>
    <t>PASS 출첵 스탬프 이벤트 당첨자페이지 개발 검토 및 개발</t>
    <phoneticPr fontId="12" type="noConversion"/>
  </si>
  <si>
    <t>계정관리 자산실사 내용 취합 및 전달
- 부가서비스</t>
    <phoneticPr fontId="12" type="noConversion"/>
  </si>
  <si>
    <t>서버 내부 소스 검수 및 버그 개선
- 모바일신분증</t>
    <phoneticPr fontId="12" type="noConversion"/>
  </si>
  <si>
    <t>전자고지 PUSH 통계 추출 대응</t>
    <phoneticPr fontId="12" type="noConversion"/>
  </si>
  <si>
    <t>MY 전체메뉴 통합 개편 개발 검토 및 개발
- 모바일신분증</t>
    <phoneticPr fontId="12" type="noConversion"/>
  </si>
  <si>
    <t>통합PUSH WAS 서버 메모리 이슈 대응</t>
    <phoneticPr fontId="12" type="noConversion"/>
  </si>
  <si>
    <t>신분증결제 통계 추가 개발 검토 및 개발
- 관리자 서버</t>
    <phoneticPr fontId="12" type="noConversion"/>
  </si>
  <si>
    <t>서버개발자5</t>
    <phoneticPr fontId="12" type="noConversion"/>
  </si>
  <si>
    <t>신분증결제XGS25 런칭 프로모션 1차 개발검토 및 개발</t>
    <phoneticPr fontId="12" type="noConversion"/>
  </si>
  <si>
    <t>모바일신분증 MPM 프로세스 개선 개발 검토 및 개발
- 테스트 페이지</t>
    <phoneticPr fontId="12" type="noConversion"/>
  </si>
  <si>
    <t>계정관리 자산실사 내용 취합 및 전달
- 모바일신분증</t>
    <phoneticPr fontId="12" type="noConversion"/>
  </si>
  <si>
    <t>25년 PASS 출첵 스탬프 이벤트 당첨자 조회 페이지 개발 검토 및 개발</t>
    <phoneticPr fontId="12" type="noConversion"/>
  </si>
  <si>
    <t>출첵 이벤트 응모자 추출 대응 및 당첨자 세팅</t>
    <phoneticPr fontId="12" type="noConversion"/>
  </si>
  <si>
    <t>모바일신분증 가입자 정보 확인 요청 대응</t>
    <phoneticPr fontId="12" type="noConversion"/>
  </si>
  <si>
    <t>모바일신분증 MPM 프로세스 개선 개발 검토 및 개발
- 관리자 서버</t>
    <phoneticPr fontId="12" type="noConversion"/>
  </si>
  <si>
    <t>신분증결제 GS25 오픈 모니터링 지원</t>
    <phoneticPr fontId="12" type="noConversion"/>
  </si>
  <si>
    <t>유/무료 서비스 동의화면 개선 기획 리뷰 및 개발 협의
- 부가서비스 서버</t>
    <phoneticPr fontId="12" type="noConversion"/>
  </si>
  <si>
    <t>25년 신분증결제XGS25 런칭 프로모션 2차 개발 검토 및 개발</t>
    <phoneticPr fontId="12" type="noConversion"/>
  </si>
  <si>
    <t>출첵 스탬프 이벤트 작업</t>
    <phoneticPr fontId="12" type="noConversion"/>
  </si>
  <si>
    <t>GS25X신분증결제 오픈 이벤트(1차) 수정 작업</t>
    <phoneticPr fontId="12" type="noConversion"/>
  </si>
  <si>
    <t>출첵 스탬프 이벤트 당첨자 작업</t>
    <phoneticPr fontId="12" type="noConversion"/>
  </si>
  <si>
    <t>GS25X신분증결제 오픈 이벤트(2차) 퍼블 작업</t>
    <phoneticPr fontId="12" type="noConversion"/>
  </si>
  <si>
    <t>1:1문의하기 카테고리 퍼블 작업</t>
    <phoneticPr fontId="12" type="noConversion"/>
  </si>
  <si>
    <t>10월</t>
    <phoneticPr fontId="12" type="noConversion"/>
  </si>
  <si>
    <t>인증서 인정평가 관련 증적 대응
- AOS</t>
    <phoneticPr fontId="12" type="noConversion"/>
  </si>
  <si>
    <t>PASS인증서 인정평가 인터뷰 대응</t>
    <phoneticPr fontId="12" type="noConversion"/>
  </si>
  <si>
    <t>비밀번호변경 우회 방지 추가 개발
- AOS</t>
    <phoneticPr fontId="12" type="noConversion"/>
  </si>
  <si>
    <t>회원가입 시 계좌인증 추가 개발 검토
- AOS</t>
    <phoneticPr fontId="12" type="noConversion"/>
  </si>
  <si>
    <t>회원가입 시 계좌인증 추가 개발
- AOS</t>
    <phoneticPr fontId="12" type="noConversion"/>
  </si>
  <si>
    <t>앱 DVT 대응 (AOS)
- 기획 추가 협의
- 수정 개발</t>
    <phoneticPr fontId="12" type="noConversion"/>
  </si>
  <si>
    <t>앱 CVT 준비 및 점검 (AOS)
- 소스 DVT 항목 소스 추가 머지
- CVT 기능점검</t>
    <phoneticPr fontId="12" type="noConversion"/>
  </si>
  <si>
    <t>앱 CVT 1차 대응 (AOS)
- CVT 이슈 항목 점검
- 내부 기능점검</t>
    <phoneticPr fontId="12" type="noConversion"/>
  </si>
  <si>
    <t>앱 CVT 2차 준비 및 검토 (AOS)
- 1차 CVT 이슈 항목 취합 및 머지
- CVT 2차 앱 준비 및 내부 기능 점검</t>
    <phoneticPr fontId="12" type="noConversion"/>
  </si>
  <si>
    <t>인증서 인정평가 수정사항 대응 개발
- AOS</t>
    <phoneticPr fontId="12" type="noConversion"/>
  </si>
  <si>
    <t>메사쿠어 안면등록 개선 개발
- AOS</t>
    <phoneticPr fontId="12" type="noConversion"/>
  </si>
  <si>
    <t>인증서 발급 고객정보 수동입력 적용 개발
- AOS</t>
    <phoneticPr fontId="12" type="noConversion"/>
  </si>
  <si>
    <t>GA4 태깅 추가 개발
- AOS</t>
    <phoneticPr fontId="12" type="noConversion"/>
  </si>
  <si>
    <t>모바일운전면허 공통SDK 업데이트 적용
- AOS</t>
    <phoneticPr fontId="12" type="noConversion"/>
  </si>
  <si>
    <t>펫신분증 UI 개선 개발
- AOS</t>
    <phoneticPr fontId="12" type="noConversion"/>
  </si>
  <si>
    <t>KICC 면허증 데이터 연동 대응</t>
    <phoneticPr fontId="12" type="noConversion"/>
  </si>
  <si>
    <t>앱 DVT 대응 (iOS)
- 기획 추가 협의
- 수정 개발</t>
    <phoneticPr fontId="12" type="noConversion"/>
  </si>
  <si>
    <t>비밀번호 인증프로세스 정리 및 취약점 점검대응
- AOS</t>
    <phoneticPr fontId="12" type="noConversion"/>
  </si>
  <si>
    <t>CP사 대응 (앱전달 요청)
- 나이스정보통신, GS, 메사쿠어, 유플러스</t>
    <phoneticPr fontId="12" type="noConversion"/>
  </si>
  <si>
    <t>모바일신분증 CPM 인증 플로우 수정 개발
- AOS</t>
    <phoneticPr fontId="12" type="noConversion"/>
  </si>
  <si>
    <t>모바일신분증 안면인증 약관 구조 변경 개발
- AOS</t>
    <phoneticPr fontId="12" type="noConversion"/>
  </si>
  <si>
    <t>휴대폰결제 바코드 생성 개선 개발 검토
- AOS</t>
    <phoneticPr fontId="12" type="noConversion"/>
  </si>
  <si>
    <t>휴대폰결제 바코드 생성 개선 개발
- AOS</t>
    <phoneticPr fontId="12" type="noConversion"/>
  </si>
  <si>
    <t>오피스도우미 SDK 추가 반영
- 16kb 대응</t>
    <phoneticPr fontId="12" type="noConversion"/>
  </si>
  <si>
    <t>오피스 도우미 SDK Crash 이슈 대응 개발
- iOS</t>
    <phoneticPr fontId="12" type="noConversion"/>
  </si>
  <si>
    <t>인증서 인정평가 관련 증적 대응
- iOS</t>
    <phoneticPr fontId="12" type="noConversion"/>
  </si>
  <si>
    <t>비밀번호변경 우회 방지 추가 개발
- iOS</t>
    <phoneticPr fontId="12" type="noConversion"/>
  </si>
  <si>
    <t>모바일신분증 안면인증 약관 구조 변경 개발
- iOS</t>
    <phoneticPr fontId="12" type="noConversion"/>
  </si>
  <si>
    <t>인증서 발급 고객정보 수동입력 적용 개발
- iOS</t>
    <phoneticPr fontId="12" type="noConversion"/>
  </si>
  <si>
    <t>앱 CVT 준비 및 점검 (iOS)
- 소스 DVT 항목 소스 추가 머지
- CVT 기능점검</t>
    <phoneticPr fontId="12" type="noConversion"/>
  </si>
  <si>
    <t>앱 CVT 1차 대응 (iOS)
- CVT 이슈 항목 점검
- 내부 기능점검</t>
    <phoneticPr fontId="12" type="noConversion"/>
  </si>
  <si>
    <t>앱 CVT 2차 준비 및 검토 (iOS)
- CVT 이슈 항목 점검
- CVT 2차 앱 준비 및 내부 기능 점검</t>
    <phoneticPr fontId="12" type="noConversion"/>
  </si>
  <si>
    <t>비밀번호 인증프로세스 정리 및 취약점 점검대응
- iOS</t>
    <phoneticPr fontId="12" type="noConversion"/>
  </si>
  <si>
    <t>인증서 인정평가 수정사항 대응 개발
- iOS</t>
    <phoneticPr fontId="12" type="noConversion"/>
  </si>
  <si>
    <t>회원가입 시 계좌인증 추가 개발 검토
- iOS</t>
    <phoneticPr fontId="12" type="noConversion"/>
  </si>
  <si>
    <t>회원가입 시 계좌인증 추가 개발
- iOS</t>
    <phoneticPr fontId="12" type="noConversion"/>
  </si>
  <si>
    <t>모바일운전면허 공통SDK 업데이트 적용
- iOS</t>
    <phoneticPr fontId="12" type="noConversion"/>
  </si>
  <si>
    <t>모바일신분증 CPM 인증 플로우 수정 개발
- iOS</t>
    <phoneticPr fontId="12" type="noConversion"/>
  </si>
  <si>
    <t>휴대폰결제 바코드 생성 개선 개발 검토
- iOS</t>
    <phoneticPr fontId="12" type="noConversion"/>
  </si>
  <si>
    <t>휴대폰결제 바코드 생성 개선 개발
- iOS</t>
    <phoneticPr fontId="12" type="noConversion"/>
  </si>
  <si>
    <t>펫신분증 UI 개선 개발
- iOS</t>
    <phoneticPr fontId="12" type="noConversion"/>
  </si>
  <si>
    <t>GA4 태깅 추가 개발
- iOS</t>
    <phoneticPr fontId="12" type="noConversion"/>
  </si>
  <si>
    <t>CP사 대응 (앱전달 요청)
- 오버테이크, 인포바인, 오피스, 헥토, 와이즈솔루션</t>
    <phoneticPr fontId="12" type="noConversion"/>
  </si>
  <si>
    <t>메사쿠어 안면등록 개선 개발
- iOS</t>
    <phoneticPr fontId="12" type="noConversion"/>
  </si>
  <si>
    <t>CP사 대응 (앱전달 요청)
- 우연컴퍼니, 베이직, 유플러스</t>
    <phoneticPr fontId="12" type="noConversion"/>
  </si>
  <si>
    <t>CP사 대응 (앱전달 요청)
- 알티너스, 유플러스, 휴대폰결제, 나이스정보통신</t>
    <phoneticPr fontId="12" type="noConversion"/>
  </si>
  <si>
    <t>CP사 대응 (앱전달 요청)
- 간편본인확인, 폴라리스오피트, 유플러스, 아톤</t>
    <phoneticPr fontId="12" type="noConversion"/>
  </si>
  <si>
    <t>10월</t>
  </si>
  <si>
    <t>25년 11월 개편 앱 DVT 준비
- 기존 이슈 항목 점검
- TC 설계 및 테스트 환경 세팅</t>
  </si>
  <si>
    <t>25년 11월 개편 앱 DVT
- DVT 수행</t>
  </si>
  <si>
    <t>25년 11월 개편 앱 CVT 1차 대응
- CVT 이슈 항목 점검
- 내부 기능점검</t>
  </si>
  <si>
    <t>검수기 등록
- CP사 2건</t>
  </si>
  <si>
    <t>25년 11월 개편 앱 CVT 2차 준비
- CVT 이슈 항목 점검
- CVT 2차 앱 준비 및 내부 기능 점검</t>
  </si>
  <si>
    <t>25년 11월 개편 앱 DVT 준비
- 기존 이슈 항목 점검
- TC 설계 및 테스트 환경 세팅</t>
    <phoneticPr fontId="12" type="noConversion"/>
  </si>
  <si>
    <t>25년 11월 개편 앱 CVT 1차 대응
- CVT 이슈 항목 점검
- 내부 기능점검</t>
    <phoneticPr fontId="12" type="noConversion"/>
  </si>
  <si>
    <t>25년 11월 배포 준비
- 통합화면설계서 수정
- 앱설명회
- 앱스토어 스크린샷 이미지 현행화</t>
    <phoneticPr fontId="12" type="noConversion"/>
  </si>
  <si>
    <t>기획1</t>
    <phoneticPr fontId="12" type="noConversion"/>
  </si>
  <si>
    <t>신분증결제 통계 고도화
- 결제수단(카드) 등록/삭제 통계</t>
    <phoneticPr fontId="12" type="noConversion"/>
  </si>
  <si>
    <t>우리동네GS 성인인증 연동
- 상용 오픈에 따른 사전 테스트 
- 우리동네GS 인증 통계 추가 기획</t>
    <phoneticPr fontId="12" type="noConversion"/>
  </si>
  <si>
    <t>PASS인증서 마이데이터 인증요청화면 수정
- 테스트 및 기획서 작성</t>
    <phoneticPr fontId="12" type="noConversion"/>
  </si>
  <si>
    <t>25년 11월 배포 DVT 수행
- 모바일신분증 약관동의구조 변경
- 면허증 패턴 변경
- 모바일신분증 CPM  인증플로우 수정
- 휴대폰결제 약관 추가
- MY탭 노출순서 변경</t>
    <phoneticPr fontId="12" type="noConversion"/>
  </si>
  <si>
    <t>통신개통 부정가입방지
- 11월 배포 반영 범위 검토 및 기획서 작성
- PASS앱 SDK 실물 신분증 인증 테스트
- 신분증 간편등록 기획 초안 작성</t>
    <phoneticPr fontId="12" type="noConversion"/>
  </si>
  <si>
    <t>신분증결제 가맹점 추가 (GS25)
- 사용처 웹뷰 수정 기획 및 디자인/개발 요청
- GS리테일 개발 테스트 지원</t>
    <phoneticPr fontId="12" type="noConversion"/>
  </si>
  <si>
    <t>금융혜택/대출비교
- 약관 변경 요청 건 대응(총 1건)</t>
    <phoneticPr fontId="12" type="noConversion"/>
  </si>
  <si>
    <t>기획2</t>
    <phoneticPr fontId="12" type="noConversion"/>
  </si>
  <si>
    <t>구글 광고 - 광고 애드센스 적용
- 개발 이슈 관련 CP사 협의
- 통합기획서 수정</t>
    <phoneticPr fontId="12" type="noConversion"/>
  </si>
  <si>
    <t>PASS 주소록
- 디자인 수정
- 상세 기획서 작성</t>
    <phoneticPr fontId="12" type="noConversion"/>
  </si>
  <si>
    <t>MY·전체메뉴 통합 개편
- 상세 기획서 작성</t>
    <phoneticPr fontId="12" type="noConversion"/>
  </si>
  <si>
    <t>회원가입_계좌인증 추가
- 기획서 수정 및 개발 문의 대응</t>
    <phoneticPr fontId="12" type="noConversion"/>
  </si>
  <si>
    <t>구글 광고 연동 (추가 타입 적용)
- 기획서 수정 및 개발 문의 대응
- DVT 진행 및 상용 반영</t>
    <phoneticPr fontId="12" type="noConversion"/>
  </si>
  <si>
    <t>홈 화면 개편(잔여)
- 기획서 수정 및 개발 문의 대응</t>
    <phoneticPr fontId="12" type="noConversion"/>
  </si>
  <si>
    <t>알림내역 개선
- DVT 진행 및 상용 반영</t>
    <phoneticPr fontId="12" type="noConversion"/>
  </si>
  <si>
    <t>회원가입 약관 타이틀 제어 기능 추가
- DVT 진행 및 상용 반영</t>
    <phoneticPr fontId="12" type="noConversion"/>
  </si>
  <si>
    <t>U+ SSP광고 연동 제거
- 기획서 수정 및 개발 문의 대응
- DVT 진행 및 상용 반영</t>
    <phoneticPr fontId="12" type="noConversion"/>
  </si>
  <si>
    <t>셀로
- 통신사 해지 고객 탈퇴 요청 건 대응(총 3건)</t>
    <phoneticPr fontId="12" type="noConversion"/>
  </si>
  <si>
    <t>MY·전체메뉴 통합 개편
- 기획 요건 유플러스 협의
- 공유용 문서 추가 작성(오늘의 게임)</t>
    <phoneticPr fontId="12" type="noConversion"/>
  </si>
  <si>
    <t>11월 버전 검수앱 CP사 공유
- 헥토 / 폴라리스오피스 / 인포바인 / 와이즈솔루션 / 우연</t>
  </si>
  <si>
    <t>10월 31일</t>
  </si>
  <si>
    <t>10월 PASS 서비스 품질지표 작성
- GA 지표 작성 및 보고</t>
  </si>
  <si>
    <t>11월 10일</t>
  </si>
  <si>
    <t>10월 PASS 마케팅 및 PUSH 지표 작성
- PUSH 지표 작성 및 현황 보고</t>
  </si>
  <si>
    <t xml:space="preserve">11월 </t>
  </si>
  <si>
    <t>ㄴ앱 리뷰 이벤트 2차</t>
  </si>
  <si>
    <t>9월 앱 리뷰 이벤트 당첨자 발표
- 기획서 작성 및 당첨자 선별
- 디자인 / 퍼블 / 개발 서버 검수
- 상용 오픈 및 모니터링
- 경품 발송 요청 및 PUSH 발송</t>
  </si>
  <si>
    <t>11월 11일</t>
  </si>
  <si>
    <t>펫키퍼 서비스 오픈 및 이벤트 운영 지원 
- 상용 서비스 오픈
- 이벤트 배너 검수 오픈 및 테스트
- 상용 이벤트 배너 오픈 및 모니터링</t>
  </si>
  <si>
    <t>생활정보 11월 이벤트 운영 지원
- 이벤트 진행 관련 가이드 제공
- 무료가입 이벤트 검수 세팅 및 테스트
- 유료가입 이벤트 검수 세팅 및 테스트 
- 상용 배너 오픈 및 모니터링</t>
  </si>
  <si>
    <t>11월 17일</t>
  </si>
  <si>
    <t>25년 11월 배포 DVT/CVT 수행
- 11월 배포 건 어드민 세팅 및 테스트
- 통합 기획서 작성 및 리뷰</t>
  </si>
  <si>
    <t>11월 19일</t>
  </si>
  <si>
    <t>이벤트 운영결과자료 공유
- 앱리뷰 이벤트</t>
  </si>
  <si>
    <t>유·무료 서비스 동의화면 개선
-기획서 작성중</t>
  </si>
  <si>
    <t>11월 20일</t>
  </si>
  <si>
    <t>PASS 출첵 스탬프 이벤트
- 상용 오픈 및 이벤트 배너 오픈
- 출석 진행중 고객 대상 주간참여독려 PUSH 발송</t>
  </si>
  <si>
    <t>10월 마케팅 PUSH 발송 
- CP사 일정 취합 
- 발송 규격 세팅
- 일별 발송</t>
  </si>
  <si>
    <t>- 최신 버전 CTN 수급 및 발송 양식 정리
- 세부 타겟별 발송 양식 정리</t>
  </si>
  <si>
    <t>웹툰 11월 이벤트 운영 지원
- 이벤트 배너 검수 오픈 및 테스트
- 상용 배너 오픈 및 모니터링
- 타겟 별 PUSH 발송 지원</t>
  </si>
  <si>
    <t>오버테이크 요청사항 대응
- 광고주 팝업 및 인증완료 배너 운영 지원 및 지표 공유 
- 대출비교 11월 프로모션 운영 지원
- 머니+하기 프로모션 진행 관련 가이드 제공 및 검수 세팅</t>
  </si>
  <si>
    <t>PASS PV 및 체류시간 데이터 취합
- 사업팀 요청사항 확인
- CP사 대상 사전 협조요청
- PASS 앱 태깅 가능여부 확인</t>
  </si>
  <si>
    <t xml:space="preserve">GS25X신분증결제 오픈 이벤트
- 기획서 작성/수정 및 사업팀 전달
- 디자인, 퍼블 요청, 개발 서버 검수 
- 홍보 배너 기획
- 이벤트 오픈 알림 신청 배너 상용 게시
- 기프트샵 경품 발송 관련 협조 요청 </t>
  </si>
  <si>
    <t>서비스 무료 가입자 지표 공유
- 10월 서베이 및 일반 무료서비스 가입자 현황</t>
  </si>
  <si>
    <t>11월 5일</t>
  </si>
  <si>
    <t>신규-PASS에코혜택모아 연동 관련 진행일정 등 확인</t>
    <phoneticPr fontId="12" type="noConversion"/>
  </si>
  <si>
    <t>오피스도우미앱크래시 대응(iOS) 및 안드로이드 네이티브 라이브러리 16KB 페이지 대응</t>
    <phoneticPr fontId="12" type="noConversion"/>
  </si>
  <si>
    <t>각 CP사 GA 및 통계 추가 데이터 확인 요청건 발송 (GA태깅여부확인, 데이터는 12월 초부터 전월 1개월기준 취합예정)</t>
    <phoneticPr fontId="12" type="noConversion"/>
  </si>
  <si>
    <t>CP 문의 대응
- [데이터유니버스] U+PASS 스마트피싱보호 서비스 IP 변경에 따른 방화벽 변경 등록 관련대응
- PASS스탁 서비스 점검에 대한 공지 등록 요청
- 기타 문의사항대응
- 스탁,해외주식정보 등 GTM 스니펫 코드 삽입 건 제외해도되는지확인 요청
- [NICE평가정보] LGU+ 차세대 CAS 해지자 정보 API 활용 관련 대응
- 검수서버- 스마트피싱보호, 스탁, 해외주식정보진입오류 대응
- 금융사기방지 상용- 약관 분리 적용 반영
- 통신사해지자 관련대응-건강지키미, 세이프캐시 등
- 기타 문의사항대응</t>
    <phoneticPr fontId="12" type="noConversion"/>
  </si>
  <si>
    <t>펫신분증, 펫세권 UI/UX 개선 안 관련 대응</t>
    <phoneticPr fontId="12" type="noConversion"/>
  </si>
  <si>
    <t>main banner C type</t>
    <phoneticPr fontId="12" type="noConversion"/>
  </si>
  <si>
    <t>회원가입_계좌인증 추가</t>
    <phoneticPr fontId="12" type="noConversion"/>
  </si>
  <si>
    <t>PASS인증서 본인인증</t>
    <phoneticPr fontId="12" type="noConversion"/>
  </si>
  <si>
    <t>알림내역 개선</t>
    <phoneticPr fontId="12" type="noConversion"/>
  </si>
  <si>
    <t>9월 앱 리뷰 이벤트 당첨자 발표</t>
    <phoneticPr fontId="12" type="noConversion"/>
  </si>
  <si>
    <t>신분증결제 사용처 웹뷰 수정 개발</t>
    <phoneticPr fontId="12" type="noConversion"/>
  </si>
  <si>
    <t>25년 11월 배포 준비
- 앱스토어 스크린샷 이미지 현행화</t>
    <phoneticPr fontId="12" type="noConversion"/>
  </si>
  <si>
    <t>MY·전체메뉴 통합 개편 시안</t>
    <phoneticPr fontId="12" type="noConversion"/>
  </si>
  <si>
    <t>GS25X신분증결제 오픈 이벤트
- 이벤트페이지
- 마케팅 배너</t>
    <phoneticPr fontId="12" type="noConversion"/>
  </si>
  <si>
    <t>11월 19일</t>
    <phoneticPr fontId="12" type="noConversion"/>
  </si>
  <si>
    <t>로딩화면 추가</t>
    <phoneticPr fontId="12" type="noConversion"/>
  </si>
  <si>
    <t>U+ 휴대폰결제 배너</t>
    <phoneticPr fontId="12" type="noConversion"/>
  </si>
  <si>
    <t>모바일신분증 소개페이지 현행화</t>
    <phoneticPr fontId="12" type="noConversion"/>
  </si>
  <si>
    <t>당첨자 배너</t>
    <phoneticPr fontId="12" type="noConversion"/>
  </si>
  <si>
    <t>기프트샵 12월 push 이미지</t>
    <phoneticPr fontId="12" type="noConversion"/>
  </si>
  <si>
    <t>ㄴ25년 11월 2차 서버 검수</t>
  </si>
  <si>
    <t>DVT 준비 (소스 머지 및 검수 반영)
- 서버</t>
    <phoneticPr fontId="12" type="noConversion"/>
  </si>
  <si>
    <t>11월 2차 서버 ALMS 문서 작업
- 부가서비스서버</t>
    <phoneticPr fontId="12" type="noConversion"/>
  </si>
  <si>
    <t>앱 DVT 이슈 지원 및 수정개발
- 부가서비스</t>
    <phoneticPr fontId="12" type="noConversion"/>
  </si>
  <si>
    <t>11월 2차 서버 ALMS 문서 작업 및 상용화시험요청
- 부가서비스서버</t>
    <phoneticPr fontId="12" type="noConversion"/>
  </si>
  <si>
    <t>11월 2차 서버 소스 리뷰 및 내부 추가 테스트
- 부가서비스서버</t>
    <phoneticPr fontId="12" type="noConversion"/>
  </si>
  <si>
    <t>11월 2차 서버 상용 반영 준비 및 추가 점검
- 통합인증서버</t>
    <phoneticPr fontId="12" type="noConversion"/>
  </si>
  <si>
    <t>11월 2차 서버 상용반영 후속처리 및 모니터링
- 부가서비스서버</t>
    <phoneticPr fontId="12" type="noConversion"/>
  </si>
  <si>
    <t>전자고지 실데이터 발송 모니터링 지원</t>
    <phoneticPr fontId="12" type="noConversion"/>
  </si>
  <si>
    <t>11월 2차 서버 반영패키지 준비 및 리허설
- 부가서비스서버</t>
    <phoneticPr fontId="12" type="noConversion"/>
  </si>
  <si>
    <t>검수db 개인정보 검출건 대응
- 부가서비스</t>
    <phoneticPr fontId="12" type="noConversion"/>
  </si>
  <si>
    <t>검수WEB 외부 도메인 접근방지 건 대응
- 부가서비스</t>
    <phoneticPr fontId="12" type="noConversion"/>
  </si>
  <si>
    <t>기프트샵 발송분류를 위한 유저키 확인 요청 대응</t>
    <phoneticPr fontId="12" type="noConversion"/>
  </si>
  <si>
    <t>11월 2차 서버 CVT 준비 및 CVT 대응
- 부가서비스서버</t>
    <phoneticPr fontId="12" type="noConversion"/>
  </si>
  <si>
    <t>11월 2차 서버 상용 반영 준비 및 추가 점검
- 부가서비스서버</t>
    <phoneticPr fontId="12" type="noConversion"/>
  </si>
  <si>
    <t>전자고지 대량발송 테스트 지원</t>
    <phoneticPr fontId="12" type="noConversion"/>
  </si>
  <si>
    <t>11월 2차 서버 상용반영 준비 및 상용반영
- 부가서비스서버</t>
    <phoneticPr fontId="12" type="noConversion"/>
  </si>
  <si>
    <t>25년도 11월 취약점점검 관련 대응</t>
    <phoneticPr fontId="12" type="noConversion"/>
  </si>
  <si>
    <t>25년 앱리뷰 이벤트 2차 응모자 추출 대응</t>
    <phoneticPr fontId="12" type="noConversion"/>
  </si>
  <si>
    <t>메사쿠어 안면등록 개선 개발
- 서버</t>
    <phoneticPr fontId="12" type="noConversion"/>
  </si>
  <si>
    <t>앱 DVT 이슈 지원 및 수정개발
- 모바일신분증</t>
    <phoneticPr fontId="12" type="noConversion"/>
  </si>
  <si>
    <t>KICC 신분증결제 연동테스트 대응</t>
    <phoneticPr fontId="12" type="noConversion"/>
  </si>
  <si>
    <t>11월 2차 서버 CVT 준비 및 CVT 대응
- 모바일신분증</t>
    <phoneticPr fontId="12" type="noConversion"/>
  </si>
  <si>
    <t>11월 2차 서버 CVT 준비 및 CVT 대응
- 통합인증</t>
    <phoneticPr fontId="12" type="noConversion"/>
  </si>
  <si>
    <t>11월 2차 서버 상용반영 준비 및 상용반영
- 모바일신분증서버</t>
    <phoneticPr fontId="12" type="noConversion"/>
  </si>
  <si>
    <t>11월 2차 서버 상용반영 후속처리 및 모니터링
- 모바일신분증서버</t>
    <phoneticPr fontId="12" type="noConversion"/>
  </si>
  <si>
    <t>나이스평가정보 통신사 해지 적용 개발</t>
    <phoneticPr fontId="12" type="noConversion"/>
  </si>
  <si>
    <t>나이스평가정보 통신사 해지 적용 연동 테스트</t>
    <phoneticPr fontId="12" type="noConversion"/>
  </si>
  <si>
    <t>11월 2차 서버 ALMS 문서 작업
- 통합인증서버</t>
    <phoneticPr fontId="12" type="noConversion"/>
  </si>
  <si>
    <t>부가서비스 10월 무료가입자 통계 추출 대응</t>
    <phoneticPr fontId="12" type="noConversion"/>
  </si>
  <si>
    <t>11월 2차 서버 ALMS 문서 작업 및 상용화시험요청
- 통합인증서버</t>
    <phoneticPr fontId="12" type="noConversion"/>
  </si>
  <si>
    <t>11월 2차 서버 반영패키지 준비 및 리허설
- 통합인증서버</t>
    <phoneticPr fontId="12" type="noConversion"/>
  </si>
  <si>
    <t xml:space="preserve">25년 PASS 출석체크 스탬프 이벤트 개발 검토 및 개발 </t>
    <phoneticPr fontId="12" type="noConversion"/>
  </si>
  <si>
    <t>25년 앱리뷰 이벤트 2차 당첨자 조회 페이지 개발 검토 및 개발</t>
    <phoneticPr fontId="12" type="noConversion"/>
  </si>
  <si>
    <t>25년 PASS 출석체크 스탬프 이벤트 출석 진행중 데이터 추출 대응</t>
    <phoneticPr fontId="12" type="noConversion"/>
  </si>
  <si>
    <t>11월 2차 서버 상용 반영 준비 및 추가 점검
- 모바일신분증서버</t>
    <phoneticPr fontId="12" type="noConversion"/>
  </si>
  <si>
    <t>11월 2차 서버 상용반영 준비 및 상용반영
- 통합인증서버</t>
    <phoneticPr fontId="12" type="noConversion"/>
  </si>
  <si>
    <t>11월 2차 서버 상용반영 후속처리 및 모니터링
- 통합인증서버</t>
    <phoneticPr fontId="12" type="noConversion"/>
  </si>
  <si>
    <t>모바일신분증 CPM 인증 플로우 수정 개발
- 서버</t>
    <phoneticPr fontId="12" type="noConversion"/>
  </si>
  <si>
    <t>11월 2차 서버 ALMS 문서 작업
- 모바일신분증서버</t>
    <phoneticPr fontId="12" type="noConversion"/>
  </si>
  <si>
    <t>신분증 결제 DB 시퀀스 초기화 대응</t>
    <phoneticPr fontId="12" type="noConversion"/>
  </si>
  <si>
    <t>11월 2차 서버 ALMS 문서 작업 및 상용화시험요청
- 모바일신분증서버</t>
    <phoneticPr fontId="12" type="noConversion"/>
  </si>
  <si>
    <t>11월 2차 서버 소스 리뷰 및 내부 추가 테스트
- 모바일신분증서버</t>
    <phoneticPr fontId="12" type="noConversion"/>
  </si>
  <si>
    <t>출석체크이벤트 진행중 고객 추출요청 대응</t>
    <phoneticPr fontId="12" type="noConversion"/>
  </si>
  <si>
    <t>신분증결제xGS25 런칭프로모션 개발검토 및 개발</t>
    <phoneticPr fontId="12" type="noConversion"/>
  </si>
  <si>
    <t>모바일신분증 CPM 인증 플로우 수정 개발
- 테스트 페이지</t>
    <phoneticPr fontId="12" type="noConversion"/>
  </si>
  <si>
    <t>11월 2차 서버 반영패키지 준비 및 리허설
- 모바일신분증서버</t>
    <phoneticPr fontId="12" type="noConversion"/>
  </si>
  <si>
    <t>검수db 개인정보 검출건 대응
- 모바일신분증</t>
    <phoneticPr fontId="12" type="noConversion"/>
  </si>
  <si>
    <t>검수WEB 외부 도메인 접근방지 건 대응
- 모바일신분증</t>
    <phoneticPr fontId="12" type="noConversion"/>
  </si>
  <si>
    <t>신분증결제 사용처 퍼블리싱</t>
    <phoneticPr fontId="12" type="noConversion"/>
  </si>
  <si>
    <t>9월 앱 리뷰 이벤트 당첨자 발표 화면 퍼블리싱 및 수정</t>
    <phoneticPr fontId="12" type="noConversion"/>
  </si>
  <si>
    <t>11월 11일</t>
    <phoneticPr fontId="12" type="noConversion"/>
  </si>
  <si>
    <t>S25 신분증결제 오픈 이벤트 화면 퍼블리싱 및 수정</t>
    <phoneticPr fontId="12" type="noConversion"/>
  </si>
  <si>
    <t>11월 18일</t>
    <phoneticPr fontId="12" type="noConversion"/>
  </si>
  <si>
    <t>CSR_20008</t>
    <phoneticPr fontId="12" type="noConversion"/>
  </si>
  <si>
    <t xml:space="preserve">ㄴPASS MAIN 개편 </t>
    <phoneticPr fontId="12" type="noConversion"/>
  </si>
  <si>
    <t>CSR_10201</t>
    <phoneticPr fontId="9" type="noConversion"/>
  </si>
  <si>
    <t>ㄴ외국인 해외 송금</t>
    <phoneticPr fontId="9" type="noConversion"/>
  </si>
  <si>
    <t>CSR_11317</t>
    <phoneticPr fontId="9" type="noConversion"/>
  </si>
  <si>
    <t xml:space="preserve">파트너 </t>
    <phoneticPr fontId="9" type="noConversion"/>
  </si>
  <si>
    <t>백광규C</t>
    <phoneticPr fontId="9" type="noConversion"/>
  </si>
  <si>
    <t>26년 10월</t>
    <phoneticPr fontId="9" type="noConversion"/>
  </si>
  <si>
    <t>진행중</t>
    <phoneticPr fontId="9" type="noConversion"/>
  </si>
  <si>
    <t>ㄴ기프트샵 CP사 변경</t>
    <phoneticPr fontId="9" type="noConversion"/>
  </si>
  <si>
    <t>CSR_41105</t>
    <phoneticPr fontId="9" type="noConversion"/>
  </si>
  <si>
    <t>CSR_11318</t>
    <phoneticPr fontId="9" type="noConversion"/>
  </si>
  <si>
    <t>배민화C</t>
    <phoneticPr fontId="12" type="noConversion"/>
  </si>
  <si>
    <t>26년 08월</t>
    <phoneticPr fontId="9" type="noConversion"/>
  </si>
  <si>
    <t>ㄴ인증서 FDS 기능 추가 : 인증서 인정평가 보완조치</t>
    <phoneticPr fontId="9" type="noConversion"/>
  </si>
  <si>
    <t>ㄴnCAS → ngCAS 이관 개발 (부가서비스, 모바일신분증, 통합인증서버)</t>
    <phoneticPr fontId="9" type="noConversion"/>
  </si>
  <si>
    <t>CSR_11319</t>
    <phoneticPr fontId="9" type="noConversion"/>
  </si>
  <si>
    <t>6월</t>
    <phoneticPr fontId="12" type="noConversion"/>
  </si>
  <si>
    <t>OS 보안 대응</t>
  </si>
  <si>
    <t>OS 보안 대응</t>
    <phoneticPr fontId="12" type="noConversion"/>
  </si>
  <si>
    <t>CSR_11501</t>
    <phoneticPr fontId="12" type="noConversion"/>
  </si>
  <si>
    <t>CSR_11415</t>
    <phoneticPr fontId="12" type="noConversion"/>
  </si>
  <si>
    <t>CSR_11416</t>
    <phoneticPr fontId="12" type="noConversion"/>
  </si>
  <si>
    <t>ㄴ26년 6월 2차 서버 검수</t>
  </si>
  <si>
    <t>ㄴ26년 6월 2차 서버 검수</t>
    <phoneticPr fontId="12" type="noConversion"/>
  </si>
  <si>
    <t>ㄴ26년 5월 1차 서버 검수</t>
    <phoneticPr fontId="12" type="noConversion"/>
  </si>
  <si>
    <t>ㄴ26년 5월 2차 서버 검수</t>
    <phoneticPr fontId="12" type="noConversion"/>
  </si>
  <si>
    <t>CSR_11417</t>
    <phoneticPr fontId="12" type="noConversion"/>
  </si>
  <si>
    <t>ㄴ26년 5월 2차 서버 검수</t>
  </si>
  <si>
    <t>ㄴnCAS → ngCAS 이관 개발 (부가서비스, 모바일신분증, 통합인증서버)</t>
  </si>
  <si>
    <t>PASS인증서 KISA 이용기관 서비스 아이콘 이미지 URL 사용 여부 확인 문의 대응</t>
  </si>
  <si>
    <t>ㄴ인증서 FDS 기능 추가 : 인증서 인정평가 보완조치</t>
  </si>
  <si>
    <t xml:space="preserve">서버 운영 지원 및 모니터링/장애대응_신분증 서비스 </t>
    <phoneticPr fontId="9" type="noConversion"/>
  </si>
  <si>
    <t>인증내역 조회기간 선택 시트, 월 선택 영역, 모바일신분증 인증 유형 아이콘 AOS 기능 개발</t>
  </si>
  <si>
    <t>인증내역 월조회 UI 상태 처리와 유형 아이콘 매핑 코드 자동 생성하여 화면 구현 누락 방지</t>
  </si>
  <si>
    <t>안드로이드 16 대응 범위 확인 및 AOS 호환 기능 개발</t>
  </si>
  <si>
    <t>Android 16 권한/백그라운드 영향도 사전 검토와 대응 코드 패턴 생성으로 OS 변경 사이드 이슈 사전 확인</t>
  </si>
  <si>
    <t>MY화면 CP 연동 영역 업데이트 안내 추가 AOS 기능 개발</t>
  </si>
  <si>
    <t>MY화면 CP 연동 응답 바인딩과 업데이트 안내 UI 코드 자동 생성하여 API 연동 영향 범위 명확화</t>
  </si>
  <si>
    <t>6월 앱 CVT 국내스탁 가입배너 및 안심클라우드 업로드 크래시 확인 대응</t>
  </si>
  <si>
    <t>CVT 재현 케이스와 회귀 테스트 체크리스트 자동 생성하여 검수 항목 누락 방지</t>
  </si>
  <si>
    <t>부가서비스/관리자/일반서비스 5월 2차 서버 반영 전후 확인 및 형상 병합·태깅 지원</t>
  </si>
  <si>
    <t>서버 반영 순서 체크리스트와 형상 병합 확인 목록 자동 생성하여 반영 순서 오류 방지</t>
  </si>
  <si>
    <t>1:1문의하기 분리보관 스케줄러 GC Full 조치 및 부가서비스 유료가입창 관리자 수정 개발</t>
  </si>
  <si>
    <t>스케줄러 GC Full 원인 후보 분석과 관리자 화면 수정 코드 자동 생성으로 동일 유형 오류 재발 가능성 감소</t>
  </si>
  <si>
    <t>26년 4월 주소록X오피스도우미 주별 응모자 데이터 및 PUSH 통계 추출 요청 대응</t>
  </si>
  <si>
    <t>응모자 추출 SQL과 PUSH 통계 검증 쿼리 자동 생성하여 조건 누락 및 집계 오류 감소</t>
  </si>
  <si>
    <t>모바일신분증 DVT 산출물, 통합인증 IMEI 제거 검수 테스트 및 암호화 필드 조회 확인</t>
  </si>
  <si>
    <t>DVT 산출물 초안과 IMEI 제거 검증 쿼리 자동 생성하여 검수 항목 누락 방지</t>
  </si>
  <si>
    <t>모바일신분증 등록 플로우 개편 안면 필수 등록 기획 검토 및 회의 대응</t>
  </si>
  <si>
    <t>안면 필수 등록 플로우 영향도와 화면 전환 케이스 자동 정리로 예외 케이스 누락 감소</t>
  </si>
  <si>
    <t>모바일신분증 KMS 상용 서버 연동 및 나이스 CPM 실패 프로세스 크로스 체크 요청 대응</t>
  </si>
  <si>
    <t>KMS 연동 확인 쿼리와 CPM 실패 프로세스 점검 목록 자동 생성하여 장애 원인 후보 조기 식별</t>
  </si>
  <si>
    <t>부가서비스 5월 2차 상용 반영, PASS지갑 접근 오류 부분 원복 및 KMS 네트워크 방화벽 해제 대응</t>
  </si>
  <si>
    <t>반영 파일 누락 점검표와 KMS 방화벽 확인 절차 자동 생성하여 배포 전 리스크 사전 식별</t>
  </si>
  <si>
    <t>PASS주소록 고도화, 신원인증 기능 추가, MY개편 및 유료가입창 개선 개발검토</t>
  </si>
  <si>
    <t>주소록 신원인증 API 흐름과 MY/유료가입창 영향도 자동 분석으로 요청사항 추적성 향상</t>
  </si>
  <si>
    <t>앱 DVT 메인광고배너 C 업데이트 팝업 및 서비스 재진입 동작 확인 대응</t>
  </si>
  <si>
    <t>광고배너 업데이트 회귀 테스트 케이스 자동 생성하여 회귀 영향 범위 누락 방지</t>
  </si>
  <si>
    <t>PASS주소록 고도화 AOS 개발검토 및 주소록 상세 신원인증 적용 범위 확인</t>
  </si>
  <si>
    <t>주소록 상세 화면 진입 조건과 신원인증 영역 처리 로직 초안 자동 생성하여 개발 검토 품질 보강</t>
  </si>
  <si>
    <t>모바일신분증 DVT 문서, 통합인증 IMEI 칼럼 삭제 검수 테스트 및 산출물 작성</t>
  </si>
  <si>
    <t>모바일신분증·통합인증 DVT 문서 초안과 검증 쿼리 자동 생성하여 문서 산출물 품질 균일화</t>
  </si>
  <si>
    <t>모바일운전면허 안면인증 실패 데이터 추출 및 개인정보 자료 요청 대응</t>
  </si>
  <si>
    <t>안면인증 실패 데이터 추출 SQL 자동 생성과 필드 마스킹 검토로 개인정보 처리 누락 방지</t>
  </si>
  <si>
    <t>26년 4월 주소록X오피스도우미 주간 랭킹 DB 상용 반영 및 응모자 데이터 추출</t>
  </si>
  <si>
    <t>주간 랭킹 반영 SQL과 응모자 검증 쿼리 자동 생성하여 집계 오류 감소</t>
  </si>
  <si>
    <t>부가서비스 5월 2차 반영 후 장애 분석 및 반영 모니터링 지원</t>
  </si>
  <si>
    <t>반영 후 장애 확인 체크리스트와 로그 원인 후보 분석으로 장애 대응 기준 표준화</t>
  </si>
  <si>
    <t>외부가입창 통계 검증 쿼리와 어드민 오류 로그 분석으로 장애 원인 후보 조기 식별</t>
  </si>
  <si>
    <t>PASS주소록 고도화 및 PASS인증서 생체인증수단 추가 AOS 개발검토</t>
  </si>
  <si>
    <t>주소록·인증서 화면 영향도와 브릿지 호출 흐름 자동 분석으로 API 연동 영향 범위 명확화</t>
  </si>
  <si>
    <t>유심에이전트 보안 조치 영향도 확인 및 6월 앱 업데이트 심의 컴플 작성</t>
  </si>
  <si>
    <t>보안 조치 영향도 체크리스트 자동 생성하여 OS·보안 변경 사이드 이슈 사전 확인</t>
  </si>
  <si>
    <t>6월 업데이트 스토어 등록 정보, 미디어로그·셀로·오션블루 앱 전달 요청 대응</t>
  </si>
  <si>
    <t>스토어 등록정보와 앱 전달 체크리스트 자동 생성하여 등록정보 누락 및 검수 재작업 감소</t>
  </si>
  <si>
    <t>유플러스 Bitbucket/Bamboo 연동을 위한 GitLab 이력 이관, 품질CSR Repository 및 Bamboo 권한 요청 대응</t>
  </si>
  <si>
    <t>이관 대상 저장소 목록과 권한 확인 체크리스트 자동 생성하여 휴먼 에러 감소</t>
  </si>
  <si>
    <t>통합인증 Cloudflare SSL handshake 실패 조치 테스트 및 부가서비스 5월 2차 반영 후 장애 확인</t>
  </si>
  <si>
    <t>SSL handshake 로그 원인 후보 분석과 반영 후 확인 케이스 자동 생성으로 장애 원인 후보 조기 식별</t>
  </si>
  <si>
    <t>iOS 인증내역 월 조회 UX, 빈화면·문의하기 문구 및 인증 유형 아이콘 반영 지원</t>
  </si>
  <si>
    <t>인증내역 iOS 화면 상태별 UI 코드와 회귀 테스트 케이스 자동 생성하여 화면 구현 누락 방지</t>
  </si>
  <si>
    <t>iOS 앱 CVT 안심클라우드 주소록 노출, 자동업로드 로딩 및 대용량 업로드 크래시 확인 대응</t>
  </si>
  <si>
    <t>CVT 결함별 재현 절차와 크래시 로그 원인 후보 분석으로 사이드 이슈 사전 확인</t>
  </si>
  <si>
    <t>iOS 인증내역 공통 월 조회 컨트롤, 본인확인·인증서·신분증 월 조회 UX 개발</t>
  </si>
  <si>
    <t>월 조회 컨트롤 공통 컴포넌트와 인증유형 필터 로직 자동 생성하여 화면 구현 누락 방지</t>
  </si>
  <si>
    <t>MISCoreKit SDK 교체, 명의도용방지 주민번호 뒷자리 숨김 및 가입제한 결과 팝업 전환 개발</t>
  </si>
  <si>
    <t>SDK 교체 영향도와 명의도용방지 분기 처리 코드 자동 생성하여 회귀 영향 범위 누락 방지</t>
  </si>
  <si>
    <t>앱 CVT 국내스탁 가입배너, 안심클라우드 다운로드·자동업로드·대용량 업로드 결함 확인 대응</t>
  </si>
  <si>
    <t>CVT 결함별 재현 케이스와 회귀 체크리스트 자동 생성하여 검수 항목 누락 방지</t>
  </si>
  <si>
    <t>유심에이전트 보안 조치 영향도와 6월 앱 업데이트 심의 컴플 확인 지원</t>
  </si>
  <si>
    <t>보안 조치 영향도 체크리스트 자동 생성하여 앱 배포 전 리스크 사전 식별</t>
  </si>
  <si>
    <t>PASS주소록 고도화 AOS 신원인증 영역 및 문서공유 진입 흐름 개발검토</t>
  </si>
  <si>
    <t>주소록 신원인증 진입 조건과 문서공유 화면 흐름 코드 초안 자동 생성하여 개발 검토 누락 방지</t>
  </si>
  <si>
    <t>인증내역 월조회·빈화면·문의 문구 AOS 화면 보완 개발</t>
  </si>
  <si>
    <t>반복 UI 코드 패턴과 인증내역 단위 테스트 코드 자동 생성하여 화면 구현 누락 방지</t>
  </si>
  <si>
    <t>Crashlytics StackOverflowError 및 AOS 기존문제점 수정 항목 보완 개발</t>
  </si>
  <si>
    <t>스택트레이스 원인 후보 분석과 방어 코드 자동 생성으로 동일 유형 크래시 재발 가능성 감소</t>
  </si>
  <si>
    <t>iOS 인증내역 월 조회 컨트롤과 신분증 인증 유형 아이콘 반영 개발</t>
  </si>
  <si>
    <t>인증내역 공통 컴포넌트와 UI 테스트 코드 자동 생성하여 회귀 영향 범위 누락 방지</t>
  </si>
  <si>
    <t>안심클라우드 CVT 주소록 일부 노출 및 자동업로드 로딩 지속 결함 확인 대응</t>
  </si>
  <si>
    <t>CVT 재현 절차와 로그 확인 기준 자동 생성하여 사이드 이슈 사전 확인</t>
  </si>
  <si>
    <t>법적 효력 안내 버튼 무반응 및 휴대폰결제 진입 오류 문구 iOS 보완 개발</t>
  </si>
  <si>
    <t>버튼 이벤트 처리 코드와 오류 문구 매핑 테스트 자동 생성하여 예외 케이스 누락 감소</t>
  </si>
  <si>
    <t>MY화면 CP 연동 업데이트 안내 iOS 적용 범위 확인 및 화면 반영 준비</t>
  </si>
  <si>
    <t>MY화면 CP 응답 상태별 UI 처리 코드 자동 생성하여 API 연동 영향 범위 명확화</t>
  </si>
  <si>
    <t>모바일지갑 가입자테이블 개인정보(CI) 컬럼 비활성화 및 모바일신분증 인증 완료 화면 사이트명 처리 상이 이슈 보완 개발</t>
  </si>
  <si>
    <t>CI 비활성화 쿼리와 사이트명 매핑 검증 코드 자동 생성하여 개인정보 처리 및 표기 오류 감소</t>
  </si>
  <si>
    <t>모바일신분증 등록 플로우 서버 연계 항목 점검 및 안면인증 결과 처리 구조 검토</t>
  </si>
  <si>
    <t>안면인증 결과 연계 시퀀스와 API 응답 검증 쿼리 자동 생성하여 연계 누락 방지</t>
  </si>
  <si>
    <t>PASS클라우드 OAuth scope 소명, 미디어 권한 및 Foreground Service 사용 영향 확인</t>
  </si>
  <si>
    <t>OAuth scope 소명 문안과 권한 영향도 체크리스트 자동 생성하여 스토어 심사 리스크 사전 식별</t>
  </si>
  <si>
    <t>부가서비스 유료가입창 바텀시트, 모바일신분증 안면 등록 안내, 스와이프 backkey AOS 기능 개발</t>
  </si>
  <si>
    <t>바텀시트·안면등록·backkey 처리 코드 자동 생성하여 기능 구현 누락 방지</t>
  </si>
  <si>
    <t>CVT 2차 ALMS 등록, 구글 플레이스토어 심사, 원스토어 배포 앱 및 오션블루 앱 전달 대응</t>
  </si>
  <si>
    <t>앱 전달·스토어 심사 체크리스트 자동 생성하여 등록정보 누락 및 검수 재작업 감소</t>
  </si>
  <si>
    <t>MY탭 셀로·서비스·오늘의게임 개인화 컨텐츠 조회 API 및 관리자 설정 화면 수정 개발</t>
  </si>
  <si>
    <t>MY탭 개인화 API 응답 매핑과 관리자 설정 소스 자동 생성하여 API 연동 영향 범위 명확화</t>
  </si>
  <si>
    <t>PASS주소록 고도화, 신원인증 기능 추가, 메인 배너 관리 화면 수정 개발검토</t>
  </si>
  <si>
    <t>주소록 신원인증 연동 구조와 배너 관리 화면 영향도 자동 분석으로 요청사항 추적성 향상</t>
  </si>
  <si>
    <t>부가서비스·일반서비스·통합푸시 6월 2차 DVT 산출물 및 상세반영절차서 작성</t>
  </si>
  <si>
    <t>DVT 산출물 초안과 반영절차 체크리스트 자동 생성하여 문서 산출물 품질 균일화</t>
  </si>
  <si>
    <t>PUSH 통계, 26년 4월 주소록X오피스도우미 7차 응모자 데이터 및 5월 무료가입자 통계 추출</t>
  </si>
  <si>
    <t>이벤트 응모자·무료가입자 통계 SQL 자동 생성하여 조건 누락 및 집계 오류 감소</t>
  </si>
  <si>
    <t>모바일신분증 DVT 서비스변경검증요청서, DB 시험항목절차및결과서 작성</t>
  </si>
  <si>
    <t>DVT 문서 초안과 DB 시험 검증 쿼리 자동 생성하여 검수 항목 누락 방지</t>
  </si>
  <si>
    <t>모바일운전면허 서비스 가입자 분리보관 스케줄러 개선 및 테스트, 안면인식 서비스 노출 여부 조회 수정 개발</t>
  </si>
  <si>
    <t>분리보관 스케줄러 테스트 코드와 안면인식 조회 API 소스 자동 생성하여 회귀 영향 범위 누락 방지</t>
  </si>
  <si>
    <t>26년 4월 주소록X오피스도우미 7차 응모자 데이터 추출 및 주간 랭킹 반영</t>
  </si>
  <si>
    <t>응모자 추출 SQL과 랭킹 반영 검증 쿼리 자동 생성하여 집계 오류 감소</t>
  </si>
  <si>
    <t>주소록 상세 신원인증 영역, 전화번호 유효성 체크, 문서공유 PUSH 발송 안내 AOS 기능 개발</t>
  </si>
  <si>
    <t>주소록 상세 화면 이벤트 처리와 PUSH 성공/실패 안내 코드 자동 생성하여 예외 케이스 누락 감소</t>
  </si>
  <si>
    <t>부가서비스 OS 업그레이드 체크리스트 작성 및 상용환경 투데이 부가서비스 API 응답 지연 확인 지원</t>
  </si>
  <si>
    <t>OS 업그레이드 점검표와 API 지연 로그 원인 후보 분석으로 운영 확인 기준 표준화</t>
  </si>
  <si>
    <t>Bitbucket/Bamboo 이관 권한 확인 및 Cloudflare SSL handshake 검수 조치 확인 지원</t>
  </si>
  <si>
    <t>저장소·권한 확인 목록과 SSL 테스트 절차 자동 생성하여 휴먼 에러 감소</t>
  </si>
  <si>
    <t>MISCoreKit SDK 교체, 명의도용방지 주민번호 숨김, 부가서비스 유료가입 LEVEL4 약관 바텀시트 iOS 개발</t>
  </si>
  <si>
    <t>SDK 교체 영향도와 LEVEL4 가입 플로우 코드 자동 생성하여 화면 전환 오류 감소</t>
  </si>
  <si>
    <t>iOS CVT 주소록 사기번호 조회 팝업, 오피스도우미 무제한 문서 보기 무감 현상 및 앱 전달 대응</t>
  </si>
  <si>
    <t>CVT 결함 재현 케이스와 앱 전달 체크리스트 자동 생성하여 검수 항목 누락 방지</t>
  </si>
  <si>
    <t>iOS MY화면 CP 연동 영역 업데이트 안내 로직 추가</t>
  </si>
  <si>
    <t>CP 연동 응답 상태별 안내 UI 코드 자동 생성하여 API 연동 영향 범위 명확화</t>
  </si>
  <si>
    <t>iOS 모바일신분증 안면 등록 안내 및 면허증·주민증 등록 플로우 변경 개발</t>
  </si>
  <si>
    <t>안면 등록 화면 전환 코드와 신분증별 테스트 케이스 자동 생성하여 예외 케이스 누락 감소</t>
  </si>
  <si>
    <t>iOS 커스텀 스와이프, 네이티브 화면·바텀시트·키보드 활성화 화면 뒤로가기 제스처 개발</t>
  </si>
  <si>
    <t>스와이프 제스처 처리 코드와 화면별 UI 테스트 자동 생성하여 회귀 영향 범위 누락 방지</t>
  </si>
  <si>
    <t>모바일신분증·통합인증 DVT 산출물, CDR, 상세반영절차서 작성</t>
  </si>
  <si>
    <t>DVT 산출물과 CDR 초안 자동 생성하여 문서 산출물 품질 균일화</t>
  </si>
  <si>
    <t>모바일신분증 등록 플로우 개편 앱 API 규격서 및 DB 설계 검토</t>
  </si>
  <si>
    <t>앱 API 규격서 초안과 DB 변경 영향도 자동 분석으로 설계 누락 방지</t>
  </si>
  <si>
    <t>통합인증 IMEI·UICCID 컬럼 삭제, 단말정보 저장·검증 로직 수정 및 기존 데이터 배치 정리 개발</t>
  </si>
  <si>
    <t>단말정보 저장·검증 로직과 배치 정리 SQL 자동 생성하여 데이터 처리 오류 감소</t>
  </si>
  <si>
    <t>휴대폰결제 결제비밀번호·바코드 이동 규격, PASS지갑 Android SDK, 오피스도우미 SDK AOS 개발검토</t>
  </si>
  <si>
    <t>SDK 버전 영향도와 휴대폰결제 화면 흐름 자동 분석으로 개발 검토 커버리지 보강</t>
  </si>
  <si>
    <t>앱 회원탈퇴 흐름 정리, CP사 검수앱 가입 실패 확인, 유플러스 빌드 PC Gradle 오류 확인 대응</t>
  </si>
  <si>
    <t>회원탈퇴 흐름 문서 초안과 Gradle 오류 원인 후보 분석으로 요청사항 추적성 향상</t>
  </si>
  <si>
    <t>CVT 2차 7건 종료 확인, 클라우드 SDK 수정 버전 및 앱 전달 대응</t>
  </si>
  <si>
    <t>CVT 종료 체크리스트와 클라우드 SDK 영향도 점검표 자동 생성하여 검수 항목 누락 방지</t>
  </si>
  <si>
    <t>부가서비스 5월 2차 부분원복 긴급반영, 6월 긴급반영 리뷰, CVT 및 상용반영 준비</t>
  </si>
  <si>
    <t>긴급반영 절차와 CVT 체크리스트 자동 생성하여 반영 순서 오류 방지</t>
  </si>
  <si>
    <t>부가서비스 Bamboo 배포 스크립트 생성, PASS셀로 장기 미사용 회원 탈퇴 처리 방안 검토</t>
  </si>
  <si>
    <t>배포 스크립트 점검 목록과 탈퇴 처리 영향도 자동 분석으로 운영 반영 리스크 감소</t>
  </si>
  <si>
    <t>상용환경 투데이 부가서비스 엑세스토큰 API 응답 지연 이상현상 확인</t>
  </si>
  <si>
    <t>와탭 로그 지연 구간 분석과 원인 후보 정리로 장애 원인 후보 조기 식별</t>
  </si>
  <si>
    <t>이관 대상별 체크리스트와 Nexus 배포 검토 항목 자동 생성하여 휴먼 에러 감소</t>
  </si>
  <si>
    <t>ngCAS 연동 선행 작업 및 통합인증 Cloudflare SSL handshake 검수 조치 확인</t>
  </si>
  <si>
    <t>ngCAS 선행 작업 영향도와 SSL 확인 절차 자동 생성하여 연동 리스크 사전 식별</t>
  </si>
  <si>
    <t>DR센터 AWS 인프라 구성 점검 체크리스트 작성</t>
  </si>
  <si>
    <t>AWS 인프라 점검 체크리스트 자동 생성하여 운영 확인 기준 표준화</t>
  </si>
  <si>
    <t>앱 회원탈퇴 흐름 정리와 오피스도우미 SDK AOS 구현 검토 지원</t>
  </si>
  <si>
    <t>회원탈퇴 플로우 문서와 SDK 호출 샘플 코드 자동 생성하여 요청사항 추적성 향상</t>
  </si>
  <si>
    <t>CVT 2차 앱 전달, 구글 플레이스토어 심사, 원스토어 배포 앱 확인 지원</t>
  </si>
  <si>
    <t>앱 전달 체크리스트와 스토어 등록 검증 항목 자동 생성하여 검수 재작업 감소</t>
  </si>
  <si>
    <t>AOS 신분증 안면 등록 안내 화면, 약관 필수/선택 처리 및 설정 상태 처리 개발</t>
  </si>
  <si>
    <t>안면등록 화면 상태 처리 코드와 단위 테스트 자동 생성하여 예외 케이스 누락 감소</t>
  </si>
  <si>
    <t>AOS 바텀시트 backkey 지원 및 스와이프 뒤로가기 제스처 적용 개발</t>
  </si>
  <si>
    <t>backkey 이벤트 처리 코드와 UI 테스트 자동 생성하여 회귀 영향 범위 누락 방지</t>
  </si>
  <si>
    <t>iOS MIS SDK 교체와 명의도용방지 결과 팝업 전환 기능 개발</t>
  </si>
  <si>
    <t>SDK 교체 체크 코드와 결과 팝업 분기 테스트 자동 생성하여 동일 유형 오류 재발 가능성 감소</t>
  </si>
  <si>
    <t>ATS 정책 영향도 분석과 앱 전달 체크리스트 자동 생성하여 배포 전 리스크 사전 식별</t>
  </si>
  <si>
    <t>iOS MY화면 CP 연동 업데이트 안내 로직 및 화면 표시 조건 반영</t>
  </si>
  <si>
    <t>MY화면 표시 조건 코드와 UI 테스트 자동 생성하여 화면 구현 누락 방지</t>
  </si>
  <si>
    <t>iOS 신분증 등록 플로우 변경, 안면등록 화면 및 설정 영역 수정 개발</t>
  </si>
  <si>
    <t>신분증별 등록 플로우 코드와 화면 전환 테스트 자동 생성하여 예외 케이스 누락 감소</t>
  </si>
  <si>
    <t>모바일신분증 분리보관 스케줄러 개선 및 인증 완료 화면 사이트명 처리 상이 이슈 후속 정리</t>
  </si>
  <si>
    <t>스케줄러 검증 쿼리와 사이트명 매핑 테스트 자동 생성하여 회귀 영향 범위 누락 방지</t>
  </si>
  <si>
    <t>모바일신분증 안면인식 서비스 노출 여부 조회 API 연계 구조 점검</t>
  </si>
  <si>
    <t>안면인식 조회 API 검증 쿼리와 응답 케이스 자동 생성하여 API 연동 영향 범위 명확화</t>
  </si>
  <si>
    <t>오피스도우미 SDK 업데이트 기본앱 설정 이동, 모바일신분증 안면 등록 안내, 마인드케어 유료 가입·해지 크래시 수정 개발</t>
  </si>
  <si>
    <t>SDK 이동 처리와 크래시 방어 코드 자동 생성으로 동일 유형 크래시 재발 가능성 감소</t>
  </si>
  <si>
    <t>AOS 앱 전달 CVT2차, JWT DVT 결함 및 ALMS 검증 버전 등록 대응</t>
  </si>
  <si>
    <t>DVT/CVT 결함 재현 케이스와 ALMS 체크리스트 자동 생성하여 검수 항목 누락 방지</t>
  </si>
  <si>
    <t>간편본인확인 인증 후 PASS 업데이트 약관 활성화 상태 상이 및 일반서비스 가입 실패 기존문제점 수정 개발</t>
  </si>
  <si>
    <t>약관 활성화 상태 분기와 가입 실패 재현 테스트 자동 생성하여 회귀 영향 범위 누락 방지</t>
  </si>
  <si>
    <t>iOS 주소록 상세 신원인증 연결, 문서공유 진입·PUSH 발송 차단, 업데이트 안내 이동 처리 개발</t>
  </si>
  <si>
    <t>주소록 문서공유 진입 조건과 PUSH 차단 로직 자동 생성하여 예외 케이스 누락 감소</t>
  </si>
  <si>
    <t>iOS 모의해킹 DVT 로그인·FIDO·운전면허 약관·PASS인증 완료 후 추가 인증 결함 확인 대응</t>
  </si>
  <si>
    <t>DVT 결함별 재현 절차와 회귀 테스트 체크리스트 자동 생성하여 사이드 이슈 사전 확인</t>
  </si>
  <si>
    <t>주소록 신원인증 기능 추가 개발분석 및 부가서비스 연동 구조 검토</t>
  </si>
  <si>
    <t>주소록 신원인증 API 흐름과 부가서비스 연동 영향도 자동 분석으로 개발 검토 커버리지 보강</t>
  </si>
  <si>
    <t>부가서비스·일반서비스 DVT 상세반영절차서, 서버 CVT 패키지 준비 및 CI/CD 리허설 대응</t>
  </si>
  <si>
    <t>서버 DVT/CVT 반영절차 체크리스트 자동 생성하여 반영 순서 오류 방지</t>
  </si>
  <si>
    <t>26년 5월 주소록X더치트프리미엄 응모자 추출 및 PUSH 통계 요청 대응</t>
  </si>
  <si>
    <t>더치트프리미엄 응모자 추출 SQL과 PUSH 검증 쿼리 자동 생성하여 집계 오류 감소</t>
  </si>
  <si>
    <t>모바일신분증 DVT 서비스변경검증요청서 작성 및 모의해킹 DVT 만14세 미만 면허증 제한 확인</t>
  </si>
  <si>
    <t>DVT 문서 초안과 제한 조건 테스트 케이스 자동 생성하여 검수 항목 누락 방지</t>
  </si>
  <si>
    <t>ngCAS 토큰 발급·갱신, CAS 공통 호출, 부가서비스 가입·해지·OTP API 연동 구현</t>
  </si>
  <si>
    <t>CAS 공통 호출 모듈과 가입·해지·OTP API 연동 코드 자동 생성하여 API 연동 영향 범위 명확화</t>
  </si>
  <si>
    <t>26년 5월 주소록X더치트프리미엄 응모자 추출 및 당첨자 발표 페이지 검수 반영</t>
  </si>
  <si>
    <t>당첨자 발표 페이지 데이터 검증 쿼리와 반영 체크리스트 자동 생성하여 집계 오류 감소</t>
  </si>
  <si>
    <t>AOS 주소록 상세 업데이트 안내, 문서공유 PUSH, 오피스도우미 SDK, 서비스 재진입 기능 개발</t>
  </si>
  <si>
    <t>주소록 상세 기능 코드와 PUSH 발송 결과 처리 테스트 자동 생성하여 기능 누락 방지</t>
  </si>
  <si>
    <t>JWT DVT 주소록 이용가이드 재노출 및 PASS인증서 API 중복 호출 문의 확인 대응</t>
  </si>
  <si>
    <t>DVT 재현 절차와 API 중복 호출 로그 분석으로 장애 원인 후보 조기 식별</t>
  </si>
  <si>
    <t>iOS 커스텀 스와이프 제스처, 네이티브·바텀시트·키보드 화면 뒤로가기 적용 개발</t>
  </si>
  <si>
    <t>제스처 처리 코드와 화면별 UI 테스트 자동 생성하여 회귀 영향 범위 누락 방지</t>
  </si>
  <si>
    <t>iOS 모바일신분증 안면 등록 안내, 면허증·주민증 등록 플로우 및 설정 영역 수정 개발</t>
  </si>
  <si>
    <t>신분증 등록 플로우 분기 코드와 안면등록 테스트 케이스 자동 생성하여 예외 케이스 누락 감소</t>
  </si>
  <si>
    <t>부가서비스 6월 2차 상용 반영 패키지 준비, Bamboo 검수·상용 배포 스크립트 생성 및 CVT 완료</t>
  </si>
  <si>
    <t>패키지 준비 절차와 Bamboo 배포 스크립트 점검표 자동 생성하여 반영 순서 오류 방지</t>
  </si>
  <si>
    <t>PASS주소록 고도화, 신원인증 기능 추가, MY개편 및 유료가입창 개선 서버 개발검토</t>
  </si>
  <si>
    <t>주소록·MY·유료가입창 서버 영향도 자동 분석으로 요청사항 추적성 향상</t>
  </si>
  <si>
    <t>상용환경 투데이 부가서비스 이상현상 및 PASS셀로 장기 미사용 회원 탈퇴 처리 방안 확인</t>
  </si>
  <si>
    <t>API 지연 로그 원인 후보 분석과 탈퇴 처리 영향도 체크리스트 자동 생성으로 운영 리스크 감소</t>
  </si>
  <si>
    <t>부가서비스 OS 업그레이드 체크리스트 작성 및 SMS 발송 오류 원인 확인 지원</t>
  </si>
  <si>
    <t>OS 업그레이드 점검표와 SMS 발송 오류 로그 분석으로 운영 확인 기준 표준화</t>
  </si>
  <si>
    <t>ngCAS 응답값 예외 상황 확인 및 부가서비스 연계 영향도 점검 지원</t>
  </si>
  <si>
    <t>ngCAS 응답값 예외 케이스와 연동 영향도 체크리스트 자동 생성하여 사이드 이슈 사전 확인</t>
  </si>
  <si>
    <t>휴대폰결제 결제비밀번호·바코드 이동, 홈 쉬운화면모드, 주소록 신원인증 AOS 개발검토</t>
  </si>
  <si>
    <t>화면 흐름 영향도와 개발검토 항목 자동 정리로 기능 검토 누락 방지</t>
  </si>
  <si>
    <t>PASS 민원 앱 실행·회원가입 오류 3건 확인 및 JWT 서버핀 CDR 문서 요청 대응</t>
  </si>
  <si>
    <t>민원 유형별 원인 후보 분류와 CDR 초안 자동 생성으로 요청사항 추적성 향상</t>
  </si>
  <si>
    <t>AOS 모의해킹 DVT 인증수단 관리·서버PIN 전환 팝업·생체인증 삭제 결함 확인 대응</t>
  </si>
  <si>
    <t>DVT 결함 재현 절차와 인증수단 회귀 테스트 자동 생성하여 검수 항목 누락 방지</t>
  </si>
  <si>
    <t>이관 대상별 체크리스트 자동 생성하여 권한·저장소 누락 방지</t>
  </si>
  <si>
    <t>ngCAS 선행 작업, 모바일신분증·통합인증 6월 2차 CDR/컨플루언스 작성 및 리뷰 대응</t>
  </si>
  <si>
    <t>CDR/컨플루언스 문서 초안과 ngCAS 영향도 체크리스트 자동 생성하여 문서 품질 균일화</t>
  </si>
  <si>
    <t>통합인증 Cloudflare SSL handshake 검수 조치 및 6월 2차 반영 건 리뷰 지원</t>
  </si>
  <si>
    <t>SSL 검수 절차와 반영 리뷰 체크리스트 자동 생성하여 배포 전 리스크 사전 식별</t>
  </si>
  <si>
    <t>모바일신분증·통합인증 DVT, CVT 상용화 시험 요청, CDR 및 ALMS 접수 대응</t>
  </si>
  <si>
    <t>DVT/CVT 산출물과 ALMS 접수 체크리스트 자동 생성하여 검수 항목 누락 방지</t>
  </si>
  <si>
    <t>모바일신분증 분리보관 스케줄러 수정 개발 및 Bamboo 배포 스크립트 검수·상용 생성 확인</t>
  </si>
  <si>
    <t>스케줄러 수정 코드와 배포 스크립트 검증 쿼리 자동 생성하여 회귀 영향 범위 누락 방지</t>
  </si>
  <si>
    <t>나이스 CPM 실패 프로세스 크로스 체크 및 모바일신분증 6월 2차 CDR 리뷰 대응</t>
  </si>
  <si>
    <t>CPM 실패 흐름 점검표와 리뷰 체크리스트 자동 생성하여 장애 원인 후보 조기 식별</t>
  </si>
  <si>
    <t>오피스도우미 SDK 기본앱 설정 이동 및 마인드케어 유료 가입·해지 크래시 보완 개발</t>
  </si>
  <si>
    <t>SDK 이동 처리 코드와 크래시 방어 테스트 자동 생성하여 동일 유형 오류 재발 가능성 감소</t>
  </si>
  <si>
    <t>JWT DVT 홈 방치 후 로그인 유지, 약관 HTML 노출, 휴대폰결제 토큰 만료 결함 확인 대응</t>
  </si>
  <si>
    <t>JWT DVT 재현 절차와 토큰 만료 테스트 케이스 자동 생성하여 사이드 이슈 사전 확인</t>
  </si>
  <si>
    <t>AOS 모바일신분증 안면 등록 안내 화면 및 안면 등록 상태 처리 보완 개발</t>
  </si>
  <si>
    <t>안면 등록 상태 처리 코드와 단위 테스트 자동 생성하여 예외 케이스 누락 감소</t>
  </si>
  <si>
    <t>일반서비스 가입 실패 및 PASS 업데이트 약관 활성화 상태 상이 기존문제점 수정 개발</t>
  </si>
  <si>
    <t>가입 실패 재현 테스트와 약관 상태 분기 코드 자동 생성하여 회귀 영향 범위 누락 방지</t>
  </si>
  <si>
    <t>iOS 주소록 신원인증 연결, 문서공유 차단, 업데이트 안내 이동 처리 개발</t>
  </si>
  <si>
    <t>주소록 신원인증 연동 코드와 UI 테스트 자동 생성하여 화면 구현 누락 방지</t>
  </si>
  <si>
    <t>iOS FIDO·운전면허 약관·PASS인증 완료 후 추가 인증 DVT 결함 확인 대응</t>
  </si>
  <si>
    <t>iOS 인증 플로우 DVT 테스트 케이스 자동 생성하여 검수 항목 누락 방지</t>
  </si>
  <si>
    <t>iOS 안면 등록 안내, 면허증·주민증 등록 플로우 변경 및 설정 영역 수정 개발</t>
  </si>
  <si>
    <t>신분증 등록 화면 분기 코드와 테스트 케이스 자동 생성하여 예외 케이스 누락 감소</t>
  </si>
  <si>
    <t>iOS 네이티브·바텀시트·키보드 화면 스와이프 제스처 적용 후 내부 검증</t>
  </si>
  <si>
    <t>화면별 제스처 UI 테스트 자동 생성하여 회귀 영향 범위 누락 방지</t>
  </si>
  <si>
    <t>모바일신분증 분리보관 스케줄러 개선과 인증 완료 화면 사이트명 처리 상이 이슈 보완 개발</t>
  </si>
  <si>
    <t>스케줄러 검증 쿼리와 사이트명 매핑 테스트 코드 자동 생성하여 동일 유형 오류 재발 가능성 감소</t>
  </si>
  <si>
    <t>모바일신분증·통합인증 ngCAS 연동 API 구조 점검 및 내부 검증 정리</t>
  </si>
  <si>
    <t>ngCAS API 응답 검증 쿼리와 연동 시퀀스 자동 생성하여 API 연동 영향 범위 명확화</t>
  </si>
  <si>
    <t>PASS주소록 신원인증 기능 추가 및 홈 쉬운화면모드 AOS 기획서 검토</t>
  </si>
  <si>
    <t>주소록 신원인증 화면 흐름과 쉬운화면모드 영향도 자동 분석으로 개발 검토 누락 방지</t>
  </si>
  <si>
    <t>인증서 아이콘 URL 사용 조건과 호출 영향도 체크리스트 자동 생성하여 요청사항 추적성 향상</t>
  </si>
  <si>
    <t>주소록 신원인증 기능 추가 개발분석, 부가서비스 제휴사 연동규격서 설계</t>
  </si>
  <si>
    <t>주소록 신원인증 연동규격 초안과 API 영향도 자동 분석으로 설계 누락 방지</t>
  </si>
  <si>
    <t>통합PUSH CVT CI/CD 리허설, 상용 반영 패키지 준비 및 6월 2차 반영 연기 대응</t>
  </si>
  <si>
    <t>CVT 리허설·패키지 준비 체크리스트 자동 생성하여 반영 순서 오류 방지</t>
  </si>
  <si>
    <t>부가서비스 ngCAS 연동 변경 대상 API 및 모듈 리스트업</t>
  </si>
  <si>
    <t>ngCAS 변경 대상 API 목록 자동 추출과 영향도 매트릭스 작성으로 API 연동 영향 범위 명확화</t>
  </si>
  <si>
    <t>ㄴ기프트샵 CP사 변경</t>
  </si>
  <si>
    <t>기프트샵 보관함 발송 분류를 위한 userkey 확인 요청 대응</t>
  </si>
  <si>
    <t>userkey 확인 SQL과 결과 검증 쿼리 자동 생성하여 조건 누락 및 집계 오류 감소</t>
  </si>
  <si>
    <t>ngCAS 토큰 발급·갱신, CAS 공통 호출, 부가서비스 가입·해지·OTP API 연동 개발</t>
  </si>
  <si>
    <t>CAS 공통 연동 모듈과 부가서비스 API 호출 코드 자동 생성하여 API 연동 영향 범위 명확화</t>
  </si>
  <si>
    <t>26년 5월 주소록X더치트프리미엄 당첨자 페이지 상용 반영</t>
  </si>
  <si>
    <t>당첨자 페이지 반영 체크리스트와 데이터 검증 쿼리 자동 생성하여 반영 누락 방지</t>
  </si>
  <si>
    <t>모바일신분증·통합인증 6월 2차 CVT 상용화 시험, CI/CD 리허설 및 테스트 데이터 적재 대응</t>
  </si>
  <si>
    <t>CVT 테스트 데이터 적재 쿼리와 리허설 체크리스트 자동 생성하여 검수 항목 누락 방지</t>
  </si>
  <si>
    <t>ngCAS 연동 변경 검토 및 안면인증 실패 통계 고도화 기획서 검토</t>
  </si>
  <si>
    <t>ngCAS 연동 영향도와 안면인증 통계 항목 자동 분석으로 설계 누락 방지</t>
  </si>
  <si>
    <t>MPM QR 실패 결과 이력 저장 성공률 하락 확인 요청 대응</t>
  </si>
  <si>
    <t>QR 실패 결과 이력 로그 분석과 성공률 검증 쿼리 자동 생성하여 장애 원인 후보 조기 식별</t>
  </si>
  <si>
    <t>부가서비스·일반서비스·통합PUSH 6월 2차 상용 반영 패키지 준비 및 DB계정 변경 로그증적 전달</t>
  </si>
  <si>
    <t>반영 패키지 점검표와 DB계정 변경 증적 체크리스트 자동 생성하여 배포 전 리스크 사전 식별</t>
  </si>
  <si>
    <t>주소록 신원인증 서버 기획리뷰, MY개편 및 유료가입창 바텀시트 서버 개발검토</t>
  </si>
  <si>
    <t>부가서비스 NAS 교체 모니터링, 검수환경 인증서 서버 연동 haproxy IP 변경 확인 대응</t>
  </si>
  <si>
    <t>NAS 교체 영향도 점검표와 haproxy IP 변경 확인 절차 자동 생성하여 운영 리스크 사전 식별</t>
  </si>
  <si>
    <t>부가서비스 유료가입창 디자인 적용, AI Observability 개발검토, 휴대폰결제 결제비밀번호·바코드 이동 검토</t>
  </si>
  <si>
    <t>유료가입창 화면 코드와 휴대폰결제 플로우 영향도 자동 분석으로 개발 검토 커버리지 보강</t>
  </si>
  <si>
    <t>PASS안심클라우드 잔여 기능 검토 및 미노출 상태 서비스 진입 팝업 이동 결함 확인</t>
  </si>
  <si>
    <t>안심클라우드 진입 조건 테스트 케이스와 팝업 이동 처리 코드 자동 생성하여 예외 케이스 누락 감소</t>
  </si>
  <si>
    <t>AOS 앱 DVT 안심클라우드 미노출 팝업, JWT CVT, 앱 전달 요청 대응</t>
  </si>
  <si>
    <t>앱 DVT/CVT 재현 절차와 전달 체크리스트 자동 생성하여 검수 항목 누락 방지</t>
  </si>
  <si>
    <t>셀로 본인인증 PASS인증 appAuth 파라미터 누락 및 웹뷰 히스토리 backkey 팝업 기존문제점 수정 개발</t>
  </si>
  <si>
    <t>appAuth 파라미터 검증 코드와 웹뷰 히스토리 테스트 자동 생성하여 회귀 영향 범위 누락 방지</t>
  </si>
  <si>
    <t>인증서 FDS 화면 위치 영향도와 기획문서 초안 자동 생성하여 요청사항 추적성 향상</t>
  </si>
  <si>
    <t>휴대폰결제 결제비밀번호·바코드 이동 규격 AOS 개발검토</t>
  </si>
  <si>
    <t>휴대폰결제 인증 흐름과 바코드 이동 케이스 자동 분석으로 개발 검토 누락 방지</t>
  </si>
  <si>
    <t>AOS·iOS 모의해킹 CVT 결함, JWT 서버핀 스토어 등록 정보 요청 및 iOS 27 베타 크래시 점검 지원</t>
  </si>
  <si>
    <t>CVT 결함 재현 절차와 스토어 등록 체크리스트 자동 생성하여 배포 전 리스크 사전 식별</t>
  </si>
  <si>
    <t>iOS 홈 쉬운화면모드 기획서 분석 및 개발 범위 검토</t>
  </si>
  <si>
    <t>쉬운화면모드 화면 전환 영향도와 구현 항목 자동 정리로 설계 누락 방지</t>
  </si>
  <si>
    <t>PASS인증서 KISA 아이콘 URL 문의 및 휴대폰결제 GA4 태깅 문의 대응</t>
  </si>
  <si>
    <t>인증서 아이콘 호출 조건과 GA4 태깅 영향도 자동 분석으로 요청사항 추적성 향상</t>
  </si>
  <si>
    <t>iOS 27 베타 앱 크래시 점검, CVT 비밀번호 재설정 및 휴대폰결제 닫기 버튼 결함 확인 대응</t>
  </si>
  <si>
    <t>크래시 로그 원인 후보 분석과 CVT 재현 케이스 자동 생성하여 사이드 이슈 사전 확인</t>
  </si>
  <si>
    <t>권한 생성 확인 목록과 회원탈퇴 전문 초안 자동 생성하여 휴먼 에러 감소</t>
  </si>
  <si>
    <t>부가서비스·모바일신분증·통합인증 ngCAS 서비스 이관 신청서 작성</t>
  </si>
  <si>
    <t>서비스별 이관 신청서 초안과 영향도 체크리스트 자동 생성하여 문서 산출물 품질 균일화</t>
  </si>
  <si>
    <t>모바일신분증·통합인증 6월 2차 반영 건 리뷰 및 Cloudflare SSL 검수 조치 확인</t>
  </si>
  <si>
    <t>반영 리뷰 체크리스트와 SSL 검수 절차 자동 생성하여 배포 전 리스크 사전 식별</t>
  </si>
  <si>
    <t>부가서비스 NAS 교체 모니터링 및 검수환경 인증서 서버 haproxy IP 변경 확인 지원</t>
  </si>
  <si>
    <t>NAS 교체 영향도와 haproxy 변경 확인 절차 자동 생성하여 운영 리스크 사전 식별</t>
  </si>
  <si>
    <t>계정·외부망 권한 체크리스트와 교육 내용 요약 초안 자동 생성하여 요청사항 추적성 향상</t>
  </si>
  <si>
    <t>AOS 휴대폰결제 결제비밀번호·바코드 이동 규격 및 appAuth 파라미터 누락 보완 개발</t>
  </si>
  <si>
    <t>휴대폰결제 플로우 코드와 appAuth 검증 테스트 자동 생성하여 회귀 영향 범위 누락 방지</t>
  </si>
  <si>
    <t>AOS JWT CVT 서버PIN 전환, 업데이트 팝업, 안심클라우드 진입 결함 확인 대응</t>
  </si>
  <si>
    <t>JWT CVT 결함 재현 케이스 자동 생성하여 검수 항목 누락 방지</t>
  </si>
  <si>
    <t>안심클라우드 미노출 상태 서비스 진입 팝업 이동 및 잔여 기능 보완 개발</t>
  </si>
  <si>
    <t>안심클라우드 진입 상태별 처리 코드와 UI 테스트 자동 생성하여 예외 케이스 누락 감소</t>
  </si>
  <si>
    <t>부가서비스 유료가입창 디자인 적용 및 웹뷰 히스토리 backkey 팝업 처리 개발</t>
  </si>
  <si>
    <t>바텀시트·웹뷰 히스토리 처리 코드 자동 생성하여 화면 전환 오류 감소</t>
  </si>
  <si>
    <t>iOS 홈 쉬운화면모드 기획서 분석 및 화면 전환 구조 검토</t>
  </si>
  <si>
    <t>쉬운화면모드 화면 구조 초안과 영향도 체크리스트 자동 생성하여 설계 누락 방지</t>
  </si>
  <si>
    <t>iOS 27 베타 크래시, 휴대폰결제 닫기 버튼 무반응, 비밀번호 재설정 CVT 결함 확인 대응</t>
  </si>
  <si>
    <t>크래시 로그 분석과 CVT 재현 케이스 자동 생성하여 사이드 이슈 사전 확인</t>
  </si>
  <si>
    <t>휴대폰결제 차단해제·결제 프로세스 완료 화면 닫기 버튼 무반응 기존문제점 보완 개발</t>
  </si>
  <si>
    <t>휴대폰결제 페이지 히스토리 비교 코드와 버튼 이벤트 테스트 자동 생성하여 동일 유형 오류 재발 가능성 감소</t>
  </si>
  <si>
    <t>PASS인증서 KISA 이용기관 아이콘 URL 확인 및 iOS 인증 화면 영향도 검토</t>
  </si>
  <si>
    <t>인증서 URL 호출 조건과 iOS 표시 영향도 체크리스트 자동 생성하여 요청사항 추적성 향상</t>
  </si>
  <si>
    <t>모바일신분증·통합인증 ngCAS 서비스 이관 신청서 검토 및 API 연동 구조 점검</t>
  </si>
  <si>
    <t>ngCAS 이관 신청서 초안과 API 연동 검증 쿼리 자동 생성하여 연동 누락 방지</t>
  </si>
  <si>
    <t>모바일신분증 QR 실패 결과 이력 저장 성공률 하락 원인 확인 및 사이트명 처리 상이 이슈 후속 점검</t>
  </si>
  <si>
    <t>QR 실패 이력 검증 쿼리와 사이트명 매핑 테스트 자동 생성하여 장애 원인 후보 조기 식별</t>
  </si>
  <si>
    <t xml:space="preserve">PASS UI/UX 개선 </t>
    <phoneticPr fontId="9" type="noConversion"/>
  </si>
  <si>
    <t>PASS기능개발</t>
    <phoneticPr fontId="9" type="noConversion"/>
  </si>
  <si>
    <t>기능 고도화</t>
    <phoneticPr fontId="9" type="noConversion"/>
  </si>
  <si>
    <t>하</t>
    <phoneticPr fontId="9" type="noConversion"/>
  </si>
  <si>
    <t>AOS 모바일신분증 안면 등록 안내 및 면허증·주민증 등록 플로우 변경 개발</t>
    <phoneticPr fontId="9" type="noConversion"/>
  </si>
  <si>
    <t>부가서비스 통계 확인 및 부가서비스 상용 어드민 서버오류 팝업 확인 대응</t>
    <phoneticPr fontId="9" type="noConversion"/>
  </si>
  <si>
    <t>Bitbucket/Bamboo 추가 권한 생성 확인, 앱 회원 탈퇴 전문 정리 대응</t>
    <phoneticPr fontId="9" type="noConversion"/>
  </si>
  <si>
    <t>iOS 27 베타 앱 크래시 점검, 휴대폰결제 결제완료 화면 닫기 버튼 무반응 및 비밀번호 재설정 CVT 결함 확인 대응</t>
  </si>
  <si>
    <t>iOS 크래시 로그 원인 후보 분석과 CVT 재현 케이스 자동 생성하여 사이드 이슈 사전 확인</t>
  </si>
  <si>
    <t>오피스도우미 SDK 업데이트 iOS 적용 범위 확인 및 PASS주소록 문서공유 연동 후속 검토</t>
  </si>
  <si>
    <t>오피스도우미 SDK 연동 영향도와 주소록 문서공유 테스트 케이스 자동 생성하여 API 연동 영향 범위 명확화</t>
  </si>
  <si>
    <t>만료된 인증서 삭제 시 검증 전문 호출 제거 및 휴대폰결제 브릿지 화면 흐름 보완 개발</t>
  </si>
  <si>
    <t>인증서 삭제 검증 전문 호출 제거 코드와 휴대폰결제 브릿지 화면 테스트 자동 생성하여 회귀 영향 범위 누락 방지</t>
  </si>
  <si>
    <t>실제 협의는 이해관계 조율, 내부 판단, 대외 커뮤니케이션이 핵심이므로 AI 활용 효과가 제한적. 활용 방안 추가 모색</t>
    <phoneticPr fontId="9" type="noConversion"/>
  </si>
  <si>
    <t>Android개발자1</t>
    <phoneticPr fontId="9" type="noConversion"/>
  </si>
  <si>
    <t>iOS개발자1</t>
    <phoneticPr fontId="9" type="noConversion"/>
  </si>
  <si>
    <t>서버개발자1</t>
    <phoneticPr fontId="9" type="noConversion"/>
  </si>
  <si>
    <t>KAIT·신분증결제· Bitbucket 마이그레이션 및 Nexus 배포 방안 확인</t>
    <phoneticPr fontId="9" type="noConversion"/>
  </si>
  <si>
    <t>iOS 26.4 개인정보처리방침 정책 점검 및 CVT2차 앱 전달 대응</t>
    <phoneticPr fontId="9" type="noConversion"/>
  </si>
  <si>
    <t>Bitbucket 신규 Repository, KAIT·신분증결제 이관 및 CI/CD 작업 지원</t>
    <phoneticPr fontId="9" type="noConversion"/>
  </si>
  <si>
    <t>PASS인증서 FDS 적용 기획문서 작성 지원</t>
    <phoneticPr fontId="9" type="noConversion"/>
  </si>
  <si>
    <t>U+ 계정·외부망 접근 권한 확인 및 PASS 서버 구조 점검 후속 정리</t>
    <phoneticPr fontId="9" type="noConversion"/>
  </si>
  <si>
    <t>② AI활용내용은 구체적인 도구명과 활용 방법을 간략히 기술하세요. (예: "Copilot 코드 자동완성")</t>
    <phoneticPr fontId="9" type="noConversion"/>
  </si>
  <si>
    <t>기획자1</t>
    <phoneticPr fontId="9" type="noConversion"/>
  </si>
  <si>
    <t>중</t>
    <phoneticPr fontId="9" type="noConversion"/>
  </si>
  <si>
    <t>인증서 고도화</t>
    <phoneticPr fontId="9" type="noConversion"/>
  </si>
  <si>
    <t>면허증 개인정보 보안점검 관련 수집 현황 검토 및 개발자 협의, 사업팀 공유 및 문의 대응
- 신분증 서비스 별 데이터 보관 및 파기 현황 공유 (4/29)
- 신분증 데이터 테이블 별 필드 공유 (5/4)</t>
    <phoneticPr fontId="9" type="noConversion"/>
  </si>
  <si>
    <t>PASS전자고지 열람율 개선 고도화 검토
- 검수 환경 관리자 기관 로고 세팅
- 기획서 수정 및 기획/디자인/개발 협의 진행</t>
    <phoneticPr fontId="9" type="noConversion"/>
  </si>
  <si>
    <t>OS 별 최신 시스템 제스처 가이드라인 이슈 분석 및 기존 서비스 인터랙션과의 충돌 범위 사전 검토 시 활용함</t>
    <phoneticPr fontId="9" type="noConversion"/>
  </si>
  <si>
    <t>PASS인증서 생체인증 도입
- 기획서 수정, 개발 협의 및 문의 대응</t>
    <phoneticPr fontId="9" type="noConversion"/>
  </si>
  <si>
    <t>스와이프 뒤로가기 제스처 도입
- 기획서 수정, 개발 협의 및 문의 대응
- 타 서비스 및 현 버전의 앱 동작 테스트</t>
    <phoneticPr fontId="9" type="noConversion"/>
  </si>
  <si>
    <t>FDS 도입 후 인증서 발급 및 인증 중단에 따른 사용자 안내를 위한 보편적 가이드라인 분석 시 활용함</t>
    <phoneticPr fontId="9" type="noConversion"/>
  </si>
  <si>
    <t>인증서 FDS 도입
- FDS 도입을 위한 요구사항 분석
- 연동 규격 및 개발 가이드에 따른 기획서 초안 작성</t>
    <phoneticPr fontId="9" type="noConversion"/>
  </si>
  <si>
    <t>안면인증 통계 고도화
- 요구사항 분석, 기획서 작성, 개발 협의 및 문의 대응</t>
    <phoneticPr fontId="9" type="noConversion"/>
  </si>
  <si>
    <t>휴대폰결제 고도화 (결제비밀번호 도입, 인증수단 다각화, 바코드 바로가기 기능 추가)
- 휴대폰결제 개발 및 간편본인확인 서버 측과 연동 관련 협의
- 기획서 작성 및 수정, 내부 개발 협의 및 문의 대응</t>
    <phoneticPr fontId="9" type="noConversion"/>
  </si>
  <si>
    <t>※ 비용 절감 목적이 아닌, 업무 품질·효율 향상 관점에서 기입하시기 바랍니다.</t>
    <phoneticPr fontId="9" type="noConversion"/>
  </si>
  <si>
    <t>서버 연동 구조와 하위 호환성 리스크 파악, 개발 담당자 피드백의 기술적 개념과 통신 구조를 해석하는데 활용함</t>
    <phoneticPr fontId="9" type="noConversion"/>
  </si>
  <si>
    <t>생체인증 실패 시 대체 인증 수단 전환 설계를 위한 다양한 예외 케이스 설계 및 구체화 시 활용함</t>
    <phoneticPr fontId="9" type="noConversion"/>
  </si>
  <si>
    <t>지표 설계 및 기획서 초안 작성 시 활용함</t>
    <phoneticPr fontId="9" type="noConversion"/>
  </si>
  <si>
    <t>6월 앱업데이트
- 서버 상용 반영 모니터링 및 관리자 데이터 세팅
- CVT 대응</t>
    <phoneticPr fontId="9" type="noConversion"/>
  </si>
  <si>
    <t>PASS지갑 SDK 업데이트
- 개발 검토 요청
- SDK 마감일정 조율 및 배포 일정 안내</t>
    <phoneticPr fontId="9" type="noConversion"/>
  </si>
  <si>
    <t>펫신분증 운영 대응
1. 하위서비스(펫세권) UI 개편 상용 반영 후 테스트
2. CP 데이터 초기화에 따른 PASS 가입 정보 초기화 대응
3. 검수 테스트 데이터 발급 요청
4. 검수앱 배포 요청 및 전달</t>
    <phoneticPr fontId="9" type="noConversion"/>
  </si>
  <si>
    <t>MIS 신원인증 안면인증 예외 처리
- 기획서 초안 작성 및 개발 검토 요청</t>
    <phoneticPr fontId="9" type="noConversion"/>
  </si>
  <si>
    <t>시민증 도입
- 기획서 분석, 개발 협의 및 문의 대응, 개발 일정 협의
- QR/결제 적용 시안 디자인 작업 및 전달</t>
    <phoneticPr fontId="9" type="noConversion"/>
  </si>
  <si>
    <t xml:space="preserve">신분증 운영 대응
1. 안면인증 실패 통계 공유 
- 주차 별 통계 수동 추출 요청, 검증 및 공유 (5월 4주차~5월 5주차)
2. 면허증 작업공지 등록 요청 (1건)
3. 통합인증서버 IMEI 조회 중단에 따른 앱 안내 로직 확인 및 U+ 공유
4. 면허증 가맹점 및 인증 데이터 추출 기준 정리 및 요청 </t>
    <phoneticPr fontId="9" type="noConversion"/>
  </si>
  <si>
    <t xml:space="preserve">PASS지갑 운영 대응
1. 검수 증명서 발급 오류 확인 요청 및 테스트
2. 검수 전자고지 PUSH 발송 오류 확인 요청 및 테스트
3. 검수 서비스 진입 오류 확인 요청 및 테스트
4. IP 추가 등록 요청 </t>
    <phoneticPr fontId="9" type="noConversion"/>
  </si>
  <si>
    <t>MY 고도화
- 개발 방식 및 운영사항 개발팀 협의
- MY 개선사항 기획서 업데이트</t>
    <phoneticPr fontId="9" type="noConversion"/>
  </si>
  <si>
    <t>• "기획서 초안 작성 보조"
• "요구사항 정리 AI 활용"
• "기능 명세서 구조 생성 보조"
• "경쟁사 분석 자료 정리 보조"</t>
    <phoneticPr fontId="9" type="noConversion"/>
  </si>
  <si>
    <t>미활용</t>
    <phoneticPr fontId="9" type="noConversion"/>
  </si>
  <si>
    <t>PASS주소록 - 신원인증 기능 추가
- CP사 제안서 검토 및 정책 관련 문의
- 기획서 업데이트</t>
    <phoneticPr fontId="9" type="noConversion"/>
  </si>
  <si>
    <t>5월</t>
    <phoneticPr fontId="9" type="noConversion"/>
  </si>
  <si>
    <t>PASS클라우드
- CP사 운영 SDK 개발 전달
- CVT 이슈 관련 CP사&amp;개발&amp;QA 문의 확인 및 F/U
- 구글클라우드 oAuth 이슈 관련 U+ 공유 및 협의
- 서비스 약관 어드민 세팅(검수)
- 검수환경 방화벽 해제 요청 건 F/U</t>
    <phoneticPr fontId="9" type="noConversion"/>
  </si>
  <si>
    <t>PASS클라우드
- CVT 이슈 관련 CP사&amp;개발&amp;QA 문의 확인 및 F/U
- 구글클라우드 oAuth 이슈 및 스토어 심사 관련 F/U
- 서비스 약관 어드민 세팅(상용)</t>
    <phoneticPr fontId="9" type="noConversion"/>
  </si>
  <si>
    <t>6월</t>
    <phoneticPr fontId="9" type="noConversion"/>
  </si>
  <si>
    <t>셀로
- 미사용 회원 삭제 관련 개발 방식 관련 개발&amp;CP 협의
- 일반서비스 검수서버 방화벽 해제 완료 확인
금융혜택
- 통신위성 발사하기 알뜰폰 테스트 진행 및 결과 CP사 회신</t>
    <phoneticPr fontId="9" type="noConversion"/>
  </si>
  <si>
    <t>메인 홈 개편
- 기획 요건 정리 및 기획서 초안 작성
- 메인 홈 디자인 요청</t>
    <phoneticPr fontId="9" type="noConversion"/>
  </si>
  <si>
    <t>PASS주소록 서비스 소개서 작성 및 전달</t>
    <phoneticPr fontId="12" type="noConversion"/>
  </si>
  <si>
    <t>메인 홈 개편
- 기획 요건 정리 및 기획서 초안 작성</t>
    <phoneticPr fontId="9" type="noConversion"/>
  </si>
  <si>
    <t>셀로
- 미사용 회원 삭제 관련 개발 방식 관련 개발&amp;CP 협의
- 검수환경 탈퇴 오류 관련 F/U
폴라리스오피스
- 오피스스캐너 관련 회의
웹툰
- 검수환경 진입 오류 관련 F/U</t>
    <phoneticPr fontId="9" type="noConversion"/>
  </si>
  <si>
    <t>PASS클라우드
- 일정 공유 및 8월 개발 항목 확인
- 검수환경 진입 오류 관련 CP사 확인
- 최종 기획서 수급 일정 문의</t>
    <phoneticPr fontId="9" type="noConversion"/>
  </si>
  <si>
    <t xml:space="preserve">PASS U+ 월간회의 : 개발항목 협의 </t>
    <phoneticPr fontId="12" type="noConversion"/>
  </si>
  <si>
    <t>PASS주소록 - 고도화
- 8월 버전 기획서 초안 작성
- 페이백쇼핑 반영 관련 CP사 협의
- 온보딩 가이드 디자인 요청 및 검수</t>
    <phoneticPr fontId="9" type="noConversion"/>
  </si>
  <si>
    <t>PASS주소록 - 고도화
- 페이백쇼핑 반영 관련 CP사 협의
- 문서공유 오류 수정 관련 검증
- 문서공유 기능 관련 수정사항 CP사 협의(w.폴라리스오피스)</t>
    <phoneticPr fontId="9" type="noConversion"/>
  </si>
  <si>
    <t>하</t>
    <phoneticPr fontId="9" type="noConversion"/>
  </si>
  <si>
    <t>기획서 초안 작성 및 UI 구성 방향 검토 시 보조적으로 활용함</t>
    <phoneticPr fontId="9" type="noConversion"/>
  </si>
  <si>
    <t>신원인증 기능 관련 정책 검토 및 문서 정리를 보조적으로 수행</t>
    <phoneticPr fontId="9" type="noConversion"/>
  </si>
  <si>
    <t>5월 28일</t>
    <phoneticPr fontId="9" type="noConversion"/>
  </si>
  <si>
    <t>ㄴ26년 6월 앱 배포 검수</t>
    <phoneticPr fontId="9" type="noConversion"/>
  </si>
  <si>
    <t>6월 4일</t>
    <phoneticPr fontId="9" type="noConversion"/>
  </si>
  <si>
    <t>ㄴ JWT 도입에 따른 앱 진입/인증 흐름 개선</t>
    <phoneticPr fontId="9" type="noConversion"/>
  </si>
  <si>
    <t xml:space="preserve"> JWT 도입에 따른 앱 진입/인증 흐름 개선
- DVT 검증</t>
    <phoneticPr fontId="12" type="noConversion"/>
  </si>
  <si>
    <t>6월 9일</t>
    <phoneticPr fontId="9" type="noConversion"/>
  </si>
  <si>
    <t xml:space="preserve"> JWT 도입에 따른 앱 진입/인증 흐름 개선
- CVT 1차 검증</t>
    <phoneticPr fontId="12" type="noConversion"/>
  </si>
  <si>
    <t>6월 18일</t>
    <phoneticPr fontId="9" type="noConversion"/>
  </si>
  <si>
    <t>26년 6월 개편 앱 CVT 1차 대응
- CVT 1차 검증</t>
    <phoneticPr fontId="12" type="noConversion"/>
  </si>
  <si>
    <t>26년 6월 개편 앱 CVT 2차 대응
- CVT 2차 검증</t>
    <phoneticPr fontId="12" type="noConversion"/>
  </si>
  <si>
    <t>26년 6월 개편 앱 CVT 1차 대응
1. 검증 앱 정보 전달(입고)
2. CVT 1차 검증 앱 리그레션 테스트</t>
    <phoneticPr fontId="12" type="noConversion"/>
  </si>
  <si>
    <t>26년 6월 개편 앱 CVT 2차 대응
1. 검증 앱 정보 전달(입고)
2. CVT 2차 검증 앱 리그레션 테스트</t>
    <phoneticPr fontId="12" type="noConversion"/>
  </si>
  <si>
    <t xml:space="preserve"> JWT 도입에 따른 앱 진입/인증 흐름 개선
1. 검증 앱 정보 전달(입고)
2. CVT 1차 검증 앱 리그레션 테스트</t>
    <phoneticPr fontId="12" type="noConversion"/>
  </si>
  <si>
    <t>신규서비스개발</t>
    <phoneticPr fontId="9" type="noConversion"/>
  </si>
  <si>
    <t>온보딩페이지내 화면 현행화 적용</t>
    <phoneticPr fontId="9" type="noConversion"/>
  </si>
  <si>
    <t>디자이너2</t>
    <phoneticPr fontId="9" type="noConversion"/>
  </si>
  <si>
    <t>기존 작업된 화면 활용하였음</t>
    <phoneticPr fontId="9" type="noConversion"/>
  </si>
  <si>
    <t>마케팅</t>
    <phoneticPr fontId="9" type="noConversion"/>
  </si>
  <si>
    <t>PASS활성화 이벤트</t>
    <phoneticPr fontId="9" type="noConversion"/>
  </si>
  <si>
    <t>- 주소록X더치트프리미엄 이벤트 당첨자 페이지 디자인 
- 이벤트 배너 디자인</t>
    <phoneticPr fontId="9" type="noConversion"/>
  </si>
  <si>
    <t>배너용 그래픽 리소스 생성 활용</t>
    <phoneticPr fontId="9" type="noConversion"/>
  </si>
  <si>
    <t>ㄴ주소록 오픈 이벤트 (with 오피스도우미)</t>
    <phoneticPr fontId="9" type="noConversion"/>
  </si>
  <si>
    <t>주소록 오피스도우미 이벤트페이지 내 랭킹 영역 및 고지사항 수정</t>
    <phoneticPr fontId="9" type="noConversion"/>
  </si>
  <si>
    <t>기존 작업된 화면에서 수정하여 AI활용 불필요</t>
    <phoneticPr fontId="9" type="noConversion"/>
  </si>
  <si>
    <t>PASS쉬운화면
- 메인 페이지 초안 디자인
- 설정 영역 변경사항 적용</t>
    <phoneticPr fontId="9" type="noConversion"/>
  </si>
  <si>
    <t>화면 내 아이콘 디자인 초안 생성 및 UI 레퍼런스 참고</t>
    <phoneticPr fontId="9" type="noConversion"/>
  </si>
  <si>
    <t>신규사업 개발</t>
    <phoneticPr fontId="9" type="noConversion"/>
  </si>
  <si>
    <t>ㄴPASS안심클라우드</t>
    <phoneticPr fontId="9" type="noConversion"/>
  </si>
  <si>
    <t>안심클라우드 7월 이벤트 티징 배너 제작</t>
    <phoneticPr fontId="9" type="noConversion"/>
  </si>
  <si>
    <t>배너 내 비주얼 에셋 생성에 활용</t>
    <phoneticPr fontId="9" type="noConversion"/>
  </si>
  <si>
    <t>5월 27일</t>
    <phoneticPr fontId="9" type="noConversion"/>
  </si>
  <si>
    <t>디자이너1</t>
    <phoneticPr fontId="9" type="noConversion"/>
  </si>
  <si>
    <t>앱스토어 스크린샷 현행화</t>
    <phoneticPr fontId="9" type="noConversion"/>
  </si>
  <si>
    <t>6월</t>
  </si>
  <si>
    <t>휴대폰결제 Home, 설정 화면 디자인</t>
    <phoneticPr fontId="9" type="noConversion"/>
  </si>
  <si>
    <t>5월29일</t>
    <phoneticPr fontId="9" type="noConversion"/>
  </si>
  <si>
    <t>통신위성 발사하기 icon, 마케팅 배너 제작</t>
    <phoneticPr fontId="9" type="noConversion"/>
  </si>
  <si>
    <t>6월 1일</t>
    <phoneticPr fontId="9" type="noConversion"/>
  </si>
  <si>
    <t>아이디어 및 레퍼런스 참고용으로 활용</t>
    <phoneticPr fontId="9" type="noConversion"/>
  </si>
  <si>
    <t>안면인증 필수 적용 화면 디자인</t>
    <phoneticPr fontId="9" type="noConversion"/>
  </si>
  <si>
    <t>6월8일</t>
    <phoneticPr fontId="9" type="noConversion"/>
  </si>
  <si>
    <t>PASS인증서 생체인증 수단 추가 수정 및 신규화면 디자인</t>
    <phoneticPr fontId="9" type="noConversion"/>
  </si>
  <si>
    <t>6월 10일</t>
    <phoneticPr fontId="9" type="noConversion"/>
  </si>
  <si>
    <t>부가서비스 유료가입창 바텀시트 가이드 디자인</t>
    <phoneticPr fontId="9" type="noConversion"/>
  </si>
  <si>
    <t>6월 15일</t>
    <phoneticPr fontId="9" type="noConversion"/>
  </si>
  <si>
    <t>메인 홈 개편 디자인 초안 제작</t>
    <phoneticPr fontId="9" type="noConversion"/>
  </si>
  <si>
    <t>디자인 초안 작업 시 구성 참고용으로 활용</t>
    <phoneticPr fontId="9" type="noConversion"/>
  </si>
  <si>
    <t>- 주소록X더치트프리미엄 이벤트 당첨자 페이지 화면 퍼블</t>
    <phoneticPr fontId="9" type="noConversion"/>
  </si>
  <si>
    <t>퍼블리셔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</si>
</sst>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m/dd;@"/>
    <numFmt numFmtId="177" formatCode="0.00_ "/>
    <numFmt numFmtId="178" formatCode="0.00_);[Red]\(0.00\)"/>
    <numFmt numFmtId="179" formatCode="_-* #,##0.00_-;\-* #,##0.00_-;_-* &quot;-&quot;_-;_-@_-"/>
    <numFmt numFmtId="180" formatCode="m&quot;월&quot;\ d&quot;일&quot;;@"/>
    <numFmt numFmtId="181" formatCode="m&quot;월&quot;\ d&quot;일&quot;"/>
    <numFmt numFmtId="182" formatCode="mm&quot;월&quot;\ dd&quot;일&quot;"/>
  </numFmts>
  <fonts count="2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rgb="FF1F3864"/>
      <name val="맑은 고딕"/>
      <family val="3"/>
      <charset val="129"/>
    </font>
    <font>
      <sz val="9"/>
      <color rgb="FF99999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10"/>
      <color rgb="FF00000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굴림"/>
      <family val="3"/>
      <charset val="129"/>
    </font>
    <font>
      <sz val="10"/>
      <color theme="0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ED7D31"/>
        <bgColor rgb="FFED7D31"/>
      </patternFill>
    </fill>
    <fill>
      <patternFill patternType="solid">
        <fgColor rgb="FFF2F2F2"/>
        <bgColor rgb="FFF2F2F2"/>
      </patternFill>
    </fill>
    <fill>
      <patternFill patternType="solid">
        <fgColor rgb="FFFBE5D6"/>
        <bgColor rgb="FFFBE5D6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 style="thin">
        <color rgb="FFB4B4B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>
      <alignment vertical="center"/>
    </xf>
  </cellStyleXfs>
  <cellXfs count="376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10" fillId="0" borderId="1" xfId="1" applyFont="1" applyAlignment="1">
      <alignment vertical="center" wrapText="1"/>
    </xf>
    <xf numFmtId="0" fontId="11" fillId="0" borderId="1" xfId="1" applyFont="1" applyAlignment="1">
      <alignment vertical="center" wrapText="1"/>
    </xf>
    <xf numFmtId="0" fontId="11" fillId="0" borderId="1" xfId="1" applyFont="1">
      <alignment vertical="center"/>
    </xf>
    <xf numFmtId="0" fontId="11" fillId="0" borderId="1" xfId="1" quotePrefix="1" applyFont="1">
      <alignment vertical="center"/>
    </xf>
    <xf numFmtId="0" fontId="11" fillId="0" borderId="1" xfId="1" applyFont="1" applyAlignment="1">
      <alignment horizontal="center" vertical="center"/>
    </xf>
    <xf numFmtId="176" fontId="11" fillId="0" borderId="1" xfId="1" applyNumberFormat="1" applyFont="1">
      <alignment vertical="center"/>
    </xf>
    <xf numFmtId="176" fontId="11" fillId="0" borderId="1" xfId="1" applyNumberFormat="1" applyFont="1" applyAlignment="1">
      <alignment horizontal="center" vertical="center"/>
    </xf>
    <xf numFmtId="0" fontId="13" fillId="0" borderId="1" xfId="1" applyFont="1">
      <alignment vertical="center"/>
    </xf>
    <xf numFmtId="0" fontId="14" fillId="0" borderId="1" xfId="1" applyFont="1">
      <alignment vertical="center"/>
    </xf>
    <xf numFmtId="0" fontId="14" fillId="0" borderId="1" xfId="1" quotePrefix="1" applyFont="1">
      <alignment vertical="center"/>
    </xf>
    <xf numFmtId="0" fontId="10" fillId="10" borderId="4" xfId="1" applyFont="1" applyFill="1" applyBorder="1" applyAlignment="1">
      <alignment vertical="center" wrapText="1"/>
    </xf>
    <xf numFmtId="0" fontId="10" fillId="10" borderId="5" xfId="1" applyFont="1" applyFill="1" applyBorder="1" applyAlignment="1">
      <alignment vertical="center" wrapText="1"/>
    </xf>
    <xf numFmtId="0" fontId="10" fillId="10" borderId="6" xfId="1" applyFont="1" applyFill="1" applyBorder="1">
      <alignment vertical="center"/>
    </xf>
    <xf numFmtId="0" fontId="10" fillId="10" borderId="5" xfId="1" applyFont="1" applyFill="1" applyBorder="1">
      <alignment vertical="center"/>
    </xf>
    <xf numFmtId="0" fontId="10" fillId="10" borderId="4" xfId="1" applyFont="1" applyFill="1" applyBorder="1" applyAlignment="1">
      <alignment horizontal="center" vertical="center"/>
    </xf>
    <xf numFmtId="0" fontId="10" fillId="10" borderId="6" xfId="1" applyFont="1" applyFill="1" applyBorder="1" applyAlignment="1">
      <alignment horizontal="center" vertical="center"/>
    </xf>
    <xf numFmtId="0" fontId="10" fillId="0" borderId="1" xfId="1" applyFont="1">
      <alignment vertical="center"/>
    </xf>
    <xf numFmtId="0" fontId="10" fillId="10" borderId="8" xfId="1" applyFont="1" applyFill="1" applyBorder="1" applyAlignment="1">
      <alignment vertical="center" wrapText="1"/>
    </xf>
    <xf numFmtId="0" fontId="10" fillId="10" borderId="6" xfId="1" applyFont="1" applyFill="1" applyBorder="1" applyAlignment="1">
      <alignment vertical="center" wrapText="1"/>
    </xf>
    <xf numFmtId="0" fontId="10" fillId="10" borderId="7" xfId="1" applyFont="1" applyFill="1" applyBorder="1">
      <alignment vertical="center"/>
    </xf>
    <xf numFmtId="0" fontId="10" fillId="10" borderId="4" xfId="1" applyFont="1" applyFill="1" applyBorder="1">
      <alignment vertical="center"/>
    </xf>
    <xf numFmtId="176" fontId="10" fillId="10" borderId="6" xfId="1" applyNumberFormat="1" applyFont="1" applyFill="1" applyBorder="1" applyAlignment="1">
      <alignment horizontal="center" vertical="center"/>
    </xf>
    <xf numFmtId="0" fontId="15" fillId="0" borderId="9" xfId="1" applyFont="1" applyBorder="1" applyAlignment="1">
      <alignment vertical="center" wrapText="1"/>
    </xf>
    <xf numFmtId="0" fontId="15" fillId="0" borderId="1" xfId="1" applyFont="1" applyAlignment="1">
      <alignment vertical="center" wrapText="1"/>
    </xf>
    <xf numFmtId="49" fontId="16" fillId="0" borderId="10" xfId="1" applyNumberFormat="1" applyFont="1" applyBorder="1" applyAlignment="1">
      <alignment horizontal="center" vertical="center"/>
    </xf>
    <xf numFmtId="0" fontId="16" fillId="0" borderId="1" xfId="1" applyFont="1">
      <alignment vertical="center"/>
    </xf>
    <xf numFmtId="0" fontId="16" fillId="0" borderId="9" xfId="1" applyFont="1" applyBorder="1" applyAlignment="1">
      <alignment horizontal="center" vertical="center"/>
    </xf>
    <xf numFmtId="176" fontId="16" fillId="0" borderId="1" xfId="1" applyNumberFormat="1" applyFont="1">
      <alignment vertical="center"/>
    </xf>
    <xf numFmtId="176" fontId="16" fillId="0" borderId="1" xfId="1" applyNumberFormat="1" applyFont="1" applyAlignment="1">
      <alignment horizontal="center" vertical="center"/>
    </xf>
    <xf numFmtId="0" fontId="16" fillId="0" borderId="1" xfId="1" applyFont="1" applyAlignment="1">
      <alignment horizontal="center" vertical="center"/>
    </xf>
    <xf numFmtId="177" fontId="11" fillId="0" borderId="9" xfId="1" applyNumberFormat="1" applyFont="1" applyBorder="1">
      <alignment vertical="center"/>
    </xf>
    <xf numFmtId="177" fontId="16" fillId="0" borderId="1" xfId="1" applyNumberFormat="1" applyFont="1">
      <alignment vertical="center"/>
    </xf>
    <xf numFmtId="177" fontId="16" fillId="0" borderId="9" xfId="1" applyNumberFormat="1" applyFont="1" applyBorder="1">
      <alignment vertical="center"/>
    </xf>
    <xf numFmtId="177" fontId="16" fillId="0" borderId="10" xfId="1" applyNumberFormat="1" applyFont="1" applyBorder="1">
      <alignment vertical="center"/>
    </xf>
    <xf numFmtId="178" fontId="16" fillId="0" borderId="10" xfId="1" applyNumberFormat="1" applyFont="1" applyBorder="1">
      <alignment vertical="center"/>
    </xf>
    <xf numFmtId="178" fontId="16" fillId="0" borderId="11" xfId="1" applyNumberFormat="1" applyFont="1" applyBorder="1">
      <alignment vertical="center"/>
    </xf>
    <xf numFmtId="0" fontId="17" fillId="0" borderId="1" xfId="1" applyFont="1">
      <alignment vertical="center"/>
    </xf>
    <xf numFmtId="0" fontId="16" fillId="0" borderId="1" xfId="1" applyFont="1" applyAlignment="1">
      <alignment horizontal="left" vertical="center" wrapText="1"/>
    </xf>
    <xf numFmtId="0" fontId="18" fillId="11" borderId="9" xfId="1" applyFont="1" applyFill="1" applyBorder="1" applyAlignment="1">
      <alignment vertical="center" wrapText="1"/>
    </xf>
    <xf numFmtId="0" fontId="18" fillId="11" borderId="1" xfId="1" applyFont="1" applyFill="1" applyAlignment="1">
      <alignment vertical="center" wrapText="1"/>
    </xf>
    <xf numFmtId="0" fontId="14" fillId="11" borderId="1" xfId="1" applyFont="1" applyFill="1" applyAlignment="1">
      <alignment horizontal="left" vertical="center" wrapText="1"/>
    </xf>
    <xf numFmtId="49" fontId="14" fillId="11" borderId="10" xfId="1" applyNumberFormat="1" applyFont="1" applyFill="1" applyBorder="1" applyAlignment="1">
      <alignment horizontal="center" vertical="center"/>
    </xf>
    <xf numFmtId="0" fontId="14" fillId="11" borderId="1" xfId="1" applyFont="1" applyFill="1">
      <alignment vertical="center"/>
    </xf>
    <xf numFmtId="0" fontId="14" fillId="11" borderId="9" xfId="1" applyFont="1" applyFill="1" applyBorder="1" applyAlignment="1">
      <alignment horizontal="center" vertical="center"/>
    </xf>
    <xf numFmtId="176" fontId="14" fillId="11" borderId="1" xfId="1" applyNumberFormat="1" applyFont="1" applyFill="1">
      <alignment vertical="center"/>
    </xf>
    <xf numFmtId="176" fontId="14" fillId="11" borderId="1" xfId="1" applyNumberFormat="1" applyFont="1" applyFill="1" applyAlignment="1">
      <alignment horizontal="center" vertical="center"/>
    </xf>
    <xf numFmtId="0" fontId="14" fillId="11" borderId="1" xfId="1" applyFont="1" applyFill="1" applyAlignment="1">
      <alignment horizontal="center" vertical="center"/>
    </xf>
    <xf numFmtId="0" fontId="14" fillId="11" borderId="11" xfId="1" applyFont="1" applyFill="1" applyBorder="1" applyAlignment="1">
      <alignment horizontal="center" vertical="center"/>
    </xf>
    <xf numFmtId="177" fontId="14" fillId="11" borderId="9" xfId="1" applyNumberFormat="1" applyFont="1" applyFill="1" applyBorder="1">
      <alignment vertical="center"/>
    </xf>
    <xf numFmtId="177" fontId="14" fillId="11" borderId="1" xfId="1" applyNumberFormat="1" applyFont="1" applyFill="1">
      <alignment vertical="center"/>
    </xf>
    <xf numFmtId="177" fontId="14" fillId="11" borderId="10" xfId="1" applyNumberFormat="1" applyFont="1" applyFill="1" applyBorder="1">
      <alignment vertical="center"/>
    </xf>
    <xf numFmtId="177" fontId="16" fillId="11" borderId="10" xfId="1" applyNumberFormat="1" applyFont="1" applyFill="1" applyBorder="1">
      <alignment vertical="center"/>
    </xf>
    <xf numFmtId="178" fontId="14" fillId="11" borderId="10" xfId="1" applyNumberFormat="1" applyFont="1" applyFill="1" applyBorder="1">
      <alignment vertical="center"/>
    </xf>
    <xf numFmtId="178" fontId="14" fillId="11" borderId="11" xfId="1" applyNumberFormat="1" applyFont="1" applyFill="1" applyBorder="1">
      <alignment vertical="center"/>
    </xf>
    <xf numFmtId="176" fontId="16" fillId="0" borderId="11" xfId="1" applyNumberFormat="1" applyFont="1" applyBorder="1" applyAlignment="1">
      <alignment horizontal="center" vertical="center"/>
    </xf>
    <xf numFmtId="0" fontId="15" fillId="12" borderId="9" xfId="1" applyFont="1" applyFill="1" applyBorder="1" applyAlignment="1">
      <alignment vertical="center" wrapText="1"/>
    </xf>
    <xf numFmtId="0" fontId="15" fillId="12" borderId="1" xfId="1" applyFont="1" applyFill="1" applyAlignment="1">
      <alignment vertical="center" wrapText="1"/>
    </xf>
    <xf numFmtId="0" fontId="16" fillId="12" borderId="1" xfId="1" applyFont="1" applyFill="1" applyAlignment="1">
      <alignment horizontal="left" vertical="center" wrapText="1"/>
    </xf>
    <xf numFmtId="49" fontId="16" fillId="12" borderId="10" xfId="1" applyNumberFormat="1" applyFont="1" applyFill="1" applyBorder="1" applyAlignment="1">
      <alignment horizontal="center" vertical="center"/>
    </xf>
    <xf numFmtId="0" fontId="16" fillId="12" borderId="1" xfId="1" applyFont="1" applyFill="1">
      <alignment vertical="center"/>
    </xf>
    <xf numFmtId="0" fontId="16" fillId="12" borderId="9" xfId="1" applyFont="1" applyFill="1" applyBorder="1" applyAlignment="1">
      <alignment horizontal="center" vertical="center"/>
    </xf>
    <xf numFmtId="176" fontId="16" fillId="12" borderId="1" xfId="1" applyNumberFormat="1" applyFont="1" applyFill="1">
      <alignment vertical="center"/>
    </xf>
    <xf numFmtId="176" fontId="16" fillId="12" borderId="1" xfId="1" applyNumberFormat="1" applyFont="1" applyFill="1" applyAlignment="1">
      <alignment horizontal="center" vertical="center"/>
    </xf>
    <xf numFmtId="0" fontId="16" fillId="12" borderId="1" xfId="1" applyFont="1" applyFill="1" applyAlignment="1">
      <alignment horizontal="center" vertical="center"/>
    </xf>
    <xf numFmtId="0" fontId="16" fillId="12" borderId="11" xfId="1" applyFont="1" applyFill="1" applyBorder="1" applyAlignment="1">
      <alignment horizontal="center" vertical="center"/>
    </xf>
    <xf numFmtId="177" fontId="11" fillId="12" borderId="9" xfId="1" applyNumberFormat="1" applyFont="1" applyFill="1" applyBorder="1">
      <alignment vertical="center"/>
    </xf>
    <xf numFmtId="177" fontId="16" fillId="12" borderId="10" xfId="1" applyNumberFormat="1" applyFont="1" applyFill="1" applyBorder="1">
      <alignment vertical="center"/>
    </xf>
    <xf numFmtId="178" fontId="16" fillId="12" borderId="10" xfId="1" applyNumberFormat="1" applyFont="1" applyFill="1" applyBorder="1">
      <alignment vertical="center"/>
    </xf>
    <xf numFmtId="178" fontId="16" fillId="12" borderId="11" xfId="1" applyNumberFormat="1" applyFont="1" applyFill="1" applyBorder="1">
      <alignment vertical="center"/>
    </xf>
    <xf numFmtId="0" fontId="17" fillId="12" borderId="1" xfId="1" applyFont="1" applyFill="1">
      <alignment vertical="center"/>
    </xf>
    <xf numFmtId="0" fontId="15" fillId="13" borderId="9" xfId="1" applyFont="1" applyFill="1" applyBorder="1" applyAlignment="1">
      <alignment vertical="center" wrapText="1"/>
    </xf>
    <xf numFmtId="0" fontId="15" fillId="13" borderId="1" xfId="1" applyFont="1" applyFill="1" applyAlignment="1">
      <alignment vertical="center" wrapText="1"/>
    </xf>
    <xf numFmtId="0" fontId="16" fillId="13" borderId="1" xfId="1" applyFont="1" applyFill="1" applyAlignment="1">
      <alignment horizontal="left" vertical="center" wrapText="1"/>
    </xf>
    <xf numFmtId="49" fontId="16" fillId="13" borderId="10" xfId="1" applyNumberFormat="1" applyFont="1" applyFill="1" applyBorder="1" applyAlignment="1">
      <alignment horizontal="center" vertical="center"/>
    </xf>
    <xf numFmtId="0" fontId="16" fillId="13" borderId="1" xfId="1" applyFont="1" applyFill="1">
      <alignment vertical="center"/>
    </xf>
    <xf numFmtId="0" fontId="14" fillId="13" borderId="9" xfId="1" applyFont="1" applyFill="1" applyBorder="1" applyAlignment="1">
      <alignment horizontal="center" vertical="center"/>
    </xf>
    <xf numFmtId="176" fontId="16" fillId="13" borderId="1" xfId="1" applyNumberFormat="1" applyFont="1" applyFill="1">
      <alignment vertical="center"/>
    </xf>
    <xf numFmtId="176" fontId="16" fillId="13" borderId="1" xfId="1" applyNumberFormat="1" applyFont="1" applyFill="1" applyAlignment="1">
      <alignment horizontal="center" vertical="center"/>
    </xf>
    <xf numFmtId="176" fontId="14" fillId="13" borderId="1" xfId="1" applyNumberFormat="1" applyFont="1" applyFill="1" applyAlignment="1">
      <alignment horizontal="center" vertical="center"/>
    </xf>
    <xf numFmtId="0" fontId="16" fillId="13" borderId="9" xfId="1" applyFont="1" applyFill="1" applyBorder="1" applyAlignment="1">
      <alignment horizontal="center" vertical="center"/>
    </xf>
    <xf numFmtId="0" fontId="16" fillId="13" borderId="1" xfId="1" applyFont="1" applyFill="1" applyAlignment="1">
      <alignment horizontal="center" vertical="center"/>
    </xf>
    <xf numFmtId="0" fontId="16" fillId="13" borderId="11" xfId="1" applyFont="1" applyFill="1" applyBorder="1" applyAlignment="1">
      <alignment horizontal="center" vertical="center"/>
    </xf>
    <xf numFmtId="177" fontId="11" fillId="13" borderId="9" xfId="1" applyNumberFormat="1" applyFont="1" applyFill="1" applyBorder="1">
      <alignment vertical="center"/>
    </xf>
    <xf numFmtId="177" fontId="14" fillId="13" borderId="1" xfId="1" applyNumberFormat="1" applyFont="1" applyFill="1">
      <alignment vertical="center"/>
    </xf>
    <xf numFmtId="177" fontId="14" fillId="13" borderId="9" xfId="1" applyNumberFormat="1" applyFont="1" applyFill="1" applyBorder="1">
      <alignment vertical="center"/>
    </xf>
    <xf numFmtId="177" fontId="14" fillId="13" borderId="10" xfId="1" applyNumberFormat="1" applyFont="1" applyFill="1" applyBorder="1">
      <alignment vertical="center"/>
    </xf>
    <xf numFmtId="177" fontId="16" fillId="13" borderId="10" xfId="1" applyNumberFormat="1" applyFont="1" applyFill="1" applyBorder="1">
      <alignment vertical="center"/>
    </xf>
    <xf numFmtId="178" fontId="16" fillId="13" borderId="10" xfId="1" applyNumberFormat="1" applyFont="1" applyFill="1" applyBorder="1">
      <alignment vertical="center"/>
    </xf>
    <xf numFmtId="178" fontId="16" fillId="13" borderId="11" xfId="1" applyNumberFormat="1" applyFont="1" applyFill="1" applyBorder="1">
      <alignment vertical="center"/>
    </xf>
    <xf numFmtId="0" fontId="17" fillId="13" borderId="1" xfId="1" applyFont="1" applyFill="1">
      <alignment vertical="center"/>
    </xf>
    <xf numFmtId="0" fontId="14" fillId="12" borderId="9" xfId="1" applyFont="1" applyFill="1" applyBorder="1" applyAlignment="1">
      <alignment horizontal="center" vertical="center"/>
    </xf>
    <xf numFmtId="176" fontId="14" fillId="12" borderId="1" xfId="1" applyNumberFormat="1" applyFont="1" applyFill="1" applyAlignment="1">
      <alignment horizontal="center" vertical="center"/>
    </xf>
    <xf numFmtId="177" fontId="14" fillId="12" borderId="1" xfId="1" applyNumberFormat="1" applyFont="1" applyFill="1">
      <alignment vertical="center"/>
    </xf>
    <xf numFmtId="177" fontId="14" fillId="12" borderId="9" xfId="1" applyNumberFormat="1" applyFont="1" applyFill="1" applyBorder="1">
      <alignment vertical="center"/>
    </xf>
    <xf numFmtId="177" fontId="14" fillId="12" borderId="10" xfId="1" applyNumberFormat="1" applyFont="1" applyFill="1" applyBorder="1">
      <alignment vertical="center"/>
    </xf>
    <xf numFmtId="0" fontId="16" fillId="0" borderId="1" xfId="1" applyFont="1" applyAlignment="1">
      <alignment vertical="center" wrapText="1"/>
    </xf>
    <xf numFmtId="0" fontId="16" fillId="0" borderId="11" xfId="1" applyFont="1" applyBorder="1" applyAlignment="1">
      <alignment horizontal="center" vertical="center"/>
    </xf>
    <xf numFmtId="0" fontId="15" fillId="0" borderId="4" xfId="1" applyFont="1" applyBorder="1" applyAlignment="1">
      <alignment vertical="center" wrapText="1"/>
    </xf>
    <xf numFmtId="0" fontId="15" fillId="0" borderId="5" xfId="1" applyFont="1" applyBorder="1" applyAlignment="1">
      <alignment vertical="center" wrapText="1"/>
    </xf>
    <xf numFmtId="0" fontId="16" fillId="0" borderId="5" xfId="1" applyFont="1" applyBorder="1" applyAlignment="1">
      <alignment vertical="center" wrapText="1"/>
    </xf>
    <xf numFmtId="49" fontId="16" fillId="0" borderId="6" xfId="1" applyNumberFormat="1" applyFont="1" applyBorder="1" applyAlignment="1">
      <alignment horizontal="center" vertical="center"/>
    </xf>
    <xf numFmtId="0" fontId="16" fillId="0" borderId="5" xfId="1" applyFont="1" applyBorder="1">
      <alignment vertical="center"/>
    </xf>
    <xf numFmtId="0" fontId="16" fillId="0" borderId="4" xfId="1" applyFont="1" applyBorder="1" applyAlignment="1">
      <alignment horizontal="center" vertical="center"/>
    </xf>
    <xf numFmtId="176" fontId="16" fillId="0" borderId="5" xfId="1" applyNumberFormat="1" applyFont="1" applyBorder="1">
      <alignment vertical="center"/>
    </xf>
    <xf numFmtId="176" fontId="16" fillId="0" borderId="5" xfId="1" applyNumberFormat="1" applyFont="1" applyBorder="1" applyAlignment="1">
      <alignment horizontal="center" vertical="center"/>
    </xf>
    <xf numFmtId="176" fontId="16" fillId="0" borderId="7" xfId="1" applyNumberFormat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177" fontId="15" fillId="0" borderId="4" xfId="1" applyNumberFormat="1" applyFont="1" applyBorder="1">
      <alignment vertical="center"/>
    </xf>
    <xf numFmtId="177" fontId="15" fillId="0" borderId="5" xfId="1" applyNumberFormat="1" applyFont="1" applyBorder="1">
      <alignment vertical="center"/>
    </xf>
    <xf numFmtId="177" fontId="15" fillId="0" borderId="6" xfId="1" applyNumberFormat="1" applyFont="1" applyBorder="1">
      <alignment vertical="center"/>
    </xf>
    <xf numFmtId="177" fontId="15" fillId="0" borderId="7" xfId="1" applyNumberFormat="1" applyFont="1" applyBorder="1">
      <alignment vertical="center"/>
    </xf>
    <xf numFmtId="178" fontId="16" fillId="0" borderId="6" xfId="1" applyNumberFormat="1" applyFont="1" applyBorder="1">
      <alignment vertical="center"/>
    </xf>
    <xf numFmtId="0" fontId="15" fillId="0" borderId="12" xfId="1" applyFont="1" applyBorder="1" applyAlignment="1">
      <alignment vertical="center" wrapText="1"/>
    </xf>
    <xf numFmtId="0" fontId="15" fillId="0" borderId="13" xfId="1" applyFont="1" applyBorder="1" applyAlignment="1">
      <alignment vertical="center" wrapText="1"/>
    </xf>
    <xf numFmtId="0" fontId="16" fillId="0" borderId="13" xfId="1" applyFont="1" applyBorder="1" applyAlignment="1">
      <alignment vertical="center" wrapText="1"/>
    </xf>
    <xf numFmtId="49" fontId="16" fillId="0" borderId="14" xfId="1" applyNumberFormat="1" applyFont="1" applyBorder="1" applyAlignment="1">
      <alignment horizontal="center" vertical="center"/>
    </xf>
    <xf numFmtId="0" fontId="16" fillId="0" borderId="13" xfId="1" applyFont="1" applyBorder="1">
      <alignment vertical="center"/>
    </xf>
    <xf numFmtId="0" fontId="16" fillId="0" borderId="12" xfId="1" applyFont="1" applyBorder="1" applyAlignment="1">
      <alignment horizontal="center" vertical="center"/>
    </xf>
    <xf numFmtId="176" fontId="16" fillId="0" borderId="13" xfId="1" applyNumberFormat="1" applyFont="1" applyBorder="1">
      <alignment vertical="center"/>
    </xf>
    <xf numFmtId="0" fontId="16" fillId="0" borderId="13" xfId="1" applyFont="1" applyBorder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178" fontId="16" fillId="0" borderId="14" xfId="1" applyNumberFormat="1" applyFont="1" applyBorder="1">
      <alignment vertical="center"/>
    </xf>
    <xf numFmtId="0" fontId="14" fillId="11" borderId="1" xfId="1" applyFont="1" applyFill="1" applyAlignment="1">
      <alignment vertical="center" wrapText="1"/>
    </xf>
    <xf numFmtId="0" fontId="15" fillId="11" borderId="9" xfId="1" applyFont="1" applyFill="1" applyBorder="1" applyAlignment="1">
      <alignment vertical="center" wrapText="1"/>
    </xf>
    <xf numFmtId="0" fontId="15" fillId="11" borderId="1" xfId="1" applyFont="1" applyFill="1" applyAlignment="1">
      <alignment vertical="center" wrapText="1"/>
    </xf>
    <xf numFmtId="0" fontId="16" fillId="11" borderId="1" xfId="1" applyFont="1" applyFill="1" applyAlignment="1">
      <alignment vertical="center" wrapText="1"/>
    </xf>
    <xf numFmtId="49" fontId="16" fillId="11" borderId="10" xfId="1" applyNumberFormat="1" applyFont="1" applyFill="1" applyBorder="1" applyAlignment="1">
      <alignment horizontal="center" vertical="center"/>
    </xf>
    <xf numFmtId="0" fontId="16" fillId="11" borderId="1" xfId="1" applyFont="1" applyFill="1">
      <alignment vertical="center"/>
    </xf>
    <xf numFmtId="0" fontId="16" fillId="11" borderId="9" xfId="1" applyFont="1" applyFill="1" applyBorder="1" applyAlignment="1">
      <alignment horizontal="center" vertical="center"/>
    </xf>
    <xf numFmtId="176" fontId="16" fillId="11" borderId="1" xfId="1" applyNumberFormat="1" applyFont="1" applyFill="1">
      <alignment vertical="center"/>
    </xf>
    <xf numFmtId="176" fontId="16" fillId="11" borderId="1" xfId="1" applyNumberFormat="1" applyFont="1" applyFill="1" applyAlignment="1">
      <alignment horizontal="center" vertical="center"/>
    </xf>
    <xf numFmtId="0" fontId="16" fillId="11" borderId="1" xfId="1" applyFont="1" applyFill="1" applyAlignment="1">
      <alignment horizontal="center" vertical="center"/>
    </xf>
    <xf numFmtId="0" fontId="16" fillId="11" borderId="11" xfId="1" applyFont="1" applyFill="1" applyBorder="1" applyAlignment="1">
      <alignment horizontal="center" vertical="center"/>
    </xf>
    <xf numFmtId="177" fontId="11" fillId="11" borderId="9" xfId="1" applyNumberFormat="1" applyFont="1" applyFill="1" applyBorder="1">
      <alignment vertical="center"/>
    </xf>
    <xf numFmtId="177" fontId="16" fillId="11" borderId="1" xfId="1" applyNumberFormat="1" applyFont="1" applyFill="1">
      <alignment vertical="center"/>
    </xf>
    <xf numFmtId="177" fontId="16" fillId="11" borderId="9" xfId="1" applyNumberFormat="1" applyFont="1" applyFill="1" applyBorder="1">
      <alignment vertical="center"/>
    </xf>
    <xf numFmtId="178" fontId="16" fillId="11" borderId="10" xfId="1" applyNumberFormat="1" applyFont="1" applyFill="1" applyBorder="1">
      <alignment vertical="center"/>
    </xf>
    <xf numFmtId="178" fontId="16" fillId="11" borderId="11" xfId="1" applyNumberFormat="1" applyFont="1" applyFill="1" applyBorder="1">
      <alignment vertical="center"/>
    </xf>
    <xf numFmtId="0" fontId="17" fillId="11" borderId="1" xfId="1" applyFont="1" applyFill="1">
      <alignment vertical="center"/>
    </xf>
    <xf numFmtId="0" fontId="15" fillId="0" borderId="16" xfId="1" applyFont="1" applyBorder="1" applyAlignment="1">
      <alignment vertical="center" wrapText="1"/>
    </xf>
    <xf numFmtId="0" fontId="15" fillId="0" borderId="17" xfId="1" applyFont="1" applyBorder="1" applyAlignment="1">
      <alignment vertical="center" wrapText="1"/>
    </xf>
    <xf numFmtId="0" fontId="16" fillId="0" borderId="17" xfId="1" applyFont="1" applyBorder="1" applyAlignment="1">
      <alignment horizontal="left" vertical="center" wrapText="1"/>
    </xf>
    <xf numFmtId="49" fontId="16" fillId="0" borderId="8" xfId="1" applyNumberFormat="1" applyFont="1" applyBorder="1" applyAlignment="1">
      <alignment horizontal="center" vertical="center"/>
    </xf>
    <xf numFmtId="0" fontId="16" fillId="0" borderId="17" xfId="1" applyFont="1" applyBorder="1">
      <alignment vertical="center"/>
    </xf>
    <xf numFmtId="0" fontId="16" fillId="0" borderId="16" xfId="1" applyFont="1" applyBorder="1" applyAlignment="1">
      <alignment horizontal="center" vertical="center"/>
    </xf>
    <xf numFmtId="176" fontId="16" fillId="0" borderId="17" xfId="1" applyNumberFormat="1" applyFont="1" applyBorder="1">
      <alignment vertical="center"/>
    </xf>
    <xf numFmtId="176" fontId="16" fillId="0" borderId="17" xfId="1" applyNumberFormat="1" applyFont="1" applyBorder="1" applyAlignment="1">
      <alignment horizontal="center" vertical="center"/>
    </xf>
    <xf numFmtId="176" fontId="16" fillId="0" borderId="18" xfId="1" applyNumberFormat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0" fontId="16" fillId="0" borderId="18" xfId="1" applyFont="1" applyBorder="1" applyAlignment="1">
      <alignment horizontal="center" vertical="center"/>
    </xf>
    <xf numFmtId="177" fontId="11" fillId="0" borderId="16" xfId="1" applyNumberFormat="1" applyFont="1" applyBorder="1">
      <alignment vertical="center"/>
    </xf>
    <xf numFmtId="177" fontId="16" fillId="0" borderId="16" xfId="1" applyNumberFormat="1" applyFont="1" applyBorder="1">
      <alignment vertical="center"/>
    </xf>
    <xf numFmtId="178" fontId="16" fillId="0" borderId="8" xfId="1" applyNumberFormat="1" applyFont="1" applyBorder="1">
      <alignment vertical="center"/>
    </xf>
    <xf numFmtId="177" fontId="15" fillId="0" borderId="9" xfId="1" applyNumberFormat="1" applyFont="1" applyBorder="1">
      <alignment vertical="center"/>
    </xf>
    <xf numFmtId="0" fontId="16" fillId="0" borderId="13" xfId="1" applyFont="1" applyBorder="1" applyAlignment="1">
      <alignment horizontal="left" vertical="center" wrapText="1"/>
    </xf>
    <xf numFmtId="177" fontId="11" fillId="0" borderId="12" xfId="1" applyNumberFormat="1" applyFont="1" applyBorder="1">
      <alignment vertical="center"/>
    </xf>
    <xf numFmtId="0" fontId="16" fillId="0" borderId="17" xfId="1" applyFont="1" applyBorder="1" applyAlignment="1">
      <alignment vertical="center" wrapText="1"/>
    </xf>
    <xf numFmtId="177" fontId="16" fillId="0" borderId="18" xfId="1" applyNumberFormat="1" applyFont="1" applyBorder="1">
      <alignment vertical="center"/>
    </xf>
    <xf numFmtId="0" fontId="16" fillId="0" borderId="17" xfId="1" applyFont="1" applyBorder="1" applyAlignment="1" applyProtection="1">
      <alignment vertical="center" wrapText="1"/>
      <protection locked="0"/>
    </xf>
    <xf numFmtId="177" fontId="15" fillId="0" borderId="17" xfId="1" applyNumberFormat="1" applyFont="1" applyBorder="1">
      <alignment vertical="center"/>
    </xf>
    <xf numFmtId="177" fontId="15" fillId="0" borderId="16" xfId="1" applyNumberFormat="1" applyFont="1" applyBorder="1">
      <alignment vertical="center"/>
    </xf>
    <xf numFmtId="177" fontId="15" fillId="0" borderId="8" xfId="1" applyNumberFormat="1" applyFont="1" applyBorder="1">
      <alignment vertical="center"/>
    </xf>
    <xf numFmtId="177" fontId="15" fillId="0" borderId="18" xfId="1" applyNumberFormat="1" applyFont="1" applyBorder="1">
      <alignment vertical="center"/>
    </xf>
    <xf numFmtId="49" fontId="16" fillId="14" borderId="17" xfId="1" applyNumberFormat="1" applyFont="1" applyFill="1" applyBorder="1" applyAlignment="1">
      <alignment horizontal="center" vertical="center"/>
    </xf>
    <xf numFmtId="0" fontId="16" fillId="14" borderId="17" xfId="1" applyFont="1" applyFill="1" applyBorder="1">
      <alignment vertical="center"/>
    </xf>
    <xf numFmtId="0" fontId="16" fillId="14" borderId="17" xfId="1" applyFont="1" applyFill="1" applyBorder="1" applyAlignment="1">
      <alignment horizontal="center" vertical="center"/>
    </xf>
    <xf numFmtId="176" fontId="16" fillId="14" borderId="17" xfId="1" applyNumberFormat="1" applyFont="1" applyFill="1" applyBorder="1">
      <alignment vertical="center"/>
    </xf>
    <xf numFmtId="176" fontId="16" fillId="14" borderId="17" xfId="1" applyNumberFormat="1" applyFont="1" applyFill="1" applyBorder="1" applyAlignment="1">
      <alignment horizontal="center" vertical="center"/>
    </xf>
    <xf numFmtId="177" fontId="15" fillId="14" borderId="16" xfId="1" applyNumberFormat="1" applyFont="1" applyFill="1" applyBorder="1">
      <alignment vertical="center"/>
    </xf>
    <xf numFmtId="177" fontId="15" fillId="14" borderId="17" xfId="1" applyNumberFormat="1" applyFont="1" applyFill="1" applyBorder="1">
      <alignment vertical="center"/>
    </xf>
    <xf numFmtId="177" fontId="15" fillId="14" borderId="8" xfId="1" applyNumberFormat="1" applyFont="1" applyFill="1" applyBorder="1">
      <alignment vertical="center"/>
    </xf>
    <xf numFmtId="177" fontId="15" fillId="14" borderId="18" xfId="1" applyNumberFormat="1" applyFont="1" applyFill="1" applyBorder="1">
      <alignment vertical="center"/>
    </xf>
    <xf numFmtId="178" fontId="16" fillId="14" borderId="6" xfId="1" applyNumberFormat="1" applyFont="1" applyFill="1" applyBorder="1">
      <alignment vertical="center"/>
    </xf>
    <xf numFmtId="49" fontId="11" fillId="0" borderId="1" xfId="1" applyNumberFormat="1" applyFont="1" applyAlignment="1">
      <alignment horizontal="center" vertical="center"/>
    </xf>
    <xf numFmtId="177" fontId="11" fillId="0" borderId="1" xfId="1" applyNumberFormat="1" applyFont="1">
      <alignment vertical="center"/>
    </xf>
    <xf numFmtId="0" fontId="19" fillId="0" borderId="1" xfId="1" applyFont="1">
      <alignment vertical="center"/>
    </xf>
    <xf numFmtId="179" fontId="11" fillId="0" borderId="1" xfId="1" applyNumberFormat="1" applyFont="1">
      <alignment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20" fillId="0" borderId="1" xfId="1" applyFont="1">
      <alignment vertical="center"/>
    </xf>
    <xf numFmtId="0" fontId="11" fillId="0" borderId="6" xfId="1" applyFont="1" applyBorder="1" applyAlignment="1">
      <alignment horizontal="center" vertical="center"/>
    </xf>
    <xf numFmtId="0" fontId="11" fillId="0" borderId="6" xfId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>
      <alignment horizontal="left" vertical="center"/>
    </xf>
    <xf numFmtId="0" fontId="11" fillId="0" borderId="6" xfId="1" quotePrefix="1" applyFont="1" applyBorder="1" applyAlignment="1">
      <alignment horizontal="left" vertical="center" wrapText="1"/>
    </xf>
    <xf numFmtId="0" fontId="11" fillId="0" borderId="6" xfId="1" applyFont="1" applyBorder="1" applyAlignment="1" applyProtection="1">
      <alignment horizontal="left" vertical="center" wrapText="1"/>
      <protection locked="0"/>
    </xf>
    <xf numFmtId="180" fontId="11" fillId="0" borderId="6" xfId="1" applyNumberFormat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>
      <alignment vertical="center"/>
    </xf>
    <xf numFmtId="178" fontId="11" fillId="0" borderId="6" xfId="1" applyNumberFormat="1" applyFont="1" applyBorder="1" applyAlignment="1" applyProtection="1">
      <alignment vertical="center" wrapText="1"/>
      <protection locked="0"/>
    </xf>
    <xf numFmtId="0" fontId="11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 wrapText="1"/>
    </xf>
    <xf numFmtId="0" fontId="11" fillId="0" borderId="6" xfId="1" applyFont="1" applyBorder="1" applyAlignment="1" applyProtection="1">
      <alignment vertical="center" wrapText="1"/>
      <protection locked="0"/>
    </xf>
    <xf numFmtId="0" fontId="21" fillId="0" borderId="6" xfId="1" applyFont="1" applyBorder="1" applyAlignment="1">
      <alignment horizontal="left" vertical="center"/>
    </xf>
    <xf numFmtId="0" fontId="11" fillId="0" borderId="6" xfId="1" quotePrefix="1" applyFont="1" applyBorder="1" applyAlignment="1">
      <alignment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6" xfId="1" applyFont="1" applyBorder="1">
      <alignment vertical="center"/>
    </xf>
    <xf numFmtId="0" fontId="16" fillId="0" borderId="6" xfId="1" applyFont="1" applyBorder="1" applyAlignment="1" applyProtection="1">
      <alignment horizontal="center" vertical="center" wrapText="1"/>
      <protection locked="0"/>
    </xf>
    <xf numFmtId="0" fontId="16" fillId="0" borderId="6" xfId="1" applyFont="1" applyBorder="1" applyAlignment="1">
      <alignment vertical="center" wrapText="1"/>
    </xf>
    <xf numFmtId="0" fontId="16" fillId="0" borderId="6" xfId="1" applyFont="1" applyBorder="1" applyAlignment="1">
      <alignment horizontal="left" vertical="center"/>
    </xf>
    <xf numFmtId="0" fontId="16" fillId="0" borderId="6" xfId="1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 wrapText="1"/>
    </xf>
    <xf numFmtId="0" fontId="11" fillId="0" borderId="6" xfId="1" applyFont="1" applyBorder="1" applyAlignment="1">
      <alignment vertical="center" wrapText="1"/>
    </xf>
    <xf numFmtId="0" fontId="23" fillId="0" borderId="1" xfId="1" applyFont="1">
      <alignment vertical="center"/>
    </xf>
    <xf numFmtId="0" fontId="21" fillId="0" borderId="6" xfId="1" applyFont="1" applyBorder="1" applyAlignment="1" applyProtection="1">
      <alignment horizontal="center" vertical="center" wrapText="1"/>
      <protection locked="0"/>
    </xf>
    <xf numFmtId="0" fontId="11" fillId="0" borderId="1" xfId="1" applyFont="1" applyAlignment="1">
      <alignment horizontal="left" vertical="center"/>
    </xf>
    <xf numFmtId="178" fontId="11" fillId="0" borderId="1" xfId="1" applyNumberFormat="1" applyFont="1">
      <alignment vertical="center"/>
    </xf>
    <xf numFmtId="0" fontId="10" fillId="0" borderId="6" xfId="1" applyFont="1" applyBorder="1" applyAlignment="1" applyProtection="1">
      <alignment horizontal="center" vertical="center" wrapText="1"/>
      <protection locked="0"/>
    </xf>
    <xf numFmtId="178" fontId="10" fillId="0" borderId="6" xfId="1" applyNumberFormat="1" applyFont="1" applyBorder="1" applyAlignment="1" applyProtection="1">
      <alignment horizontal="center" vertical="center" wrapText="1"/>
      <protection locked="0"/>
    </xf>
    <xf numFmtId="180" fontId="16" fillId="0" borderId="6" xfId="1" applyNumberFormat="1" applyFont="1" applyBorder="1" applyAlignment="1" applyProtection="1">
      <alignment horizontal="center" vertical="center" wrapText="1"/>
      <protection locked="0"/>
    </xf>
    <xf numFmtId="0" fontId="16" fillId="0" borderId="6" xfId="1" quotePrefix="1" applyFont="1" applyBorder="1" applyAlignment="1">
      <alignment vertical="center" wrapText="1"/>
    </xf>
    <xf numFmtId="0" fontId="11" fillId="0" borderId="6" xfId="1" applyFont="1" applyBorder="1" applyAlignment="1">
      <alignment horizontal="left" vertical="center" wrapText="1"/>
    </xf>
    <xf numFmtId="180" fontId="11" fillId="0" borderId="8" xfId="1" applyNumberFormat="1" applyFont="1" applyBorder="1" applyAlignment="1" applyProtection="1">
      <alignment horizontal="center" vertical="center" wrapText="1"/>
      <protection locked="0"/>
    </xf>
    <xf numFmtId="0" fontId="11" fillId="0" borderId="8" xfId="1" applyFont="1" applyBorder="1">
      <alignment vertical="center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11" fillId="0" borderId="8" xfId="1" quotePrefix="1" applyFont="1" applyBorder="1" applyAlignment="1">
      <alignment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1" xfId="1" quotePrefix="1" applyFont="1" applyAlignment="1">
      <alignment vertical="center" wrapText="1"/>
    </xf>
    <xf numFmtId="181" fontId="11" fillId="0" borderId="6" xfId="1" applyNumberFormat="1" applyFont="1" applyBorder="1" applyAlignment="1">
      <alignment horizontal="center" vertical="center"/>
    </xf>
    <xf numFmtId="0" fontId="21" fillId="0" borderId="6" xfId="1" applyFont="1" applyBorder="1" applyAlignment="1">
      <alignment horizontal="left" vertical="center" wrapText="1"/>
    </xf>
    <xf numFmtId="178" fontId="20" fillId="0" borderId="1" xfId="1" applyNumberFormat="1" applyFont="1">
      <alignment vertical="center"/>
    </xf>
    <xf numFmtId="0" fontId="11" fillId="0" borderId="13" xfId="1" applyFont="1" applyBorder="1" applyAlignment="1" applyProtection="1">
      <alignment vertical="center" wrapText="1"/>
      <protection locked="0"/>
    </xf>
    <xf numFmtId="0" fontId="11" fillId="0" borderId="8" xfId="1" quotePrefix="1" applyFont="1" applyBorder="1" applyAlignment="1">
      <alignment horizontal="left" vertical="center" wrapText="1"/>
    </xf>
    <xf numFmtId="0" fontId="11" fillId="0" borderId="8" xfId="1" applyFont="1" applyBorder="1" applyAlignment="1" applyProtection="1">
      <alignment vertical="center" wrapText="1"/>
      <protection locked="0"/>
    </xf>
    <xf numFmtId="178" fontId="11" fillId="0" borderId="6" xfId="1" applyNumberFormat="1" applyFont="1" applyBorder="1">
      <alignment vertical="center"/>
    </xf>
    <xf numFmtId="2" fontId="11" fillId="0" borderId="6" xfId="1" applyNumberFormat="1" applyFont="1" applyBorder="1" applyAlignment="1" applyProtection="1">
      <alignment vertical="center" wrapText="1"/>
      <protection locked="0"/>
    </xf>
    <xf numFmtId="0" fontId="11" fillId="0" borderId="8" xfId="1" applyFont="1" applyBorder="1" applyAlignment="1">
      <alignment horizontal="center" vertical="center"/>
    </xf>
    <xf numFmtId="2" fontId="11" fillId="0" borderId="8" xfId="1" applyNumberFormat="1" applyFont="1" applyBorder="1" applyAlignment="1" applyProtection="1">
      <alignment vertical="center" wrapText="1"/>
      <protection locked="0"/>
    </xf>
    <xf numFmtId="0" fontId="22" fillId="0" borderId="8" xfId="1" applyFont="1" applyBorder="1" applyAlignment="1">
      <alignment horizontal="center" vertical="center" wrapText="1"/>
    </xf>
    <xf numFmtId="178" fontId="16" fillId="0" borderId="6" xfId="1" applyNumberFormat="1" applyFont="1" applyBorder="1" applyAlignment="1" applyProtection="1">
      <alignment vertical="center" wrapText="1"/>
      <protection locked="0"/>
    </xf>
    <xf numFmtId="0" fontId="11" fillId="0" borderId="1" xfId="1" applyFont="1" applyAlignment="1" applyProtection="1">
      <alignment vertical="center" wrapText="1"/>
      <protection locked="0"/>
    </xf>
    <xf numFmtId="0" fontId="20" fillId="15" borderId="1" xfId="1" applyFont="1" applyFill="1">
      <alignment vertical="center"/>
    </xf>
    <xf numFmtId="0" fontId="16" fillId="0" borderId="6" xfId="1" applyFont="1" applyBorder="1" applyAlignment="1" applyProtection="1">
      <alignment vertical="center" wrapText="1"/>
      <protection locked="0"/>
    </xf>
    <xf numFmtId="0" fontId="16" fillId="0" borderId="6" xfId="1" quotePrefix="1" applyFont="1" applyBorder="1" applyAlignment="1">
      <alignment horizontal="left" vertical="center" wrapText="1"/>
    </xf>
    <xf numFmtId="0" fontId="13" fillId="0" borderId="6" xfId="1" applyFont="1" applyBorder="1" applyAlignment="1">
      <alignment horizontal="center" vertical="center"/>
    </xf>
    <xf numFmtId="0" fontId="13" fillId="0" borderId="6" xfId="1" applyFont="1" applyBorder="1" applyAlignment="1" applyProtection="1">
      <alignment horizontal="center" vertical="center" wrapText="1"/>
      <protection locked="0"/>
    </xf>
    <xf numFmtId="0" fontId="13" fillId="0" borderId="6" xfId="1" applyFont="1" applyBorder="1" applyAlignment="1">
      <alignment horizontal="left" vertical="center" wrapText="1"/>
    </xf>
    <xf numFmtId="0" fontId="13" fillId="0" borderId="6" xfId="1" quotePrefix="1" applyFont="1" applyBorder="1" applyAlignment="1">
      <alignment horizontal="left" vertical="center" wrapText="1"/>
    </xf>
    <xf numFmtId="0" fontId="13" fillId="0" borderId="6" xfId="1" applyFont="1" applyBorder="1" applyAlignment="1" applyProtection="1">
      <alignment vertical="center" wrapText="1"/>
      <protection locked="0"/>
    </xf>
    <xf numFmtId="0" fontId="13" fillId="0" borderId="6" xfId="1" applyFont="1" applyBorder="1" applyAlignment="1">
      <alignment vertical="center" wrapText="1"/>
    </xf>
    <xf numFmtId="0" fontId="13" fillId="0" borderId="6" xfId="1" quotePrefix="1" applyFont="1" applyBorder="1" applyAlignment="1">
      <alignment vertical="center" wrapText="1"/>
    </xf>
    <xf numFmtId="0" fontId="13" fillId="0" borderId="6" xfId="1" applyFont="1" applyBorder="1">
      <alignment vertical="center"/>
    </xf>
    <xf numFmtId="0" fontId="10" fillId="10" borderId="6" xfId="1" applyFont="1" applyFill="1" applyBorder="1" applyAlignment="1" applyProtection="1">
      <alignment horizontal="center" vertical="center" wrapText="1"/>
      <protection locked="0"/>
    </xf>
    <xf numFmtId="178" fontId="10" fillId="10" borderId="6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6" xfId="1" quotePrefix="1" applyFont="1" applyBorder="1" applyAlignment="1" applyProtection="1">
      <alignment vertical="center" wrapText="1"/>
      <protection locked="0"/>
    </xf>
    <xf numFmtId="182" fontId="11" fillId="0" borderId="6" xfId="1" applyNumberFormat="1" applyFont="1" applyBorder="1" applyAlignment="1">
      <alignment horizontal="center" vertical="center"/>
    </xf>
    <xf numFmtId="0" fontId="11" fillId="15" borderId="1" xfId="1" applyFont="1" applyFill="1" applyAlignment="1">
      <alignment horizontal="center" vertical="center"/>
    </xf>
    <xf numFmtId="0" fontId="11" fillId="15" borderId="1" xfId="1" applyFont="1" applyFill="1">
      <alignment vertical="center"/>
    </xf>
    <xf numFmtId="2" fontId="24" fillId="0" borderId="1" xfId="1" applyNumberFormat="1" applyFont="1">
      <alignment vertical="center"/>
    </xf>
    <xf numFmtId="0" fontId="13" fillId="0" borderId="6" xfId="1" applyFont="1" applyBorder="1" applyAlignment="1">
      <alignment horizontal="center" vertical="center" wrapText="1"/>
    </xf>
    <xf numFmtId="0" fontId="17" fillId="0" borderId="6" xfId="1" applyFont="1" applyBorder="1" applyAlignment="1" applyProtection="1">
      <alignment horizontal="center" vertical="center" wrapText="1"/>
      <protection locked="0"/>
    </xf>
    <xf numFmtId="180" fontId="13" fillId="0" borderId="6" xfId="1" applyNumberFormat="1" applyFont="1" applyBorder="1" applyAlignment="1" applyProtection="1">
      <alignment horizontal="center" vertical="center" wrapText="1"/>
      <protection locked="0"/>
    </xf>
    <xf numFmtId="2" fontId="13" fillId="0" borderId="6" xfId="1" applyNumberFormat="1" applyFont="1" applyBorder="1" applyAlignment="1" applyProtection="1">
      <alignment vertical="center" wrapText="1"/>
      <protection locked="0"/>
    </xf>
    <xf numFmtId="178" fontId="13" fillId="0" borderId="6" xfId="1" applyNumberFormat="1" applyFont="1" applyBorder="1">
      <alignment vertical="center"/>
    </xf>
    <xf numFmtId="0" fontId="13" fillId="0" borderId="6" xfId="1" quotePrefix="1" applyFont="1" applyBorder="1">
      <alignment vertical="center"/>
    </xf>
    <xf numFmtId="0" fontId="17" fillId="16" borderId="1" xfId="1" applyFont="1" applyFill="1">
      <alignment vertical="center"/>
    </xf>
    <xf numFmtId="0" fontId="15" fillId="16" borderId="9" xfId="1" applyFont="1" applyFill="1" applyBorder="1" applyAlignment="1">
      <alignment vertical="center" wrapText="1"/>
    </xf>
    <xf numFmtId="0" fontId="15" fillId="16" borderId="1" xfId="1" applyFont="1" applyFill="1" applyAlignment="1">
      <alignment vertical="center" wrapText="1"/>
    </xf>
    <xf numFmtId="0" fontId="16" fillId="16" borderId="1" xfId="1" applyFont="1" applyFill="1" applyAlignment="1">
      <alignment horizontal="left" vertical="center" wrapText="1"/>
    </xf>
    <xf numFmtId="49" fontId="16" fillId="16" borderId="10" xfId="1" applyNumberFormat="1" applyFont="1" applyFill="1" applyBorder="1" applyAlignment="1">
      <alignment horizontal="center" vertical="center"/>
    </xf>
    <xf numFmtId="0" fontId="16" fillId="16" borderId="1" xfId="1" applyFont="1" applyFill="1">
      <alignment vertical="center"/>
    </xf>
    <xf numFmtId="0" fontId="16" fillId="16" borderId="9" xfId="1" applyFont="1" applyFill="1" applyBorder="1" applyAlignment="1">
      <alignment horizontal="center" vertical="center"/>
    </xf>
    <xf numFmtId="176" fontId="16" fillId="16" borderId="1" xfId="1" applyNumberFormat="1" applyFont="1" applyFill="1">
      <alignment vertical="center"/>
    </xf>
    <xf numFmtId="176" fontId="16" fillId="16" borderId="1" xfId="1" applyNumberFormat="1" applyFont="1" applyFill="1" applyAlignment="1">
      <alignment horizontal="center" vertical="center"/>
    </xf>
    <xf numFmtId="0" fontId="16" fillId="16" borderId="1" xfId="1" applyFont="1" applyFill="1" applyAlignment="1">
      <alignment horizontal="center" vertical="center"/>
    </xf>
    <xf numFmtId="177" fontId="11" fillId="16" borderId="9" xfId="1" applyNumberFormat="1" applyFont="1" applyFill="1" applyBorder="1">
      <alignment vertical="center"/>
    </xf>
    <xf numFmtId="177" fontId="16" fillId="16" borderId="1" xfId="1" applyNumberFormat="1" applyFont="1" applyFill="1">
      <alignment vertical="center"/>
    </xf>
    <xf numFmtId="177" fontId="16" fillId="16" borderId="9" xfId="1" applyNumberFormat="1" applyFont="1" applyFill="1" applyBorder="1">
      <alignment vertical="center"/>
    </xf>
    <xf numFmtId="177" fontId="16" fillId="16" borderId="10" xfId="1" applyNumberFormat="1" applyFont="1" applyFill="1" applyBorder="1">
      <alignment vertical="center"/>
    </xf>
    <xf numFmtId="178" fontId="16" fillId="16" borderId="10" xfId="1" applyNumberFormat="1" applyFont="1" applyFill="1" applyBorder="1">
      <alignment vertical="center"/>
    </xf>
    <xf numFmtId="178" fontId="16" fillId="16" borderId="11" xfId="1" applyNumberFormat="1" applyFont="1" applyFill="1" applyBorder="1">
      <alignment vertical="center"/>
    </xf>
    <xf numFmtId="176" fontId="16" fillId="16" borderId="11" xfId="1" applyNumberFormat="1" applyFont="1" applyFill="1" applyBorder="1" applyAlignment="1">
      <alignment horizontal="center" vertical="center"/>
    </xf>
    <xf numFmtId="0" fontId="11" fillId="16" borderId="6" xfId="1" applyFont="1" applyFill="1" applyBorder="1" applyAlignment="1">
      <alignment horizontal="center" vertical="center"/>
    </xf>
    <xf numFmtId="0" fontId="16" fillId="16" borderId="6" xfId="1" applyFont="1" applyFill="1" applyBorder="1" applyAlignment="1" applyProtection="1">
      <alignment horizontal="center" vertical="center" wrapText="1"/>
      <protection locked="0"/>
    </xf>
    <xf numFmtId="0" fontId="16" fillId="16" borderId="6" xfId="1" applyFont="1" applyFill="1" applyBorder="1" applyAlignment="1">
      <alignment vertical="center" wrapText="1"/>
    </xf>
    <xf numFmtId="0" fontId="11" fillId="16" borderId="6" xfId="1" quotePrefix="1" applyFont="1" applyFill="1" applyBorder="1" applyAlignment="1">
      <alignment vertical="center" wrapText="1"/>
    </xf>
    <xf numFmtId="0" fontId="11" fillId="16" borderId="6" xfId="1" applyFont="1" applyFill="1" applyBorder="1" applyAlignment="1" applyProtection="1">
      <alignment horizontal="left" vertical="center" wrapText="1"/>
      <protection locked="0"/>
    </xf>
    <xf numFmtId="180" fontId="11" fillId="16" borderId="6" xfId="1" applyNumberFormat="1" applyFont="1" applyFill="1" applyBorder="1" applyAlignment="1" applyProtection="1">
      <alignment horizontal="center" vertical="center" wrapText="1"/>
      <protection locked="0"/>
    </xf>
    <xf numFmtId="0" fontId="11" fillId="16" borderId="6" xfId="1" applyFont="1" applyFill="1" applyBorder="1">
      <alignment vertical="center"/>
    </xf>
    <xf numFmtId="178" fontId="11" fillId="16" borderId="6" xfId="1" applyNumberFormat="1" applyFont="1" applyFill="1" applyBorder="1" applyAlignment="1" applyProtection="1">
      <alignment vertical="center" wrapText="1"/>
      <protection locked="0"/>
    </xf>
    <xf numFmtId="0" fontId="11" fillId="16" borderId="6" xfId="1" applyFont="1" applyFill="1" applyBorder="1" applyAlignment="1">
      <alignment horizontal="center" vertical="center" wrapText="1"/>
    </xf>
    <xf numFmtId="0" fontId="11" fillId="16" borderId="6" xfId="1" quotePrefix="1" applyFont="1" applyFill="1" applyBorder="1" applyAlignment="1">
      <alignment horizontal="left" vertical="center" wrapText="1"/>
    </xf>
    <xf numFmtId="0" fontId="20" fillId="16" borderId="1" xfId="1" applyFont="1" applyFill="1">
      <alignment vertical="center"/>
    </xf>
    <xf numFmtId="0" fontId="11" fillId="16" borderId="6" xfId="1" applyFont="1" applyFill="1" applyBorder="1" applyAlignment="1" applyProtection="1">
      <alignment horizontal="center" vertical="center" wrapText="1"/>
      <protection locked="0"/>
    </xf>
    <xf numFmtId="0" fontId="11" fillId="16" borderId="6" xfId="1" applyFont="1" applyFill="1" applyBorder="1" applyAlignment="1">
      <alignment horizontal="left" vertical="center"/>
    </xf>
    <xf numFmtId="0" fontId="11" fillId="16" borderId="6" xfId="1" applyFont="1" applyFill="1" applyBorder="1" applyAlignment="1" applyProtection="1">
      <alignment vertical="center" wrapText="1"/>
      <protection locked="0"/>
    </xf>
    <xf numFmtId="0" fontId="11" fillId="16" borderId="6" xfId="1" applyFont="1" applyFill="1" applyBorder="1" applyAlignment="1">
      <alignment horizontal="left" vertical="center" wrapText="1"/>
    </xf>
    <xf numFmtId="0" fontId="11" fillId="12" borderId="6" xfId="1" applyFont="1" applyFill="1" applyBorder="1" applyAlignment="1">
      <alignment horizontal="center" vertical="center"/>
    </xf>
    <xf numFmtId="0" fontId="11" fillId="12" borderId="6" xfId="1" applyFont="1" applyFill="1" applyBorder="1" applyAlignment="1" applyProtection="1">
      <alignment horizontal="center" vertical="center" wrapText="1"/>
      <protection locked="0"/>
    </xf>
    <xf numFmtId="0" fontId="16" fillId="12" borderId="6" xfId="1" applyFont="1" applyFill="1" applyBorder="1" applyAlignment="1">
      <alignment horizontal="left" vertical="center" wrapText="1"/>
    </xf>
    <xf numFmtId="0" fontId="11" fillId="12" borderId="6" xfId="1" quotePrefix="1" applyFont="1" applyFill="1" applyBorder="1" applyAlignment="1">
      <alignment horizontal="left" vertical="center" wrapText="1"/>
    </xf>
    <xf numFmtId="0" fontId="11" fillId="12" borderId="6" xfId="1" applyFont="1" applyFill="1" applyBorder="1" applyAlignment="1" applyProtection="1">
      <alignment horizontal="left" vertical="center" wrapText="1"/>
      <protection locked="0"/>
    </xf>
    <xf numFmtId="180" fontId="11" fillId="12" borderId="6" xfId="1" applyNumberFormat="1" applyFont="1" applyFill="1" applyBorder="1" applyAlignment="1" applyProtection="1">
      <alignment horizontal="center" vertical="center" wrapText="1"/>
      <protection locked="0"/>
    </xf>
    <xf numFmtId="0" fontId="11" fillId="12" borderId="6" xfId="1" applyFont="1" applyFill="1" applyBorder="1">
      <alignment vertical="center"/>
    </xf>
    <xf numFmtId="178" fontId="11" fillId="12" borderId="6" xfId="1" applyNumberFormat="1" applyFont="1" applyFill="1" applyBorder="1" applyAlignment="1" applyProtection="1">
      <alignment vertical="center" wrapText="1"/>
      <protection locked="0"/>
    </xf>
    <xf numFmtId="0" fontId="22" fillId="12" borderId="6" xfId="1" applyFont="1" applyFill="1" applyBorder="1" applyAlignment="1">
      <alignment horizontal="center" vertical="center" wrapText="1"/>
    </xf>
    <xf numFmtId="0" fontId="11" fillId="12" borderId="6" xfId="1" applyFont="1" applyFill="1" applyBorder="1" applyAlignment="1">
      <alignment horizontal="center" vertical="center" wrapText="1"/>
    </xf>
    <xf numFmtId="0" fontId="11" fillId="12" borderId="6" xfId="1" quotePrefix="1" applyFont="1" applyFill="1" applyBorder="1" applyAlignment="1">
      <alignment vertical="center" wrapText="1"/>
    </xf>
    <xf numFmtId="0" fontId="11" fillId="12" borderId="6" xfId="1" applyFont="1" applyFill="1" applyBorder="1" applyAlignment="1">
      <alignment horizontal="left" vertical="center"/>
    </xf>
    <xf numFmtId="0" fontId="11" fillId="12" borderId="6" xfId="1" applyFont="1" applyFill="1" applyBorder="1" applyAlignment="1" applyProtection="1">
      <alignment vertical="center" wrapText="1"/>
      <protection locked="0"/>
    </xf>
    <xf numFmtId="0" fontId="11" fillId="17" borderId="6" xfId="1" applyFont="1" applyFill="1" applyBorder="1" applyAlignment="1">
      <alignment horizontal="center" vertical="center"/>
    </xf>
    <xf numFmtId="0" fontId="11" fillId="17" borderId="6" xfId="1" applyFont="1" applyFill="1" applyBorder="1" applyAlignment="1" applyProtection="1">
      <alignment horizontal="center" vertical="center" wrapText="1"/>
      <protection locked="0"/>
    </xf>
    <xf numFmtId="0" fontId="11" fillId="17" borderId="6" xfId="1" applyFont="1" applyFill="1" applyBorder="1" applyAlignment="1">
      <alignment horizontal="left" vertical="center"/>
    </xf>
    <xf numFmtId="0" fontId="11" fillId="17" borderId="6" xfId="1" applyFont="1" applyFill="1" applyBorder="1" applyAlignment="1" applyProtection="1">
      <alignment horizontal="left" vertical="center" wrapText="1"/>
      <protection locked="0"/>
    </xf>
    <xf numFmtId="180" fontId="11" fillId="17" borderId="6" xfId="1" applyNumberFormat="1" applyFont="1" applyFill="1" applyBorder="1" applyAlignment="1" applyProtection="1">
      <alignment horizontal="center" vertical="center" wrapText="1"/>
      <protection locked="0"/>
    </xf>
    <xf numFmtId="178" fontId="11" fillId="17" borderId="6" xfId="1" applyNumberFormat="1" applyFont="1" applyFill="1" applyBorder="1" applyAlignment="1" applyProtection="1">
      <alignment vertical="center" wrapText="1"/>
      <protection locked="0"/>
    </xf>
    <xf numFmtId="0" fontId="11" fillId="17" borderId="6" xfId="1" applyFont="1" applyFill="1" applyBorder="1">
      <alignment vertical="center"/>
    </xf>
    <xf numFmtId="0" fontId="11" fillId="17" borderId="6" xfId="1" quotePrefix="1" applyFont="1" applyFill="1" applyBorder="1" applyAlignment="1">
      <alignment horizontal="left" vertical="center"/>
    </xf>
    <xf numFmtId="0" fontId="11" fillId="17" borderId="6" xfId="1" applyFont="1" applyFill="1" applyBorder="1" applyAlignment="1">
      <alignment horizontal="center" vertical="center" wrapText="1"/>
    </xf>
    <xf numFmtId="0" fontId="11" fillId="17" borderId="6" xfId="1" quotePrefix="1" applyFont="1" applyFill="1" applyBorder="1" applyAlignment="1">
      <alignment horizontal="left" vertical="center" wrapText="1"/>
    </xf>
    <xf numFmtId="0" fontId="16" fillId="17" borderId="6" xfId="1" applyFont="1" applyFill="1" applyBorder="1" applyAlignment="1">
      <alignment horizontal="left" vertical="center" wrapText="1"/>
    </xf>
    <xf numFmtId="0" fontId="11" fillId="18" borderId="6" xfId="1" applyFont="1" applyFill="1" applyBorder="1" applyAlignment="1">
      <alignment horizontal="center" vertical="center"/>
    </xf>
    <xf numFmtId="0" fontId="11" fillId="18" borderId="6" xfId="1" applyFont="1" applyFill="1" applyBorder="1" applyAlignment="1" applyProtection="1">
      <alignment horizontal="center" vertical="center" wrapText="1"/>
      <protection locked="0"/>
    </xf>
    <xf numFmtId="0" fontId="11" fillId="18" borderId="6" xfId="1" applyFont="1" applyFill="1" applyBorder="1" applyAlignment="1">
      <alignment horizontal="left" vertical="center"/>
    </xf>
    <xf numFmtId="0" fontId="11" fillId="18" borderId="6" xfId="1" quotePrefix="1" applyFont="1" applyFill="1" applyBorder="1" applyAlignment="1">
      <alignment vertical="center" wrapText="1"/>
    </xf>
    <xf numFmtId="0" fontId="11" fillId="18" borderId="6" xfId="1" applyFont="1" applyFill="1" applyBorder="1" applyAlignment="1" applyProtection="1">
      <alignment horizontal="left" vertical="center" wrapText="1"/>
      <protection locked="0"/>
    </xf>
    <xf numFmtId="180" fontId="11" fillId="18" borderId="6" xfId="1" applyNumberFormat="1" applyFont="1" applyFill="1" applyBorder="1" applyAlignment="1" applyProtection="1">
      <alignment horizontal="center" vertical="center" wrapText="1"/>
      <protection locked="0"/>
    </xf>
    <xf numFmtId="0" fontId="11" fillId="18" borderId="6" xfId="1" applyFont="1" applyFill="1" applyBorder="1" applyAlignment="1" applyProtection="1">
      <alignment vertical="center" wrapText="1"/>
      <protection locked="0"/>
    </xf>
    <xf numFmtId="178" fontId="11" fillId="18" borderId="6" xfId="1" applyNumberFormat="1" applyFont="1" applyFill="1" applyBorder="1" applyAlignment="1" applyProtection="1">
      <alignment vertical="center" wrapText="1"/>
      <protection locked="0"/>
    </xf>
    <xf numFmtId="0" fontId="16" fillId="18" borderId="6" xfId="1" applyFont="1" applyFill="1" applyBorder="1" applyAlignment="1">
      <alignment horizontal="center" vertical="center" wrapText="1"/>
    </xf>
    <xf numFmtId="0" fontId="11" fillId="18" borderId="6" xfId="1" applyFont="1" applyFill="1" applyBorder="1">
      <alignment vertical="center"/>
    </xf>
    <xf numFmtId="0" fontId="11" fillId="18" borderId="6" xfId="1" applyFont="1" applyFill="1" applyBorder="1" applyAlignment="1">
      <alignment horizontal="left" vertical="center" wrapText="1"/>
    </xf>
    <xf numFmtId="0" fontId="22" fillId="17" borderId="6" xfId="1" applyFont="1" applyFill="1" applyBorder="1" applyAlignment="1">
      <alignment horizontal="center" vertical="center" wrapText="1"/>
    </xf>
    <xf numFmtId="0" fontId="16" fillId="17" borderId="1" xfId="1" applyFont="1" applyFill="1" applyAlignment="1">
      <alignment horizontal="left" vertical="center" wrapText="1"/>
    </xf>
    <xf numFmtId="0" fontId="21" fillId="19" borderId="6" xfId="0" applyFont="1" applyFill="1" applyBorder="1" applyAlignment="1">
      <alignment horizontal="center" vertical="center"/>
    </xf>
    <xf numFmtId="0" fontId="17" fillId="19" borderId="7" xfId="0" applyFont="1" applyFill="1" applyBorder="1" applyAlignment="1" applyProtection="1">
      <alignment horizontal="center" vertical="center" wrapText="1"/>
      <protection locked="0"/>
    </xf>
    <xf numFmtId="0" fontId="17" fillId="19" borderId="7" xfId="0" applyFont="1" applyFill="1" applyBorder="1" applyAlignment="1">
      <alignment vertical="center" wrapText="1"/>
    </xf>
    <xf numFmtId="0" fontId="21" fillId="19" borderId="7" xfId="0" applyFont="1" applyFill="1" applyBorder="1" applyAlignment="1">
      <alignment vertical="center" wrapText="1"/>
    </xf>
    <xf numFmtId="0" fontId="16" fillId="17" borderId="1" xfId="1" applyFont="1" applyFill="1" applyAlignment="1">
      <alignment vertical="center" wrapText="1"/>
    </xf>
    <xf numFmtId="0" fontId="11" fillId="17" borderId="6" xfId="1" quotePrefix="1" applyFont="1" applyFill="1" applyBorder="1" applyAlignment="1">
      <alignment vertical="center" wrapText="1"/>
    </xf>
    <xf numFmtId="0" fontId="21" fillId="19" borderId="7" xfId="0" applyFont="1" applyFill="1" applyBorder="1" applyAlignment="1" applyProtection="1">
      <alignment vertical="center" wrapText="1"/>
      <protection locked="0"/>
    </xf>
    <xf numFmtId="0" fontId="21" fillId="19" borderId="7" xfId="0" applyFont="1" applyFill="1" applyBorder="1" applyAlignment="1">
      <alignment horizontal="left" vertical="center" wrapText="1"/>
    </xf>
    <xf numFmtId="0" fontId="16" fillId="17" borderId="6" xfId="1" applyFont="1" applyFill="1" applyBorder="1" applyAlignment="1" applyProtection="1">
      <alignment horizontal="center" vertical="center" wrapText="1"/>
      <protection locked="0"/>
    </xf>
    <xf numFmtId="0" fontId="16" fillId="17" borderId="6" xfId="1" applyFont="1" applyFill="1" applyBorder="1" applyAlignment="1">
      <alignment vertical="center" wrapText="1"/>
    </xf>
    <xf numFmtId="0" fontId="11" fillId="20" borderId="6" xfId="1" applyFont="1" applyFill="1" applyBorder="1" applyAlignment="1">
      <alignment horizontal="center" vertical="center"/>
    </xf>
    <xf numFmtId="0" fontId="11" fillId="20" borderId="6" xfId="1" applyFont="1" applyFill="1" applyBorder="1" applyAlignment="1" applyProtection="1">
      <alignment horizontal="center" vertical="center" wrapText="1"/>
      <protection locked="0"/>
    </xf>
    <xf numFmtId="0" fontId="16" fillId="20" borderId="6" xfId="1" applyFont="1" applyFill="1" applyBorder="1" applyAlignment="1">
      <alignment horizontal="left" vertical="center" wrapText="1"/>
    </xf>
    <xf numFmtId="0" fontId="11" fillId="20" borderId="6" xfId="1" quotePrefix="1" applyFont="1" applyFill="1" applyBorder="1" applyAlignment="1">
      <alignment horizontal="left" vertical="center" wrapText="1"/>
    </xf>
    <xf numFmtId="0" fontId="11" fillId="20" borderId="6" xfId="1" applyFont="1" applyFill="1" applyBorder="1" applyAlignment="1" applyProtection="1">
      <alignment horizontal="left" vertical="center" wrapText="1"/>
      <protection locked="0"/>
    </xf>
    <xf numFmtId="180" fontId="11" fillId="20" borderId="6" xfId="1" applyNumberFormat="1" applyFont="1" applyFill="1" applyBorder="1" applyAlignment="1" applyProtection="1">
      <alignment horizontal="center" vertical="center" wrapText="1"/>
      <protection locked="0"/>
    </xf>
    <xf numFmtId="0" fontId="11" fillId="20" borderId="6" xfId="1" applyFont="1" applyFill="1" applyBorder="1">
      <alignment vertical="center"/>
    </xf>
    <xf numFmtId="178" fontId="11" fillId="20" borderId="6" xfId="1" applyNumberFormat="1" applyFont="1" applyFill="1" applyBorder="1" applyAlignment="1" applyProtection="1">
      <alignment vertical="center" wrapText="1"/>
      <protection locked="0"/>
    </xf>
    <xf numFmtId="0" fontId="11" fillId="20" borderId="6" xfId="1" applyFont="1" applyFill="1" applyBorder="1" applyAlignment="1">
      <alignment horizontal="center" vertical="center" wrapText="1"/>
    </xf>
    <xf numFmtId="0" fontId="10" fillId="10" borderId="4" xfId="1" applyFont="1" applyFill="1" applyBorder="1" applyAlignment="1">
      <alignment horizontal="center" vertical="center"/>
    </xf>
    <xf numFmtId="0" fontId="10" fillId="10" borderId="5" xfId="1" applyFont="1" applyFill="1" applyBorder="1" applyAlignment="1">
      <alignment horizontal="center" vertical="center"/>
    </xf>
    <xf numFmtId="0" fontId="10" fillId="10" borderId="7" xfId="1" applyFont="1" applyFill="1" applyBorder="1" applyAlignment="1">
      <alignment horizontal="center" vertical="center"/>
    </xf>
    <xf numFmtId="0" fontId="15" fillId="0" borderId="16" xfId="1" applyFont="1" applyBorder="1" applyAlignment="1">
      <alignment horizontal="center" vertical="center" wrapText="1"/>
    </xf>
    <xf numFmtId="0" fontId="15" fillId="0" borderId="17" xfId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0" fontId="15" fillId="14" borderId="4" xfId="1" applyFont="1" applyFill="1" applyBorder="1" applyAlignment="1">
      <alignment horizontal="center" vertical="center" wrapText="1"/>
    </xf>
    <xf numFmtId="0" fontId="15" fillId="14" borderId="5" xfId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0" fillId="2" borderId="2" xfId="0" applyFill="1" applyBorder="1"/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6" fillId="7" borderId="2" xfId="0" applyFont="1" applyFill="1" applyBorder="1" applyAlignment="1">
      <alignment horizontal="left" vertical="center" wrapText="1"/>
    </xf>
    <xf numFmtId="0" fontId="0" fillId="7" borderId="2" xfId="0" applyFill="1" applyBorder="1"/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ton/Downloads/&#4363;&#4449;&#4368;&#4457;&#4523;_&#4363;&#4463;&#4527;&#4352;&#4449;&#4523;MM&#4354;&#4450;&#4363;&#4455;&#4520;_AI&#4370;&#4458;&#4527;&#4363;&#4461;&#4540;_8&#4366;&#4449;&#4354;&#4455;&#4523;&#4355;&#4457;_26&#4354;&#4455;&#4523;6&#4363;&#4463;&#4527;_260618_&#4352;&#4450;&#4359;&#4449;&#4527;&#4364;&#4449;&#4520;&#4361;&#4453;&#4540;_&#4352;&#4469;&#4370;&#4460;&#4520;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cuments/&#4352;&#4450;&#4363;&#4469;&#4523;&#4361;&#4453;&#4357;&#4466;/CSR/&#4363;&#4449;&#4368;&#4457;&#4523;_&#4363;&#4463;&#4527;&#4352;&#4449;&#4523;MM&#4354;&#4450;&#4363;&#4455;&#4520;_AI&#4370;&#4458;&#4527;&#4363;&#4461;&#4540;_8&#4366;&#4449;&#4354;&#4455;&#4523;&#4355;&#4457;_26&#4354;&#4455;&#4523;6&#4363;&#4463;&#4527;_260618_&#4352;&#4450;&#4359;&#4449;&#4527;&#4364;&#4449;&#4520;&#4361;&#4453;&#4540;_&#4352;&#4469;&#4370;&#4460;&#4520;1&#4352;&#4469;&#4370;&#4460;&#4520;2&#4355;&#4469;&#4364;&#4449;&#4363;&#4469;&#4354;&#4453;1.xlsx" TargetMode="External"/><Relationship Id="rId2" Type="http://schemas.openxmlformats.org/officeDocument/2006/relationships/externalLinkPath" Target="/Users/aton/Documents/&#4352;&#4450;&#4363;&#4469;&#4523;&#4361;&#4453;&#4357;&#4466;/CSR/&#4363;&#4449;&#4368;&#4457;&#4523;_&#4363;&#4463;&#4527;&#4352;&#4449;&#4523;MM&#4354;&#4450;&#4363;&#4455;&#4520;_AI&#4370;&#4458;&#4527;&#4363;&#4461;&#4540;_8&#4366;&#4449;&#4354;&#4455;&#4523;&#4355;&#4457;_26&#4354;&#4455;&#4523;6&#4363;&#4463;&#4527;_260618_&#4352;&#4450;&#4359;&#4449;&#4527;&#4364;&#4449;&#4520;&#4361;&#4453;&#4540;_&#4352;&#4469;&#4370;&#4460;&#4520;1&#4352;&#4469;&#4370;&#4460;&#4520;2&#4355;&#4469;&#4364;&#4449;&#4363;&#4469;&#4354;&#4453;1.xlsx" TargetMode="External"/><Relationship Id="rId1" Type="http://schemas.openxmlformats.org/officeDocument/2006/relationships/externalLinkPath" Target="/Users/aton/Documents/&#4352;&#4450;&#4363;&#4469;&#4523;&#4361;&#4453;&#4357;&#4466;/CSR/&#4363;&#4449;&#4368;&#4457;&#4523;_&#4363;&#4463;&#4527;&#4352;&#4449;&#4523;MM&#4354;&#4450;&#4363;&#4455;&#4520;_AI&#4370;&#4458;&#4527;&#4363;&#4461;&#4540;_8&#4366;&#4449;&#4354;&#4455;&#4523;&#4355;&#4457;_26&#4354;&#4455;&#4523;6&#4363;&#4463;&#4527;_260618_&#4352;&#4450;&#4359;&#4449;&#4527;&#4364;&#4449;&#4520;&#4361;&#4453;&#4540;_&#4352;&#4469;&#4370;&#4460;&#4520;1&#4352;&#4469;&#4370;&#4460;&#4520;2&#4355;&#4469;&#4364;&#4449;&#4363;&#4469;&#4354;&#4453;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&#44428;&#44592;&#49437;_aton/CSR/202603/&#50500;&#53668;_&#50900;&#44036;MM&#45236;&#50669;_8&#52264;&#45380;&#46020;_26&#45380;%2003&#50900;_260323.xlsx" TargetMode="External"/><Relationship Id="rId1" Type="http://schemas.openxmlformats.org/officeDocument/2006/relationships/externalLinkPath" Target="file:///D:/&#44428;&#44592;&#49437;_aton/CSR/202603/&#50500;&#53668;_&#50900;&#44036;MM&#45236;&#50669;_8&#52264;&#45380;&#46020;_26&#45380;%2003&#50900;_26032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ton/Downloads/&#50500;&#53668;_&#50900;&#44036;MM&#45236;&#50669;_8&#52264;&#45380;&#46020;_26&#45380;%2002&#50900;_&#44592;&#54925;1234QA12&#46356;&#51088;&#51060;&#45320;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ton/Downloads/&#50500;&#53668;_&#50900;&#44036;MM&#45236;&#50669;_8&#52264;&#45380;&#46020;_26&#45380;%2003&#50900;_260320_&#44060;&#48156;&#51089;&#49457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ton/Downloads/&#50500;&#53668;_&#50900;&#44036;MM&#45236;&#50669;_8&#52264;&#45380;&#46020;_26&#45380;%2003&#50900;_260320_&#44060;&#48156;&#51089;&#49457;_QA&#46356;&#51088;&#51060;&#45320;&#54140;&#48660;&#47532;&#49492;&#44592;&#54925;23.xlsx" TargetMode="External"/><Relationship Id="rId1" Type="http://schemas.openxmlformats.org/officeDocument/2006/relationships/externalLinkPath" Target="file:///C:/Users/aton/Downloads/&#50500;&#53668;_&#50900;&#44036;MM&#45236;&#50669;_8&#52264;&#45380;&#46020;_26&#45380;%2003&#50900;_260320_&#44060;&#48156;&#51089;&#49457;_QA&#46356;&#51088;&#51060;&#45320;&#54140;&#48660;&#47532;&#49492;&#44592;&#54925;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R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SR"/>
      <sheetName val="26년06월"/>
      <sheetName val="AI활용 현황 분석_유플러스 작성 예정"/>
      <sheetName val="26년05월"/>
      <sheetName val="26년04월"/>
      <sheetName val="26년03월"/>
      <sheetName val="26년02월"/>
      <sheetName val="26년01월"/>
      <sheetName val="25년12월"/>
      <sheetName val="25년11월"/>
      <sheetName val="AI활용 가이드"/>
      <sheetName val="26년05월(AI활용)"/>
    </sheetNames>
    <sheetDataSet>
      <sheetData sheetId="0" refreshError="1">
        <row r="10">
          <cell r="D10" t="str">
            <v>상세추진과제</v>
          </cell>
          <cell r="E10" t="str">
            <v>CSR_Level1</v>
          </cell>
        </row>
        <row r="11">
          <cell r="D11" t="str">
            <v xml:space="preserve">PASS앱 광고영역 확대 및 고도화 (구글광고 연동 등) </v>
          </cell>
          <cell r="E11" t="str">
            <v>CSR_10100</v>
          </cell>
        </row>
        <row r="12">
          <cell r="D12" t="str">
            <v>PASS 홈 화면 고도화 (쉬운 화면 적용 등)</v>
          </cell>
          <cell r="E12" t="str">
            <v>CSR_10200</v>
          </cell>
        </row>
        <row r="13">
          <cell r="D13" t="str">
            <v xml:space="preserve">ㄴPASS MAIN 개편 </v>
          </cell>
          <cell r="E13" t="str">
            <v>CSR_10201</v>
          </cell>
        </row>
        <row r="14">
          <cell r="D14" t="str">
            <v>PASS 다크모드 지원</v>
          </cell>
          <cell r="E14" t="str">
            <v>CSR_10300</v>
          </cell>
        </row>
        <row r="15">
          <cell r="D15" t="str">
            <v>PASS MY 화면 고도화</v>
          </cell>
          <cell r="E15" t="str">
            <v>CSR_10400</v>
          </cell>
        </row>
        <row r="16">
          <cell r="D16" t="str">
            <v>PASS 전체 화면 고도화</v>
          </cell>
          <cell r="E16" t="str">
            <v>CSR_10500</v>
          </cell>
        </row>
        <row r="17">
          <cell r="D17" t="str">
            <v>PASS 알림내역 화면 고도화</v>
          </cell>
          <cell r="E17" t="str">
            <v>CSR_10600</v>
          </cell>
        </row>
        <row r="18">
          <cell r="D18" t="str">
            <v>PASS 앱인앱 고도화 (웹뷰 고도화)</v>
          </cell>
          <cell r="E18" t="str">
            <v>CSR_10700</v>
          </cell>
        </row>
        <row r="19">
          <cell r="D19" t="str">
            <v>PASS 주소록 기능 개발</v>
          </cell>
          <cell r="E19" t="str">
            <v>CSR_10800</v>
          </cell>
        </row>
        <row r="20">
          <cell r="D20" t="str">
            <v>PASS 운영/마케팅 기능 개선</v>
          </cell>
          <cell r="E20" t="str">
            <v>CSR_10900</v>
          </cell>
        </row>
        <row r="21">
          <cell r="D21" t="str">
            <v>PASS 로그인 방식 개선 (정책 강화 등)</v>
          </cell>
          <cell r="E21" t="str">
            <v>CSR_11000</v>
          </cell>
        </row>
        <row r="22">
          <cell r="D22" t="str">
            <v>ㄴ PIN 인증방식 전환</v>
          </cell>
          <cell r="E22" t="str">
            <v>CSR_11001</v>
          </cell>
        </row>
        <row r="23">
          <cell r="D23" t="str">
            <v>ㄴ JWT 도입에 따른 앱 진입/인증 흐름 개선</v>
          </cell>
          <cell r="E23" t="str">
            <v>CSR_11002</v>
          </cell>
        </row>
        <row r="24">
          <cell r="D24" t="str">
            <v>PASS 공통 화면 개선 (모달형태 약관 화면 적용, 알림팝업 적용 등)</v>
          </cell>
          <cell r="E24" t="str">
            <v>CSR_11100</v>
          </cell>
        </row>
        <row r="25">
          <cell r="D25" t="str">
            <v>PASS 홈페이지 고도화</v>
          </cell>
          <cell r="E25" t="str">
            <v>CSR_11200</v>
          </cell>
        </row>
        <row r="26">
          <cell r="D26" t="str">
            <v>서비스 개발</v>
          </cell>
          <cell r="E26" t="str">
            <v>CSR_11300</v>
          </cell>
        </row>
        <row r="27">
          <cell r="D27" t="str">
            <v>ㄴ회원가입화면 개선</v>
          </cell>
          <cell r="E27" t="str">
            <v>CSR_11301</v>
          </cell>
        </row>
        <row r="28">
          <cell r="D28" t="str">
            <v>ㄴ펫신분증 UI 개선</v>
          </cell>
          <cell r="E28" t="str">
            <v>CSR_11302</v>
          </cell>
        </row>
        <row r="29">
          <cell r="D29" t="str">
            <v>ㄴ계좌인증 금융기관 선택 화면 현행화</v>
          </cell>
          <cell r="E29" t="str">
            <v>CSR_11303</v>
          </cell>
        </row>
        <row r="30">
          <cell r="D30" t="str">
            <v>ㄴ1:1 문의 카테고리 추가</v>
          </cell>
          <cell r="E30" t="str">
            <v>CSR_11304</v>
          </cell>
        </row>
        <row r="31">
          <cell r="D31" t="str">
            <v>ㄴ유·무료 서비스 동의화면 개선</v>
          </cell>
          <cell r="E31" t="str">
            <v>CSR_11305</v>
          </cell>
        </row>
        <row r="32">
          <cell r="D32" t="str">
            <v>ㄴ하단GNB 개편</v>
          </cell>
          <cell r="E32" t="str">
            <v>CSR_11306</v>
          </cell>
        </row>
        <row r="33">
          <cell r="D33" t="str">
            <v>ㄴ부가서비스 다회선 전환시 안내 문구 및 마스킹 처리 적용</v>
          </cell>
          <cell r="E33" t="str">
            <v>CSR_11307</v>
          </cell>
        </row>
        <row r="34">
          <cell r="D34" t="str">
            <v>ㄴ폴라리스오피스 기본앱 설정 관련 수정</v>
          </cell>
          <cell r="E34" t="str">
            <v>CSR_11308</v>
          </cell>
        </row>
        <row r="35">
          <cell r="D35" t="str">
            <v>ㄴ고객의 소리 링크 변경</v>
          </cell>
          <cell r="E35" t="str">
            <v>CSR_11309</v>
          </cell>
        </row>
        <row r="36">
          <cell r="D36" t="str">
            <v>ㄴMIS 실행 시 선택 업데이트 기능 추가</v>
          </cell>
          <cell r="E36" t="str">
            <v>CSR_11310</v>
          </cell>
        </row>
        <row r="37">
          <cell r="D37" t="str">
            <v>ㄴ애드몹 광고형식 추가</v>
          </cell>
          <cell r="E37" t="str">
            <v>CSR_11311</v>
          </cell>
        </row>
        <row r="38">
          <cell r="D38" t="str">
            <v>ㄴ PASS 전자고지 열람 시 IMEI 조회 실패 오류 안내 개선</v>
          </cell>
          <cell r="E38" t="str">
            <v>CSR_11312</v>
          </cell>
        </row>
        <row r="39">
          <cell r="D39" t="str">
            <v>ㄴIOS : PASS 앱 icloud (클라우드 복원시 재가입 프로세스 유도)</v>
          </cell>
          <cell r="E39" t="str">
            <v>CSR_11313</v>
          </cell>
        </row>
        <row r="40">
          <cell r="D40" t="str">
            <v xml:space="preserve">ㄴ외부플랫폼 진입 시 브릿지 페이지 </v>
          </cell>
          <cell r="E40" t="str">
            <v>CSR_11314</v>
          </cell>
        </row>
        <row r="41">
          <cell r="D41" t="str">
            <v>ㄴ업데이트 후 서비스 진입 개선</v>
          </cell>
          <cell r="E41" t="str">
            <v>CSR_11315</v>
          </cell>
        </row>
        <row r="42">
          <cell r="D42" t="str">
            <v>ㄴ유료가입 페이지 바텀시트 처리</v>
          </cell>
          <cell r="E42" t="str">
            <v>CSR_11316</v>
          </cell>
        </row>
        <row r="43">
          <cell r="D43" t="str">
            <v>ㄴPASS 내 스와이프로 뒤로가기</v>
          </cell>
          <cell r="E43" t="str">
            <v>CSR_11317</v>
          </cell>
        </row>
        <row r="44">
          <cell r="D44" t="str">
            <v>ㄴ외국인 해외 송금</v>
          </cell>
          <cell r="E44" t="str">
            <v>CSR_11317</v>
          </cell>
        </row>
        <row r="45">
          <cell r="D45" t="str">
            <v>ㄴ인증서 FDS 기능 추가 : 인증서 인정평가 보완조치</v>
          </cell>
          <cell r="E45" t="str">
            <v>CSR_11318</v>
          </cell>
        </row>
        <row r="46">
          <cell r="D46" t="str">
            <v>ㄴnCAS → ngCAS 이관 개발 (부가서비스, 모바일신분증, 통합인증서버)</v>
          </cell>
          <cell r="E46" t="str">
            <v>CSR_11319</v>
          </cell>
        </row>
        <row r="47">
          <cell r="D47" t="str">
            <v>서비스 품질개선</v>
          </cell>
          <cell r="E47" t="str">
            <v>CSR_11400</v>
          </cell>
        </row>
        <row r="48">
          <cell r="D48" t="str">
            <v>ㄴ25년 11월 2차 서버 검수</v>
          </cell>
          <cell r="E48" t="str">
            <v>CSR_11401</v>
          </cell>
        </row>
        <row r="49">
          <cell r="D49" t="str">
            <v>ㄴ25년 11월 앱 배포 검수</v>
          </cell>
          <cell r="E49" t="str">
            <v>CSR_11402</v>
          </cell>
        </row>
        <row r="50">
          <cell r="D50" t="str">
            <v>ㄴ25년 12월 서버 긴급 검수</v>
          </cell>
          <cell r="E50" t="str">
            <v>CSR_11403</v>
          </cell>
        </row>
        <row r="51">
          <cell r="D51" t="str">
            <v>ㄴ25년 12월 앱 긴급 배포 검수</v>
          </cell>
          <cell r="E51" t="str">
            <v>CSR_11404</v>
          </cell>
        </row>
        <row r="52">
          <cell r="D52" t="str">
            <v>ㄴ26년 01월 2차 서버 검수</v>
          </cell>
          <cell r="E52" t="str">
            <v>CSR_11405</v>
          </cell>
        </row>
        <row r="53">
          <cell r="D53" t="str">
            <v>ㄴ26년 01월 앱 긴급 배포 검수</v>
          </cell>
          <cell r="E53" t="str">
            <v>CSR_11406</v>
          </cell>
        </row>
        <row r="54">
          <cell r="D54" t="str">
            <v>ㄴ26년 2월 서버 긴급 검수</v>
          </cell>
          <cell r="E54" t="str">
            <v>CSR_11407</v>
          </cell>
        </row>
        <row r="55">
          <cell r="D55" t="str">
            <v>ㄴ26년 2월 앱 긴급 배포 검수</v>
          </cell>
          <cell r="E55" t="str">
            <v>CSR_11408</v>
          </cell>
        </row>
        <row r="56">
          <cell r="D56" t="str">
            <v>ㄴ26년 3월 앱 배포 검수</v>
          </cell>
          <cell r="E56" t="str">
            <v>CSR_11409</v>
          </cell>
        </row>
        <row r="57">
          <cell r="D57" t="str">
            <v>ㄴ26년 3월 1차 서버 검수</v>
          </cell>
          <cell r="E57" t="str">
            <v>CSR_11410</v>
          </cell>
        </row>
        <row r="58">
          <cell r="D58" t="str">
            <v>ㄴ26년 3월 2차 서버 검수</v>
          </cell>
          <cell r="E58" t="str">
            <v>CSR_11411</v>
          </cell>
        </row>
        <row r="59">
          <cell r="D59" t="str">
            <v>ㄴ26년 4월 앱 배포 검수</v>
          </cell>
          <cell r="E59" t="str">
            <v>CSR_11412</v>
          </cell>
        </row>
        <row r="60">
          <cell r="D60" t="str">
            <v>ㄴ26년 4월 1차 서버 검수</v>
          </cell>
          <cell r="E60" t="str">
            <v>CSR_11413</v>
          </cell>
        </row>
        <row r="61">
          <cell r="D61" t="str">
            <v>ㄴ26년 5월 1차 서버 검수</v>
          </cell>
          <cell r="E61" t="str">
            <v>CSR_11414</v>
          </cell>
        </row>
        <row r="62">
          <cell r="D62" t="str">
            <v>ㄴ26년 5월 2차 서버 검수</v>
          </cell>
          <cell r="E62" t="str">
            <v>CSR_11415</v>
          </cell>
        </row>
        <row r="63">
          <cell r="D63" t="str">
            <v>ㄴ26년 6월 앱 배포 검수</v>
          </cell>
          <cell r="E63" t="str">
            <v>CSR_11416</v>
          </cell>
        </row>
        <row r="64">
          <cell r="D64" t="str">
            <v>ㄴ26년 6월 2차 서버 검수</v>
          </cell>
          <cell r="E64" t="str">
            <v>CSR_11417</v>
          </cell>
        </row>
        <row r="65">
          <cell r="D65" t="str">
            <v xml:space="preserve">PASS UI/UX 개선 </v>
          </cell>
          <cell r="E65" t="str">
            <v>CSR_11500</v>
          </cell>
        </row>
        <row r="66">
          <cell r="D66" t="str">
            <v>OS 보안 대응</v>
          </cell>
          <cell r="E66" t="str">
            <v>CSR_11501</v>
          </cell>
        </row>
        <row r="68">
          <cell r="D68" t="str">
            <v>(상시) PASS앱 이벤트 실행·효과분석</v>
          </cell>
          <cell r="E68" t="str">
            <v>CSR_20000</v>
          </cell>
        </row>
        <row r="69">
          <cell r="D69" t="str">
            <v>ㄴ앱 리뷰 이벤트 2차</v>
          </cell>
          <cell r="E69" t="str">
            <v>CSR_20001</v>
          </cell>
        </row>
        <row r="70">
          <cell r="D70" t="str">
            <v>ㄴPASS 출첵 스탬프 이벤트</v>
          </cell>
          <cell r="E70" t="str">
            <v>CSR_20002</v>
          </cell>
        </row>
        <row r="71">
          <cell r="D71" t="str">
            <v>ㄴGS25 신분증결제 오픈 이벤트 1차</v>
          </cell>
          <cell r="E71" t="str">
            <v>CSR_20003</v>
          </cell>
        </row>
        <row r="72">
          <cell r="D72" t="str">
            <v>ㄴGS25 신분증결제 오픈 이벤트 2차</v>
          </cell>
          <cell r="E72" t="str">
            <v>CSR_20004</v>
          </cell>
        </row>
        <row r="73">
          <cell r="D73" t="str">
            <v>ㄴPASS 전자고지 활성화 이벤트</v>
          </cell>
          <cell r="E73" t="str">
            <v>CSR_20005</v>
          </cell>
        </row>
        <row r="74">
          <cell r="D74" t="str">
            <v>ㄴ주소록 오픈 이벤트 (with 오피스도우미)</v>
          </cell>
          <cell r="E74" t="str">
            <v>CSR_20006</v>
          </cell>
        </row>
        <row r="75">
          <cell r="D75" t="str">
            <v>ㄴ주소록X더치트프리미엄 연계 이벤트</v>
          </cell>
          <cell r="E75" t="str">
            <v>CSR_20007</v>
          </cell>
        </row>
        <row r="76">
          <cell r="D76" t="str">
            <v>ㄴ26년 전국동시지방선거 홍보</v>
          </cell>
          <cell r="E76" t="str">
            <v>CSR_20008</v>
          </cell>
        </row>
        <row r="77">
          <cell r="D77" t="str">
            <v>(기타) 부가서비스 이벤트 지원</v>
          </cell>
          <cell r="E77" t="str">
            <v>CSR_20100</v>
          </cell>
        </row>
        <row r="78">
          <cell r="D78" t="str">
            <v>PASS머니 고도화 및 운영 지원</v>
          </cell>
          <cell r="E78" t="str">
            <v>CSR_20200</v>
          </cell>
        </row>
        <row r="79">
          <cell r="D79" t="str">
            <v>PUSH시스템 고도화 및 운영 지원</v>
          </cell>
          <cell r="E79" t="str">
            <v>CSR_20300</v>
          </cell>
        </row>
        <row r="80">
          <cell r="D80" t="str">
            <v>GA4 컨텐츠 그룹핑 반영 및 운영 지원</v>
          </cell>
          <cell r="E80" t="str">
            <v>CSR_20400</v>
          </cell>
        </row>
        <row r="82">
          <cell r="D82" t="str">
            <v>CP 파트너십 관리 (PASS 앱 기획, 디자인, 개발 가이드)</v>
          </cell>
          <cell r="E82" t="str">
            <v>CSR_30000</v>
          </cell>
        </row>
        <row r="83">
          <cell r="D83" t="str">
            <v>금융광고 관리 (PASS 앱 기획, 디자인, 개발 가이드)</v>
          </cell>
          <cell r="E83" t="str">
            <v>CSR_30100</v>
          </cell>
        </row>
        <row r="84">
          <cell r="D84" t="str">
            <v>LGU+ 요청사항 대응 및 운영</v>
          </cell>
          <cell r="E84" t="str">
            <v>CSR_30200</v>
          </cell>
        </row>
        <row r="85">
          <cell r="D85" t="str">
            <v>VOC 처리, 대응 및 사용자 공지</v>
          </cell>
          <cell r="E85" t="str">
            <v>CSR_30300</v>
          </cell>
        </row>
        <row r="86">
          <cell r="D86" t="str">
            <v>고객센터 (1:1문의, FAQ, 홈페이지) 관련 대응 및 운영</v>
          </cell>
          <cell r="E86" t="str">
            <v>CSR_30400</v>
          </cell>
        </row>
        <row r="87">
          <cell r="D87" t="str">
            <v xml:space="preserve">서비스 품질관리를 위한 내부 QA 진행 </v>
          </cell>
          <cell r="E87" t="str">
            <v>CSR_30500</v>
          </cell>
        </row>
        <row r="88">
          <cell r="D88" t="str">
            <v>업무보고 및 협의</v>
          </cell>
          <cell r="E88" t="str">
            <v>CSR_30600</v>
          </cell>
        </row>
        <row r="89">
          <cell r="D89" t="str">
            <v>서버 운영 지원 및 모니터링/장애대응_부가서비스 및 광고</v>
          </cell>
          <cell r="E89" t="str">
            <v>CSR_30700</v>
          </cell>
        </row>
        <row r="90">
          <cell r="D90" t="str">
            <v xml:space="preserve">서버 운영 지원 및 모니터링/장애대응_신분증 서비스 </v>
          </cell>
          <cell r="E90" t="str">
            <v>CSR_30800</v>
          </cell>
        </row>
        <row r="91">
          <cell r="D91" t="str">
            <v>장애대응 공지메뉴 추가 (VAS 어드민)</v>
          </cell>
          <cell r="E91" t="str">
            <v>CSR_30900</v>
          </cell>
        </row>
        <row r="93">
          <cell r="D93" t="str">
            <v>KAIT 명의도용방지서비스(M-safer) 고도화</v>
          </cell>
          <cell r="E93" t="str">
            <v>CSR_40000</v>
          </cell>
        </row>
        <row r="94">
          <cell r="D94" t="str">
            <v>혜택알리미 등 PASS지갑 연동 개발</v>
          </cell>
          <cell r="E94" t="str">
            <v>CSR_40100</v>
          </cell>
        </row>
        <row r="95">
          <cell r="D95" t="str">
            <v>본인확인 고도화</v>
          </cell>
          <cell r="E95" t="str">
            <v>CSR_40200</v>
          </cell>
        </row>
        <row r="96">
          <cell r="D96" t="str">
            <v>모바일신분증 고도화 (라인업 확대_시민증 관광증)</v>
          </cell>
          <cell r="E96" t="str">
            <v>CSR_40300</v>
          </cell>
        </row>
        <row r="97">
          <cell r="D97" t="str">
            <v>통신업무 "안면인증" PASS 활용 기능 및 사업화</v>
          </cell>
          <cell r="E97" t="str">
            <v>CSR_40400</v>
          </cell>
        </row>
        <row r="98">
          <cell r="D98" t="str">
            <v>인증서 고도화</v>
          </cell>
          <cell r="E98" t="str">
            <v>CSR_40500</v>
          </cell>
        </row>
        <row r="99">
          <cell r="D99" t="str">
            <v>PASS지갑 고도화</v>
          </cell>
          <cell r="E99" t="str">
            <v>CSR_40600</v>
          </cell>
        </row>
        <row r="100">
          <cell r="D100" t="str">
            <v>휴대폰결제 고도화</v>
          </cell>
          <cell r="E100" t="str">
            <v>CSR_40700</v>
          </cell>
        </row>
        <row r="101">
          <cell r="D101" t="str">
            <v>신분증결제 고도화</v>
          </cell>
          <cell r="E101" t="str">
            <v>CSR_40800</v>
          </cell>
        </row>
        <row r="102">
          <cell r="D102" t="str">
            <v>PASS 안심인증 서비스 개발</v>
          </cell>
          <cell r="E102" t="str">
            <v>CSR_40900</v>
          </cell>
        </row>
        <row r="103">
          <cell r="D103" t="str">
            <v>콘텐츠 신규 개발 및 플랫폼 연동</v>
          </cell>
          <cell r="E103" t="str">
            <v>CSR_41000</v>
          </cell>
        </row>
        <row r="104">
          <cell r="D104" t="str">
            <v>부가서비스 신규 개발 및 플랫폼 연동</v>
          </cell>
          <cell r="E104" t="str">
            <v>CSR_41100</v>
          </cell>
        </row>
        <row r="105">
          <cell r="D105" t="str">
            <v>ㄴ마인드케어 프리미엄</v>
          </cell>
          <cell r="E105" t="str">
            <v>CSR_41101</v>
          </cell>
        </row>
        <row r="106">
          <cell r="D106" t="str">
            <v>ㄴ에코혜택모아</v>
          </cell>
          <cell r="E106" t="str">
            <v>CSR_41102</v>
          </cell>
        </row>
        <row r="107">
          <cell r="D107" t="str">
            <v>ㄴPASS안심클라우드</v>
          </cell>
          <cell r="E107" t="str">
            <v>CSR_41103</v>
          </cell>
        </row>
        <row r="108">
          <cell r="D108" t="str">
            <v>ㄴ오늘의 게임</v>
          </cell>
          <cell r="E108" t="str">
            <v>CSR_41104</v>
          </cell>
        </row>
        <row r="109">
          <cell r="D109" t="str">
            <v>ㄴ기프트샵 CP사 변경</v>
          </cell>
          <cell r="E109" t="str">
            <v>CSR_41105</v>
          </cell>
        </row>
        <row r="110">
          <cell r="D110" t="str">
            <v>일반서비스 신규 개발 및 플랫폼 연동</v>
          </cell>
          <cell r="E110" t="str">
            <v>CSR_41200</v>
          </cell>
        </row>
        <row r="111">
          <cell r="D111" t="str">
            <v>ㄴ스마트청구서 개발</v>
          </cell>
          <cell r="E111" t="str">
            <v>CSR_41201</v>
          </cell>
        </row>
        <row r="112">
          <cell r="D112" t="str">
            <v>ㄴB2C PASS 보안서비스</v>
          </cell>
          <cell r="E112" t="str">
            <v>CSR_41202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R"/>
      <sheetName val="26년03월"/>
      <sheetName val="26년02월"/>
      <sheetName val="26년01월"/>
      <sheetName val="25년12월"/>
      <sheetName val="25년11월"/>
      <sheetName val="data"/>
    </sheetNames>
    <sheetDataSet>
      <sheetData sheetId="0">
        <row r="4">
          <cell r="E4"/>
        </row>
        <row r="5">
          <cell r="E5"/>
        </row>
        <row r="6">
          <cell r="E6"/>
        </row>
        <row r="7">
          <cell r="E7"/>
        </row>
        <row r="8">
          <cell r="E8"/>
        </row>
        <row r="9">
          <cell r="D9"/>
          <cell r="E9"/>
        </row>
        <row r="10">
          <cell r="D10" t="str">
            <v>상세추진과제</v>
          </cell>
          <cell r="E10" t="str">
            <v>CSR_Level1</v>
          </cell>
        </row>
        <row r="11">
          <cell r="D11" t="str">
            <v xml:space="preserve">PASS앱 광고영역 확대 및 고도화 (구글광고 연동 등) </v>
          </cell>
          <cell r="E11" t="str">
            <v>CSR_10100</v>
          </cell>
        </row>
        <row r="12">
          <cell r="D12" t="str">
            <v>PASS 홈 화면 고도화 (쉬운 화면 적용 등)</v>
          </cell>
          <cell r="E12" t="str">
            <v>CSR_10200</v>
          </cell>
        </row>
        <row r="13">
          <cell r="D13" t="str">
            <v>PASS 다크모드 지원</v>
          </cell>
          <cell r="E13" t="str">
            <v>CSR_10300</v>
          </cell>
        </row>
        <row r="14">
          <cell r="D14" t="str">
            <v>PASS MY 화면 고도화</v>
          </cell>
          <cell r="E14" t="str">
            <v>CSR_10400</v>
          </cell>
        </row>
        <row r="15">
          <cell r="D15" t="str">
            <v>PASS 전체 화면 고도화</v>
          </cell>
          <cell r="E15" t="str">
            <v>CSR_10500</v>
          </cell>
        </row>
        <row r="16">
          <cell r="D16" t="str">
            <v>PASS 알림내역 화면 고도화</v>
          </cell>
          <cell r="E16" t="str">
            <v>CSR_10600</v>
          </cell>
        </row>
        <row r="17">
          <cell r="D17" t="str">
            <v>PASS 앱인앱 고도화 (웹뷰 고도화)</v>
          </cell>
          <cell r="E17" t="str">
            <v>CSR_10700</v>
          </cell>
        </row>
        <row r="18">
          <cell r="D18" t="str">
            <v>PASS 주소록 기능 개발</v>
          </cell>
          <cell r="E18" t="str">
            <v>CSR_10800</v>
          </cell>
        </row>
        <row r="19">
          <cell r="D19" t="str">
            <v>PASS 운영/마케팅 기능 개선</v>
          </cell>
          <cell r="E19" t="str">
            <v>CSR_10900</v>
          </cell>
        </row>
        <row r="20">
          <cell r="D20" t="str">
            <v>PASS 로그인 방식 개선 (정책 강화 등)</v>
          </cell>
          <cell r="E20" t="str">
            <v>CSR_11000</v>
          </cell>
        </row>
        <row r="21">
          <cell r="D21" t="str">
            <v>ㄴ PIN 인증방식 전환</v>
          </cell>
          <cell r="E21" t="str">
            <v>CSR_11001</v>
          </cell>
        </row>
        <row r="22">
          <cell r="D22" t="str">
            <v>ㄴ JWT 도입에 따른 앱 진입/인증 흐름 개선</v>
          </cell>
          <cell r="E22" t="str">
            <v>CSR_11002</v>
          </cell>
        </row>
        <row r="23">
          <cell r="D23" t="str">
            <v>PASS 공통 화면 개선 (모달형태 약관 화면 적용, 알림팝업 적용 등)</v>
          </cell>
          <cell r="E23" t="str">
            <v>CSR_11100</v>
          </cell>
        </row>
        <row r="24">
          <cell r="D24" t="str">
            <v>PASS 홈페이지 고도화</v>
          </cell>
          <cell r="E24" t="str">
            <v>CSR_11200</v>
          </cell>
        </row>
        <row r="25">
          <cell r="D25" t="str">
            <v>서비스 개발</v>
          </cell>
          <cell r="E25" t="str">
            <v>CSR_11300</v>
          </cell>
        </row>
        <row r="26">
          <cell r="D26" t="str">
            <v>ㄴ회원가입화면 개선</v>
          </cell>
          <cell r="E26" t="str">
            <v>CSR_11301</v>
          </cell>
        </row>
        <row r="27">
          <cell r="D27" t="str">
            <v>ㄴ펫신분증 UI 개선</v>
          </cell>
          <cell r="E27" t="str">
            <v>CSR_11302</v>
          </cell>
        </row>
        <row r="28">
          <cell r="D28" t="str">
            <v>ㄴ계좌인증 금융기관 선택 화면 현행화</v>
          </cell>
          <cell r="E28" t="str">
            <v>CSR_11303</v>
          </cell>
        </row>
        <row r="29">
          <cell r="D29" t="str">
            <v>ㄴ1:1 문의 카테고리 추가</v>
          </cell>
          <cell r="E29" t="str">
            <v>CSR_11304</v>
          </cell>
        </row>
        <row r="30">
          <cell r="D30" t="str">
            <v>ㄴ유·무료 서비스 동의화면 개선</v>
          </cell>
          <cell r="E30" t="str">
            <v>CSR_11305</v>
          </cell>
        </row>
        <row r="31">
          <cell r="D31" t="str">
            <v>ㄴ하단GNB 개편</v>
          </cell>
          <cell r="E31" t="str">
            <v>CSR_11306</v>
          </cell>
        </row>
        <row r="32">
          <cell r="D32" t="str">
            <v>ㄴ부가서비스 다회선 전환시 안내 문구 및 마스킹 처리 적용</v>
          </cell>
          <cell r="E32" t="str">
            <v>CSR_11307</v>
          </cell>
        </row>
        <row r="33">
          <cell r="D33" t="str">
            <v>ㄴ폴라리스오피스 기본앱 설정 관련 수정</v>
          </cell>
          <cell r="E33" t="str">
            <v>CSR_11308</v>
          </cell>
        </row>
        <row r="34">
          <cell r="D34" t="str">
            <v>ㄴ고객의 소리 링크 변경</v>
          </cell>
          <cell r="E34" t="str">
            <v>CSR_11309</v>
          </cell>
        </row>
        <row r="35">
          <cell r="D35" t="str">
            <v>ㄴMIS 실행 시 선택 업데이트 기능 추가</v>
          </cell>
          <cell r="E35" t="str">
            <v>CSR_11310</v>
          </cell>
        </row>
        <row r="36">
          <cell r="D36" t="str">
            <v>ㄴ애드몹 광고형식 추가</v>
          </cell>
          <cell r="E36" t="str">
            <v>CSR_11311</v>
          </cell>
        </row>
        <row r="37">
          <cell r="D37" t="str">
            <v>ㄴ PASS 전자고지 열람 시 IMEI 조회 실패 오류 안내 개선</v>
          </cell>
          <cell r="E37" t="str">
            <v>CSR_11312</v>
          </cell>
        </row>
        <row r="38">
          <cell r="D38" t="str">
            <v>ㄴIOS : PASS 앱 icloud (클라우드 복원시 재가입 프로세스 유도)</v>
          </cell>
          <cell r="E38" t="str">
            <v>CSR_11313</v>
          </cell>
        </row>
        <row r="39">
          <cell r="D39" t="str">
            <v>서비스 품질개선</v>
          </cell>
          <cell r="E39" t="str">
            <v>CSR_11400</v>
          </cell>
        </row>
        <row r="40">
          <cell r="D40" t="str">
            <v>ㄴ25년 11월 2차 서버 검수</v>
          </cell>
          <cell r="E40" t="str">
            <v>CSR_11401</v>
          </cell>
        </row>
        <row r="41">
          <cell r="D41" t="str">
            <v>ㄴ25년 11월 앱 배포 검수</v>
          </cell>
          <cell r="E41" t="str">
            <v>CSR_11402</v>
          </cell>
        </row>
        <row r="42">
          <cell r="D42" t="str">
            <v>ㄴ25년 12월 서버 긴급 검수</v>
          </cell>
          <cell r="E42" t="str">
            <v>CSR_11403</v>
          </cell>
        </row>
        <row r="43">
          <cell r="D43" t="str">
            <v>ㄴ25년 12월 앱 긴급 배포 검수</v>
          </cell>
          <cell r="E43" t="str">
            <v>CSR_11404</v>
          </cell>
        </row>
        <row r="44">
          <cell r="D44" t="str">
            <v>ㄴ26년 01월 2차 서버 검수</v>
          </cell>
          <cell r="E44" t="str">
            <v>CSR_11405</v>
          </cell>
        </row>
        <row r="45">
          <cell r="D45" t="str">
            <v>ㄴ26년 01월 앱 긴급 배포 검수</v>
          </cell>
          <cell r="E45" t="str">
            <v>CSR_11406</v>
          </cell>
        </row>
        <row r="46">
          <cell r="D46" t="str">
            <v>ㄴ26년 2월 서버 긴급 검수</v>
          </cell>
          <cell r="E46" t="str">
            <v>CSR_11407</v>
          </cell>
        </row>
        <row r="47">
          <cell r="D47" t="str">
            <v>ㄴ26년 2월 앱 긴급 배포 검수</v>
          </cell>
          <cell r="E47" t="str">
            <v>CSR_11408</v>
          </cell>
        </row>
        <row r="48">
          <cell r="D48" t="str">
            <v>ㄴ26년 3월 앱 배포 검수</v>
          </cell>
          <cell r="E48" t="str">
            <v>CSR_11409</v>
          </cell>
        </row>
        <row r="49">
          <cell r="D49" t="str">
            <v>ㄴ26년 3월 1차 서버 검수</v>
          </cell>
          <cell r="E49" t="str">
            <v>CSR_11410</v>
          </cell>
        </row>
        <row r="50">
          <cell r="D50" t="str">
            <v>ㄴ26년 3월 2차 서버 검수</v>
          </cell>
          <cell r="E50" t="str">
            <v>CSR_11411</v>
          </cell>
        </row>
        <row r="51">
          <cell r="D51"/>
          <cell r="E51"/>
        </row>
        <row r="52">
          <cell r="D52" t="str">
            <v>(상시) PASS앱 이벤트 실행·효과분석</v>
          </cell>
          <cell r="E52" t="str">
            <v>CSR_20000</v>
          </cell>
        </row>
        <row r="53">
          <cell r="D53" t="str">
            <v>ㄴ앱 리뷰 이벤트 2차</v>
          </cell>
          <cell r="E53" t="str">
            <v>CSR_20001</v>
          </cell>
        </row>
        <row r="54">
          <cell r="D54" t="str">
            <v>ㄴPASS 출첵 스탬프 이벤트</v>
          </cell>
          <cell r="E54" t="str">
            <v>CSR_20002</v>
          </cell>
        </row>
        <row r="55">
          <cell r="D55" t="str">
            <v>ㄴGS25 신분증결제 오픈 이벤트 1차</v>
          </cell>
          <cell r="E55" t="str">
            <v>CSR_20003</v>
          </cell>
        </row>
        <row r="56">
          <cell r="D56" t="str">
            <v>ㄴGS25 신분증결제 오픈 이벤트 2차</v>
          </cell>
          <cell r="E56" t="str">
            <v>CSR_20004</v>
          </cell>
        </row>
        <row r="57">
          <cell r="D57" t="str">
            <v>ㄴPASS 전자고지 활성화 이벤트</v>
          </cell>
          <cell r="E57" t="str">
            <v>CSR_20005</v>
          </cell>
        </row>
        <row r="58">
          <cell r="D58" t="str">
            <v>ㄴ주소록 오픈 이벤트</v>
          </cell>
          <cell r="E58" t="str">
            <v>CSR_20006</v>
          </cell>
        </row>
        <row r="59">
          <cell r="D59" t="str">
            <v>(기타) 부가서비스 이벤트 지원</v>
          </cell>
          <cell r="E59" t="str">
            <v>CSR_20100</v>
          </cell>
        </row>
        <row r="60">
          <cell r="D60" t="str">
            <v>PASS머니 고도화 및 운영 지원</v>
          </cell>
          <cell r="E60" t="str">
            <v>CSR_20200</v>
          </cell>
        </row>
        <row r="61">
          <cell r="D61" t="str">
            <v>PUSH시스템 고도화 및 운영 지원</v>
          </cell>
          <cell r="E61" t="str">
            <v>CSR_20300</v>
          </cell>
        </row>
        <row r="62">
          <cell r="D62" t="str">
            <v>GA4 컨텐츠 그룹핑 반영 및 운영 지원</v>
          </cell>
          <cell r="E62" t="str">
            <v>CSR_20400</v>
          </cell>
        </row>
        <row r="63">
          <cell r="D63"/>
          <cell r="E63"/>
        </row>
        <row r="64">
          <cell r="D64" t="str">
            <v>CP 파트너십 관리 (PASS 앱 기획, 디자인, 개발 가이드)</v>
          </cell>
          <cell r="E64" t="str">
            <v>CSR_30000</v>
          </cell>
        </row>
        <row r="65">
          <cell r="D65" t="str">
            <v>금융광고 관리 (PASS 앱 기획, 디자인, 개발 가이드)</v>
          </cell>
          <cell r="E65" t="str">
            <v>CSR_30100</v>
          </cell>
        </row>
        <row r="66">
          <cell r="D66" t="str">
            <v>LGU+ 요청사항 대응 및 운영</v>
          </cell>
          <cell r="E66" t="str">
            <v>CSR_30200</v>
          </cell>
        </row>
        <row r="67">
          <cell r="D67" t="str">
            <v>VOC 처리, 대응 및 사용자 공지</v>
          </cell>
          <cell r="E67" t="str">
            <v>CSR_30300</v>
          </cell>
        </row>
        <row r="68">
          <cell r="D68" t="str">
            <v>고객센터 (1:1문의, FAQ, 홈페이지) 관련 대응 및 운영</v>
          </cell>
          <cell r="E68" t="str">
            <v>CSR_30400</v>
          </cell>
        </row>
        <row r="69">
          <cell r="D69" t="str">
            <v xml:space="preserve">서비스 품질관리를 위한 내부 QA 진행 </v>
          </cell>
          <cell r="E69" t="str">
            <v>CSR_30500</v>
          </cell>
        </row>
        <row r="70">
          <cell r="D70" t="str">
            <v>업무보고 및 협의</v>
          </cell>
          <cell r="E70" t="str">
            <v>CSR_30600</v>
          </cell>
        </row>
        <row r="71">
          <cell r="D71" t="str">
            <v>서버 운영 지원 및 모니터링/장애대응_부가서비스 및 광고</v>
          </cell>
          <cell r="E71" t="str">
            <v>CSR_30700</v>
          </cell>
        </row>
        <row r="72">
          <cell r="D72" t="str">
            <v xml:space="preserve">서버 운영 지원 및 모니터링/장애대응_신분증 서비스 </v>
          </cell>
          <cell r="E72" t="str">
            <v>CSR_30800</v>
          </cell>
        </row>
        <row r="73">
          <cell r="D73" t="str">
            <v>장애대응 공지메뉴 추가 (VAS 어드민)</v>
          </cell>
          <cell r="E73" t="str">
            <v>CSR_30900</v>
          </cell>
        </row>
        <row r="74">
          <cell r="D74"/>
          <cell r="E74"/>
        </row>
        <row r="75">
          <cell r="D75" t="str">
            <v>KAIT 명의도용방지서비스(M-safer) 고도화</v>
          </cell>
          <cell r="E75" t="str">
            <v>CSR_40000</v>
          </cell>
        </row>
        <row r="76">
          <cell r="D76" t="str">
            <v>혜택알리미 등 PASS지갑 연동 개발</v>
          </cell>
          <cell r="E76" t="str">
            <v>CSR_40100</v>
          </cell>
        </row>
        <row r="77">
          <cell r="D77" t="str">
            <v>본인확인 고도화</v>
          </cell>
          <cell r="E77" t="str">
            <v>CSR_40200</v>
          </cell>
        </row>
        <row r="78">
          <cell r="D78" t="str">
            <v>모바일신분증 고도화 (라인업 확대_시민증 관광증)</v>
          </cell>
          <cell r="E78" t="str">
            <v>CSR_40300</v>
          </cell>
        </row>
        <row r="79">
          <cell r="D79" t="str">
            <v>통신업무 "안면인증" PASS 활용 기능 및 사업화</v>
          </cell>
          <cell r="E79" t="str">
            <v>CSR_40400</v>
          </cell>
        </row>
        <row r="80">
          <cell r="D80" t="str">
            <v>인증서 고도화</v>
          </cell>
          <cell r="E80" t="str">
            <v>CSR_40500</v>
          </cell>
        </row>
        <row r="81">
          <cell r="D81" t="str">
            <v>PASS지갑 고도화</v>
          </cell>
          <cell r="E81" t="str">
            <v>CSR_40600</v>
          </cell>
        </row>
        <row r="82">
          <cell r="D82" t="str">
            <v>휴대폰결제 고도화</v>
          </cell>
          <cell r="E82" t="str">
            <v>CSR_40700</v>
          </cell>
        </row>
        <row r="83">
          <cell r="D83" t="str">
            <v>신분증결제 고도화</v>
          </cell>
          <cell r="E83" t="str">
            <v>CSR_40800</v>
          </cell>
        </row>
        <row r="84">
          <cell r="D84" t="str">
            <v>PASS 안심인증 서비스 개발</v>
          </cell>
          <cell r="E84" t="str">
            <v>CSR_40900</v>
          </cell>
        </row>
        <row r="85">
          <cell r="D85" t="str">
            <v>콘텐츠 신규 개발 및 플랫폼 연동</v>
          </cell>
          <cell r="E85" t="str">
            <v>CSR_41000</v>
          </cell>
        </row>
        <row r="86">
          <cell r="D86" t="str">
            <v>부가서비스 신규 개발 및 플랫폼 연동</v>
          </cell>
          <cell r="E86" t="str">
            <v>CSR_41100</v>
          </cell>
        </row>
        <row r="87">
          <cell r="D87" t="str">
            <v>ㄴ마인드케어 프리미엄</v>
          </cell>
          <cell r="E87" t="str">
            <v>CSR_41101</v>
          </cell>
        </row>
        <row r="88">
          <cell r="D88" t="str">
            <v>ㄴ에코혜택모아</v>
          </cell>
          <cell r="E88" t="str">
            <v>CSR_41102</v>
          </cell>
        </row>
        <row r="89">
          <cell r="D89" t="str">
            <v>ㄴPASS클라우드</v>
          </cell>
          <cell r="E89" t="str">
            <v>CSR_41103</v>
          </cell>
        </row>
        <row r="90">
          <cell r="D90" t="str">
            <v>ㄴ오늘의 게임</v>
          </cell>
          <cell r="E90" t="str">
            <v>CSR_41104</v>
          </cell>
        </row>
        <row r="91">
          <cell r="D91" t="str">
            <v>일반서비스 신규 개발 및 플랫폼 연동</v>
          </cell>
          <cell r="E91" t="str">
            <v>CSR_41200</v>
          </cell>
        </row>
        <row r="92">
          <cell r="D92"/>
          <cell r="E92"/>
        </row>
        <row r="93">
          <cell r="D93"/>
          <cell r="E93"/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R"/>
      <sheetName val="26년02월"/>
      <sheetName val="26년01월"/>
      <sheetName val="25년12월"/>
      <sheetName val="25년11월"/>
      <sheetName val="data"/>
    </sheetNames>
    <sheetDataSet>
      <sheetData sheetId="0">
        <row r="4">
          <cell r="E4"/>
        </row>
        <row r="5">
          <cell r="E5"/>
        </row>
        <row r="6">
          <cell r="E6"/>
        </row>
        <row r="7">
          <cell r="E7"/>
        </row>
        <row r="8">
          <cell r="E8"/>
        </row>
        <row r="9">
          <cell r="D9"/>
          <cell r="E9"/>
        </row>
        <row r="10">
          <cell r="D10" t="str">
            <v>상세추진과제</v>
          </cell>
          <cell r="E10" t="str">
            <v>CSR_Level1</v>
          </cell>
        </row>
        <row r="11">
          <cell r="D11" t="str">
            <v xml:space="preserve">PASS앱 광고영역 확대 및 고도화 (구글광고 연동 등) </v>
          </cell>
          <cell r="E11" t="str">
            <v>CSR_10100</v>
          </cell>
        </row>
        <row r="12">
          <cell r="D12" t="str">
            <v>PASS 홈 화면 고도화 (쉬운 화면 적용 등)</v>
          </cell>
          <cell r="E12" t="str">
            <v>CSR_10200</v>
          </cell>
        </row>
        <row r="13">
          <cell r="D13" t="str">
            <v>PASS 다크모드 지원</v>
          </cell>
          <cell r="E13" t="str">
            <v>CSR_10300</v>
          </cell>
        </row>
        <row r="14">
          <cell r="D14" t="str">
            <v>PASS MY 화면 고도화</v>
          </cell>
          <cell r="E14" t="str">
            <v>CSR_10400</v>
          </cell>
        </row>
        <row r="15">
          <cell r="D15" t="str">
            <v>PASS 전체 화면 고도화</v>
          </cell>
          <cell r="E15" t="str">
            <v>CSR_10500</v>
          </cell>
        </row>
        <row r="16">
          <cell r="D16" t="str">
            <v>PASS 알림내역 화면 고도화</v>
          </cell>
          <cell r="E16" t="str">
            <v>CSR_10600</v>
          </cell>
        </row>
        <row r="17">
          <cell r="D17" t="str">
            <v>PASS 앱인앱 고도화 (웹뷰 고도화)</v>
          </cell>
          <cell r="E17" t="str">
            <v>CSR_10700</v>
          </cell>
        </row>
        <row r="18">
          <cell r="D18" t="str">
            <v>PASS 주소록 기능 개발</v>
          </cell>
          <cell r="E18" t="str">
            <v>CSR_10800</v>
          </cell>
        </row>
        <row r="19">
          <cell r="D19" t="str">
            <v>PASS 운영/마케팅 기능 개선</v>
          </cell>
          <cell r="E19" t="str">
            <v>CSR_10900</v>
          </cell>
        </row>
        <row r="20">
          <cell r="D20" t="str">
            <v>PASS 로그인 방식 개선 (정책 강화 등)</v>
          </cell>
          <cell r="E20" t="str">
            <v>CSR_11000</v>
          </cell>
        </row>
        <row r="21">
          <cell r="D21" t="str">
            <v>PASS 공통 화면 개선 (모달형태 약관 화면 적용, 알림팝업 적용 등)</v>
          </cell>
          <cell r="E21" t="str">
            <v>CSR_11100</v>
          </cell>
        </row>
        <row r="22">
          <cell r="D22" t="str">
            <v>PASS 홈페이지 고도화</v>
          </cell>
          <cell r="E22" t="str">
            <v>CSR_11200</v>
          </cell>
        </row>
        <row r="23">
          <cell r="D23" t="str">
            <v>서비스 개발</v>
          </cell>
          <cell r="E23" t="str">
            <v>CSR_11300</v>
          </cell>
        </row>
        <row r="24">
          <cell r="D24" t="str">
            <v>ㄴ회원가입화면 개선</v>
          </cell>
          <cell r="E24" t="str">
            <v>CSR_11301</v>
          </cell>
        </row>
        <row r="25">
          <cell r="D25" t="str">
            <v>ㄴ펫신분증 UI 개선</v>
          </cell>
          <cell r="E25" t="str">
            <v>CSR_11302</v>
          </cell>
        </row>
        <row r="26">
          <cell r="D26" t="str">
            <v>ㄴ계좌인증 금융기관 선택 화면 현행화</v>
          </cell>
          <cell r="E26" t="str">
            <v>CSR_11303</v>
          </cell>
        </row>
        <row r="27">
          <cell r="D27" t="str">
            <v>ㄴ1:1 문의 카테고리 추가</v>
          </cell>
          <cell r="E27" t="str">
            <v>CSR_11304</v>
          </cell>
        </row>
        <row r="28">
          <cell r="D28" t="str">
            <v>ㄴ유·무료 서비스 동의화면 개선</v>
          </cell>
          <cell r="E28" t="str">
            <v>CSR_11305</v>
          </cell>
        </row>
        <row r="29">
          <cell r="D29" t="str">
            <v>ㄴ하단GNB 개편</v>
          </cell>
          <cell r="E29" t="str">
            <v>CSR_11306</v>
          </cell>
        </row>
        <row r="30">
          <cell r="D30" t="str">
            <v>ㄴ부가서비스 다회선 전환시 안내 문구 및 마스킹 처리 적용</v>
          </cell>
          <cell r="E30" t="str">
            <v>CSR_11307</v>
          </cell>
        </row>
        <row r="31">
          <cell r="D31" t="str">
            <v>ㄴPASS 전자고지 인증서 미발급자 발급유도</v>
          </cell>
          <cell r="E31" t="str">
            <v>CSR_11308</v>
          </cell>
        </row>
        <row r="32">
          <cell r="D32" t="str">
            <v>ㄴ폴라리스오피스 기본앱 설정 관련 수정</v>
          </cell>
          <cell r="E32" t="str">
            <v>CSR_11309</v>
          </cell>
        </row>
        <row r="33">
          <cell r="D33" t="str">
            <v>ㄴ고객의 소리 링크 변경</v>
          </cell>
          <cell r="E33" t="str">
            <v>CSR_11310</v>
          </cell>
        </row>
        <row r="34">
          <cell r="D34" t="str">
            <v>서비스 품질개선</v>
          </cell>
          <cell r="E34" t="str">
            <v>CSR_11400</v>
          </cell>
        </row>
        <row r="35">
          <cell r="D35" t="str">
            <v>ㄴ25년 11월 2차 서버 검수</v>
          </cell>
          <cell r="E35" t="str">
            <v>CSR_11401</v>
          </cell>
        </row>
        <row r="36">
          <cell r="D36" t="str">
            <v>ㄴ25년 11월 앱 배포 검수</v>
          </cell>
          <cell r="E36" t="str">
            <v>CSR_11402</v>
          </cell>
        </row>
        <row r="37">
          <cell r="D37" t="str">
            <v>ㄴ25년 12월 서버 긴급 검수</v>
          </cell>
          <cell r="E37" t="str">
            <v>CSR_11403</v>
          </cell>
        </row>
        <row r="38">
          <cell r="D38" t="str">
            <v>ㄴ25년 12월 앱 긴급 배포 검수</v>
          </cell>
          <cell r="E38" t="str">
            <v>CSR_11404</v>
          </cell>
        </row>
        <row r="39">
          <cell r="D39" t="str">
            <v>ㄴ26년 01월 2차 서버 검수</v>
          </cell>
          <cell r="E39" t="str">
            <v>CSR_11405</v>
          </cell>
        </row>
        <row r="40">
          <cell r="D40" t="str">
            <v>ㄴ26년 01월 앱 긴급 배포 검수</v>
          </cell>
          <cell r="E40" t="str">
            <v>CSR_11406</v>
          </cell>
        </row>
        <row r="41">
          <cell r="D41" t="str">
            <v>ㄴ26년 2월 서버 긴급 검수</v>
          </cell>
          <cell r="E41" t="str">
            <v>CSR_11407</v>
          </cell>
        </row>
        <row r="42">
          <cell r="D42" t="str">
            <v>ㄴ26년 2월 앱 긴급 배포 검수</v>
          </cell>
          <cell r="E42" t="str">
            <v>CSR_11408</v>
          </cell>
        </row>
        <row r="43">
          <cell r="D43" t="str">
            <v>ㄴ26년 3월 앱 배포 검수</v>
          </cell>
          <cell r="E43" t="str">
            <v>CSR_11409</v>
          </cell>
        </row>
        <row r="44">
          <cell r="D44" t="str">
            <v>ㄴ26년 3월 1차 서버 검수</v>
          </cell>
          <cell r="E44" t="str">
            <v>CSR_11410</v>
          </cell>
        </row>
        <row r="45">
          <cell r="D45"/>
          <cell r="E45"/>
        </row>
        <row r="46">
          <cell r="D46" t="str">
            <v>(상시) PASS앱 이벤트 실행·효과분석</v>
          </cell>
          <cell r="E46" t="str">
            <v>CSR_20000</v>
          </cell>
        </row>
        <row r="47">
          <cell r="D47" t="str">
            <v>ㄴ앱 리뷰 이벤트 2차</v>
          </cell>
          <cell r="E47" t="str">
            <v>CSR_20001</v>
          </cell>
        </row>
        <row r="48">
          <cell r="D48" t="str">
            <v>ㄴPASS 출첵 스탬프 이벤트</v>
          </cell>
          <cell r="E48" t="str">
            <v>CSR_20002</v>
          </cell>
        </row>
        <row r="49">
          <cell r="D49" t="str">
            <v>ㄴGS25 신분증결제 오픈 이벤트 1차</v>
          </cell>
          <cell r="E49" t="str">
            <v>CSR_20003</v>
          </cell>
        </row>
        <row r="50">
          <cell r="D50" t="str">
            <v>ㄴGS25 신분증결제 오픈 이벤트 2차</v>
          </cell>
          <cell r="E50" t="str">
            <v>CSR_20004</v>
          </cell>
        </row>
        <row r="51">
          <cell r="D51" t="str">
            <v>ㄴPASS 전자고지 활성화 이벤트</v>
          </cell>
          <cell r="E51" t="str">
            <v>CSR_20005</v>
          </cell>
        </row>
        <row r="52">
          <cell r="D52" t="str">
            <v>(기타) 부가서비스 이벤트 지원</v>
          </cell>
          <cell r="E52" t="str">
            <v>CSR_20100</v>
          </cell>
        </row>
        <row r="53">
          <cell r="D53" t="str">
            <v>PASS머니 고도화 및 운영 지원</v>
          </cell>
          <cell r="E53" t="str">
            <v>CSR_20200</v>
          </cell>
        </row>
        <row r="54">
          <cell r="D54" t="str">
            <v>PUSH시스템 고도화 및 운영 지원</v>
          </cell>
          <cell r="E54" t="str">
            <v>CSR_20300</v>
          </cell>
        </row>
        <row r="55">
          <cell r="D55" t="str">
            <v>GA4 컨텐츠 그룹핑 반영 및 운영 지원</v>
          </cell>
          <cell r="E55" t="str">
            <v>CSR_20400</v>
          </cell>
        </row>
        <row r="56">
          <cell r="D56"/>
          <cell r="E56"/>
        </row>
        <row r="57">
          <cell r="D57" t="str">
            <v>CP 파트너십 관리 (PASS 앱 기획, 디자인, 개발 가이드)</v>
          </cell>
          <cell r="E57" t="str">
            <v>CSR_30000</v>
          </cell>
        </row>
        <row r="58">
          <cell r="D58" t="str">
            <v>금융광고 관리 (PASS 앱 기획, 디자인, 개발 가이드)</v>
          </cell>
          <cell r="E58" t="str">
            <v>CSR_30100</v>
          </cell>
        </row>
        <row r="59">
          <cell r="D59" t="str">
            <v>LGU+ 요청사항 대응 및 운영</v>
          </cell>
          <cell r="E59" t="str">
            <v>CSR_30200</v>
          </cell>
        </row>
        <row r="60">
          <cell r="D60" t="str">
            <v>VOC 처리, 대응 및 사용자 공지</v>
          </cell>
          <cell r="E60" t="str">
            <v>CSR_30300</v>
          </cell>
        </row>
        <row r="61">
          <cell r="D61" t="str">
            <v>고객센터 (1:1문의, FAQ, 홈페이지) 관련 대응 및 운영</v>
          </cell>
          <cell r="E61" t="str">
            <v>CSR_30400</v>
          </cell>
        </row>
        <row r="62">
          <cell r="D62" t="str">
            <v xml:space="preserve">서비스 품질관리를 위한 내부 QA 진행 </v>
          </cell>
          <cell r="E62" t="str">
            <v>CSR_30500</v>
          </cell>
        </row>
        <row r="63">
          <cell r="D63" t="str">
            <v>업무보고 및 협의</v>
          </cell>
          <cell r="E63" t="str">
            <v>CSR_30600</v>
          </cell>
        </row>
        <row r="64">
          <cell r="D64" t="str">
            <v>서버 운영 지원 및 모니터링/장애대응_부가서비스 및 광고</v>
          </cell>
          <cell r="E64" t="str">
            <v>CSR_30700</v>
          </cell>
        </row>
        <row r="65">
          <cell r="D65" t="str">
            <v xml:space="preserve">서버 운영 지원 및 모니터링/장애대응_신분증 서비스 </v>
          </cell>
          <cell r="E65" t="str">
            <v>CSR_30800</v>
          </cell>
        </row>
        <row r="66">
          <cell r="D66"/>
          <cell r="E66"/>
        </row>
        <row r="67">
          <cell r="D67" t="str">
            <v>KAIT 명의도용방지서비스(M-safer) 고도화</v>
          </cell>
          <cell r="E67" t="str">
            <v>CSR_40000</v>
          </cell>
        </row>
        <row r="68">
          <cell r="D68" t="str">
            <v>혜택알리미 등 PASS지갑 연동 개발</v>
          </cell>
          <cell r="E68" t="str">
            <v>CSR_40100</v>
          </cell>
        </row>
        <row r="69">
          <cell r="D69" t="str">
            <v>본인확인 고도화</v>
          </cell>
          <cell r="E69" t="str">
            <v>CSR_40200</v>
          </cell>
        </row>
        <row r="70">
          <cell r="D70" t="str">
            <v>모바일신분증 고도화 (라인업 확대_시민증 관광증)</v>
          </cell>
          <cell r="E70" t="str">
            <v>CSR_40300</v>
          </cell>
        </row>
        <row r="71">
          <cell r="D71" t="str">
            <v>통신업무 "안면인증" PASS 활용 기능 및 사업화</v>
          </cell>
          <cell r="E71" t="str">
            <v>CSR_40400</v>
          </cell>
        </row>
        <row r="72">
          <cell r="D72" t="str">
            <v>인증서 고도화</v>
          </cell>
          <cell r="E72" t="str">
            <v>CSR_40500</v>
          </cell>
        </row>
        <row r="73">
          <cell r="D73" t="str">
            <v>PASS지갑 고도화</v>
          </cell>
          <cell r="E73" t="str">
            <v>CSR_40600</v>
          </cell>
        </row>
        <row r="74">
          <cell r="D74" t="str">
            <v>휴대폰결제 고도화</v>
          </cell>
          <cell r="E74" t="str">
            <v>CSR_40700</v>
          </cell>
        </row>
        <row r="75">
          <cell r="D75" t="str">
            <v>신분증결제 고도화</v>
          </cell>
          <cell r="E75" t="str">
            <v>CSR_40800</v>
          </cell>
        </row>
        <row r="76">
          <cell r="D76" t="str">
            <v>PASS 안심인증 서비스 개발</v>
          </cell>
          <cell r="E76" t="str">
            <v>CSR_40900</v>
          </cell>
        </row>
        <row r="77">
          <cell r="D77" t="str">
            <v>콘텐츠 신규 개발 및 플랫폼 연동</v>
          </cell>
          <cell r="E77" t="str">
            <v>CSR_41000</v>
          </cell>
        </row>
        <row r="78">
          <cell r="D78" t="str">
            <v>부가서비스 신규 개발 및 플랫폼 연동</v>
          </cell>
          <cell r="E78" t="str">
            <v>CSR_41100</v>
          </cell>
        </row>
        <row r="79">
          <cell r="D79" t="str">
            <v>ㄴ마인드케어 프리미엄</v>
          </cell>
          <cell r="E79" t="str">
            <v>CSR_41101</v>
          </cell>
        </row>
        <row r="80">
          <cell r="D80" t="str">
            <v>ㄴ에코혜택모아</v>
          </cell>
          <cell r="E80" t="str">
            <v>CSR_41102</v>
          </cell>
        </row>
        <row r="81">
          <cell r="D81" t="str">
            <v>ㄴPASS클라우드</v>
          </cell>
          <cell r="E81" t="str">
            <v>CSR_41103</v>
          </cell>
        </row>
        <row r="82">
          <cell r="D82" t="str">
            <v>ㄴ오늘의 게임</v>
          </cell>
          <cell r="E82" t="str">
            <v>CSR_41104</v>
          </cell>
        </row>
        <row r="83">
          <cell r="D83" t="str">
            <v>일반서비스 신규 개발 및 플랫폼 연동</v>
          </cell>
          <cell r="E83" t="str">
            <v>CSR_41200</v>
          </cell>
        </row>
        <row r="84">
          <cell r="D84"/>
          <cell r="E84"/>
        </row>
        <row r="85">
          <cell r="D85"/>
          <cell r="E85"/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R"/>
      <sheetName val="26년03월"/>
      <sheetName val="26년02월"/>
      <sheetName val="26년01월"/>
      <sheetName val="25년12월"/>
      <sheetName val="25년11월"/>
      <sheetName val="data"/>
    </sheetNames>
    <sheetDataSet>
      <sheetData sheetId="0">
        <row r="4">
          <cell r="E4"/>
        </row>
        <row r="5">
          <cell r="E5"/>
        </row>
        <row r="6">
          <cell r="E6"/>
        </row>
        <row r="7">
          <cell r="E7"/>
        </row>
        <row r="8">
          <cell r="E8"/>
        </row>
        <row r="9">
          <cell r="D9"/>
          <cell r="E9"/>
        </row>
        <row r="10">
          <cell r="D10" t="str">
            <v>상세추진과제</v>
          </cell>
          <cell r="E10" t="str">
            <v>CSR_Level1</v>
          </cell>
        </row>
        <row r="11">
          <cell r="D11" t="str">
            <v xml:space="preserve">PASS앱 광고영역 확대 및 고도화 (구글광고 연동 등) </v>
          </cell>
          <cell r="E11" t="str">
            <v>CSR_10100</v>
          </cell>
        </row>
        <row r="12">
          <cell r="D12" t="str">
            <v>PASS 홈 화면 고도화 (쉬운 화면 적용 등)</v>
          </cell>
          <cell r="E12" t="str">
            <v>CSR_10200</v>
          </cell>
        </row>
        <row r="13">
          <cell r="D13" t="str">
            <v>PASS 다크모드 지원</v>
          </cell>
          <cell r="E13" t="str">
            <v>CSR_10300</v>
          </cell>
        </row>
        <row r="14">
          <cell r="D14" t="str">
            <v>PASS MY 화면 고도화</v>
          </cell>
          <cell r="E14" t="str">
            <v>CSR_10400</v>
          </cell>
        </row>
        <row r="15">
          <cell r="D15" t="str">
            <v>PASS 전체 화면 고도화</v>
          </cell>
          <cell r="E15" t="str">
            <v>CSR_10500</v>
          </cell>
        </row>
        <row r="16">
          <cell r="D16" t="str">
            <v>PASS 알림내역 화면 고도화</v>
          </cell>
          <cell r="E16" t="str">
            <v>CSR_10600</v>
          </cell>
        </row>
        <row r="17">
          <cell r="D17" t="str">
            <v>PASS 앱인앱 고도화 (웹뷰 고도화)</v>
          </cell>
          <cell r="E17" t="str">
            <v>CSR_10700</v>
          </cell>
        </row>
        <row r="18">
          <cell r="D18" t="str">
            <v>PASS 주소록 기능 개발</v>
          </cell>
          <cell r="E18" t="str">
            <v>CSR_10800</v>
          </cell>
        </row>
        <row r="19">
          <cell r="D19" t="str">
            <v>PASS 운영/마케팅 기능 개선</v>
          </cell>
          <cell r="E19" t="str">
            <v>CSR_10900</v>
          </cell>
        </row>
        <row r="20">
          <cell r="D20" t="str">
            <v>PASS 로그인 방식 개선 (정책 강화 등)</v>
          </cell>
          <cell r="E20" t="str">
            <v>CSR_11000</v>
          </cell>
        </row>
        <row r="21">
          <cell r="D21" t="str">
            <v>ㄴ PIN 인증방식 전환</v>
          </cell>
          <cell r="E21" t="str">
            <v>CSR_11001</v>
          </cell>
        </row>
        <row r="22">
          <cell r="D22" t="str">
            <v>ㄴ JWT 도입에 따른 앱 진입/인증 흐름 개선</v>
          </cell>
          <cell r="E22" t="str">
            <v>CSR_11002</v>
          </cell>
        </row>
        <row r="23">
          <cell r="D23" t="str">
            <v>PASS 공통 화면 개선 (모달형태 약관 화면 적용, 알림팝업 적용 등)</v>
          </cell>
          <cell r="E23" t="str">
            <v>CSR_11100</v>
          </cell>
        </row>
        <row r="24">
          <cell r="D24" t="str">
            <v>PASS 홈페이지 고도화</v>
          </cell>
          <cell r="E24" t="str">
            <v>CSR_11200</v>
          </cell>
        </row>
        <row r="25">
          <cell r="D25" t="str">
            <v>서비스 개발</v>
          </cell>
          <cell r="E25" t="str">
            <v>CSR_11300</v>
          </cell>
        </row>
        <row r="26">
          <cell r="D26" t="str">
            <v>ㄴ회원가입화면 개선</v>
          </cell>
          <cell r="E26" t="str">
            <v>CSR_11301</v>
          </cell>
        </row>
        <row r="27">
          <cell r="D27" t="str">
            <v>ㄴ펫신분증 UI 개선</v>
          </cell>
          <cell r="E27" t="str">
            <v>CSR_11302</v>
          </cell>
        </row>
        <row r="28">
          <cell r="D28" t="str">
            <v>ㄴ계좌인증 금융기관 선택 화면 현행화</v>
          </cell>
          <cell r="E28" t="str">
            <v>CSR_11303</v>
          </cell>
        </row>
        <row r="29">
          <cell r="D29" t="str">
            <v>ㄴ1:1 문의 카테고리 추가</v>
          </cell>
          <cell r="E29" t="str">
            <v>CSR_11304</v>
          </cell>
        </row>
        <row r="30">
          <cell r="D30" t="str">
            <v>ㄴ유·무료 서비스 동의화면 개선</v>
          </cell>
          <cell r="E30" t="str">
            <v>CSR_11305</v>
          </cell>
        </row>
        <row r="31">
          <cell r="D31" t="str">
            <v>ㄴ하단GNB 개편</v>
          </cell>
          <cell r="E31" t="str">
            <v>CSR_11306</v>
          </cell>
        </row>
        <row r="32">
          <cell r="D32" t="str">
            <v>ㄴ부가서비스 다회선 전환시 안내 문구 및 마스킹 처리 적용</v>
          </cell>
          <cell r="E32" t="str">
            <v>CSR_11307</v>
          </cell>
        </row>
        <row r="33">
          <cell r="D33" t="str">
            <v>ㄴ폴라리스오피스 기본앱 설정 관련 수정</v>
          </cell>
          <cell r="E33" t="str">
            <v>CSR_11308</v>
          </cell>
        </row>
        <row r="34">
          <cell r="D34" t="str">
            <v>ㄴ고객의 소리 링크 변경</v>
          </cell>
          <cell r="E34" t="str">
            <v>CSR_11309</v>
          </cell>
        </row>
        <row r="35">
          <cell r="D35" t="str">
            <v>ㄴMIS 실행 시 선택 업데이트 기능 추가</v>
          </cell>
          <cell r="E35" t="str">
            <v>CSR_11310</v>
          </cell>
        </row>
        <row r="36">
          <cell r="D36" t="str">
            <v>ㄴ애드몹 광고형식 추가</v>
          </cell>
          <cell r="E36" t="str">
            <v>CSR_11311</v>
          </cell>
        </row>
        <row r="37">
          <cell r="D37" t="str">
            <v>ㄴ PASS 전자고지 열람 시 IMEI 조회 실패 오류 안내 개선</v>
          </cell>
          <cell r="E37" t="str">
            <v>CSR_11312</v>
          </cell>
        </row>
        <row r="38">
          <cell r="D38" t="str">
            <v>ㄴIOS : PASS 앱 icloud (클라우드 복원시 재가입 프로세스 유도)</v>
          </cell>
          <cell r="E38" t="str">
            <v>CSR_11313</v>
          </cell>
        </row>
        <row r="39">
          <cell r="D39" t="str">
            <v>서비스 품질개선</v>
          </cell>
          <cell r="E39" t="str">
            <v>CSR_11400</v>
          </cell>
        </row>
        <row r="40">
          <cell r="D40" t="str">
            <v>ㄴ25년 11월 2차 서버 검수</v>
          </cell>
          <cell r="E40" t="str">
            <v>CSR_11401</v>
          </cell>
        </row>
        <row r="41">
          <cell r="D41" t="str">
            <v>ㄴ25년 11월 앱 배포 검수</v>
          </cell>
          <cell r="E41" t="str">
            <v>CSR_11402</v>
          </cell>
        </row>
        <row r="42">
          <cell r="D42" t="str">
            <v>ㄴ25년 12월 서버 긴급 검수</v>
          </cell>
          <cell r="E42" t="str">
            <v>CSR_11403</v>
          </cell>
        </row>
        <row r="43">
          <cell r="D43" t="str">
            <v>ㄴ25년 12월 앱 긴급 배포 검수</v>
          </cell>
          <cell r="E43" t="str">
            <v>CSR_11404</v>
          </cell>
        </row>
        <row r="44">
          <cell r="D44" t="str">
            <v>ㄴ26년 01월 2차 서버 검수</v>
          </cell>
          <cell r="E44" t="str">
            <v>CSR_11405</v>
          </cell>
        </row>
        <row r="45">
          <cell r="D45" t="str">
            <v>ㄴ26년 01월 앱 긴급 배포 검수</v>
          </cell>
          <cell r="E45" t="str">
            <v>CSR_11406</v>
          </cell>
        </row>
        <row r="46">
          <cell r="D46" t="str">
            <v>ㄴ26년 2월 서버 긴급 검수</v>
          </cell>
          <cell r="E46" t="str">
            <v>CSR_11407</v>
          </cell>
        </row>
        <row r="47">
          <cell r="D47" t="str">
            <v>ㄴ26년 2월 앱 긴급 배포 검수</v>
          </cell>
          <cell r="E47" t="str">
            <v>CSR_11408</v>
          </cell>
        </row>
        <row r="48">
          <cell r="D48" t="str">
            <v>ㄴ26년 3월 앱 배포 검수</v>
          </cell>
          <cell r="E48" t="str">
            <v>CSR_11409</v>
          </cell>
        </row>
        <row r="49">
          <cell r="D49" t="str">
            <v>ㄴ26년 3월 1차 서버 검수</v>
          </cell>
          <cell r="E49" t="str">
            <v>CSR_11410</v>
          </cell>
        </row>
        <row r="50">
          <cell r="D50" t="str">
            <v>ㄴ26년 3월 2차 서버 검수</v>
          </cell>
          <cell r="E50" t="str">
            <v>CSR_11411</v>
          </cell>
        </row>
        <row r="51">
          <cell r="D51"/>
          <cell r="E51"/>
        </row>
        <row r="52">
          <cell r="D52" t="str">
            <v>(상시) PASS앱 이벤트 실행·효과분석</v>
          </cell>
          <cell r="E52" t="str">
            <v>CSR_20000</v>
          </cell>
        </row>
        <row r="53">
          <cell r="D53" t="str">
            <v>ㄴ앱 리뷰 이벤트 2차</v>
          </cell>
          <cell r="E53" t="str">
            <v>CSR_20001</v>
          </cell>
        </row>
        <row r="54">
          <cell r="D54" t="str">
            <v>ㄴPASS 출첵 스탬프 이벤트</v>
          </cell>
          <cell r="E54" t="str">
            <v>CSR_20002</v>
          </cell>
        </row>
        <row r="55">
          <cell r="D55" t="str">
            <v>ㄴGS25 신분증결제 오픈 이벤트 1차</v>
          </cell>
          <cell r="E55" t="str">
            <v>CSR_20003</v>
          </cell>
        </row>
        <row r="56">
          <cell r="D56" t="str">
            <v>ㄴGS25 신분증결제 오픈 이벤트 2차</v>
          </cell>
          <cell r="E56" t="str">
            <v>CSR_20004</v>
          </cell>
        </row>
        <row r="57">
          <cell r="D57" t="str">
            <v>ㄴPASS 전자고지 활성화 이벤트</v>
          </cell>
          <cell r="E57" t="str">
            <v>CSR_20005</v>
          </cell>
        </row>
        <row r="58">
          <cell r="D58" t="str">
            <v>(기타) 부가서비스 이벤트 지원</v>
          </cell>
          <cell r="E58" t="str">
            <v>CSR_20100</v>
          </cell>
        </row>
        <row r="59">
          <cell r="D59" t="str">
            <v>PASS머니 고도화 및 운영 지원</v>
          </cell>
          <cell r="E59" t="str">
            <v>CSR_20200</v>
          </cell>
        </row>
        <row r="60">
          <cell r="D60" t="str">
            <v>PUSH시스템 고도화 및 운영 지원</v>
          </cell>
          <cell r="E60" t="str">
            <v>CSR_20300</v>
          </cell>
        </row>
        <row r="61">
          <cell r="D61" t="str">
            <v>GA4 컨텐츠 그룹핑 반영 및 운영 지원</v>
          </cell>
          <cell r="E61" t="str">
            <v>CSR_20400</v>
          </cell>
        </row>
        <row r="62">
          <cell r="D62"/>
          <cell r="E62"/>
        </row>
        <row r="63">
          <cell r="D63" t="str">
            <v>CP 파트너십 관리 (PASS 앱 기획, 디자인, 개발 가이드)</v>
          </cell>
          <cell r="E63" t="str">
            <v>CSR_30000</v>
          </cell>
        </row>
        <row r="64">
          <cell r="D64" t="str">
            <v>금융광고 관리 (PASS 앱 기획, 디자인, 개발 가이드)</v>
          </cell>
          <cell r="E64" t="str">
            <v>CSR_30100</v>
          </cell>
        </row>
        <row r="65">
          <cell r="D65" t="str">
            <v>LGU+ 요청사항 대응 및 운영</v>
          </cell>
          <cell r="E65" t="str">
            <v>CSR_30200</v>
          </cell>
        </row>
        <row r="66">
          <cell r="D66" t="str">
            <v>VOC 처리, 대응 및 사용자 공지</v>
          </cell>
          <cell r="E66" t="str">
            <v>CSR_30300</v>
          </cell>
        </row>
        <row r="67">
          <cell r="D67" t="str">
            <v>고객센터 (1:1문의, FAQ, 홈페이지) 관련 대응 및 운영</v>
          </cell>
          <cell r="E67" t="str">
            <v>CSR_30400</v>
          </cell>
        </row>
        <row r="68">
          <cell r="D68" t="str">
            <v xml:space="preserve">서비스 품질관리를 위한 내부 QA 진행 </v>
          </cell>
          <cell r="E68" t="str">
            <v>CSR_30500</v>
          </cell>
        </row>
        <row r="69">
          <cell r="D69" t="str">
            <v>업무보고 및 협의</v>
          </cell>
          <cell r="E69" t="str">
            <v>CSR_30600</v>
          </cell>
        </row>
        <row r="70">
          <cell r="D70" t="str">
            <v>서버 운영 지원 및 모니터링/장애대응_부가서비스 및 광고</v>
          </cell>
          <cell r="E70" t="str">
            <v>CSR_30700</v>
          </cell>
        </row>
        <row r="71">
          <cell r="D71" t="str">
            <v xml:space="preserve">서버 운영 지원 및 모니터링/장애대응_신분증 서비스 </v>
          </cell>
          <cell r="E71" t="str">
            <v>CSR_30800</v>
          </cell>
        </row>
        <row r="72">
          <cell r="D72" t="str">
            <v>장애대응 공지메뉴 추가 (VAS 어드민)</v>
          </cell>
          <cell r="E72" t="str">
            <v>CSR_30900</v>
          </cell>
        </row>
        <row r="73">
          <cell r="D73"/>
          <cell r="E73"/>
        </row>
        <row r="74">
          <cell r="D74" t="str">
            <v>KAIT 명의도용방지서비스(M-safer) 고도화</v>
          </cell>
          <cell r="E74" t="str">
            <v>CSR_40000</v>
          </cell>
        </row>
        <row r="75">
          <cell r="D75" t="str">
            <v>혜택알리미 등 PASS지갑 연동 개발</v>
          </cell>
          <cell r="E75" t="str">
            <v>CSR_40100</v>
          </cell>
        </row>
        <row r="76">
          <cell r="D76" t="str">
            <v>본인확인 고도화</v>
          </cell>
          <cell r="E76" t="str">
            <v>CSR_40200</v>
          </cell>
        </row>
        <row r="77">
          <cell r="D77" t="str">
            <v>모바일신분증 고도화 (라인업 확대_시민증 관광증)</v>
          </cell>
          <cell r="E77" t="str">
            <v>CSR_40300</v>
          </cell>
        </row>
        <row r="78">
          <cell r="D78" t="str">
            <v>통신업무 "안면인증" PASS 활용 기능 및 사업화</v>
          </cell>
          <cell r="E78" t="str">
            <v>CSR_40400</v>
          </cell>
        </row>
        <row r="79">
          <cell r="D79" t="str">
            <v>인증서 고도화</v>
          </cell>
          <cell r="E79" t="str">
            <v>CSR_40500</v>
          </cell>
        </row>
        <row r="80">
          <cell r="D80" t="str">
            <v>PASS지갑 고도화</v>
          </cell>
          <cell r="E80" t="str">
            <v>CSR_40600</v>
          </cell>
        </row>
        <row r="81">
          <cell r="D81" t="str">
            <v>휴대폰결제 고도화</v>
          </cell>
          <cell r="E81" t="str">
            <v>CSR_40700</v>
          </cell>
        </row>
        <row r="82">
          <cell r="D82" t="str">
            <v>신분증결제 고도화</v>
          </cell>
          <cell r="E82" t="str">
            <v>CSR_40800</v>
          </cell>
        </row>
        <row r="83">
          <cell r="D83" t="str">
            <v>PASS 안심인증 서비스 개발</v>
          </cell>
          <cell r="E83" t="str">
            <v>CSR_40900</v>
          </cell>
        </row>
        <row r="84">
          <cell r="D84" t="str">
            <v>콘텐츠 신규 개발 및 플랫폼 연동</v>
          </cell>
          <cell r="E84" t="str">
            <v>CSR_41000</v>
          </cell>
        </row>
        <row r="85">
          <cell r="D85" t="str">
            <v>부가서비스 신규 개발 및 플랫폼 연동</v>
          </cell>
          <cell r="E85" t="str">
            <v>CSR_41100</v>
          </cell>
        </row>
        <row r="86">
          <cell r="D86" t="str">
            <v>ㄴ마인드케어 프리미엄</v>
          </cell>
          <cell r="E86" t="str">
            <v>CSR_41101</v>
          </cell>
        </row>
        <row r="87">
          <cell r="D87" t="str">
            <v>ㄴ에코혜택모아</v>
          </cell>
          <cell r="E87" t="str">
            <v>CSR_41102</v>
          </cell>
        </row>
        <row r="88">
          <cell r="D88" t="str">
            <v>ㄴPASS클라우드</v>
          </cell>
          <cell r="E88" t="str">
            <v>CSR_41103</v>
          </cell>
        </row>
        <row r="89">
          <cell r="D89" t="str">
            <v>ㄴ오늘의 게임</v>
          </cell>
          <cell r="E89" t="str">
            <v>CSR_41104</v>
          </cell>
        </row>
        <row r="90">
          <cell r="D90" t="str">
            <v>일반서비스 신규 개발 및 플랫폼 연동</v>
          </cell>
          <cell r="E90" t="str">
            <v>CSR_41200</v>
          </cell>
        </row>
        <row r="91">
          <cell r="D91"/>
          <cell r="E91"/>
        </row>
        <row r="92">
          <cell r="D92"/>
          <cell r="E92"/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R"/>
      <sheetName val="26년03월"/>
      <sheetName val="26년02월"/>
      <sheetName val="26년01월"/>
      <sheetName val="25년12월"/>
      <sheetName val="25년11월"/>
      <sheetName val="data"/>
    </sheetNames>
    <sheetDataSet>
      <sheetData sheetId="0">
        <row r="4">
          <cell r="E4"/>
        </row>
        <row r="5">
          <cell r="E5"/>
        </row>
        <row r="6">
          <cell r="E6"/>
        </row>
        <row r="7">
          <cell r="E7"/>
        </row>
        <row r="8">
          <cell r="E8"/>
        </row>
        <row r="9">
          <cell r="D9"/>
          <cell r="E9"/>
        </row>
        <row r="10">
          <cell r="D10" t="str">
            <v>상세추진과제</v>
          </cell>
          <cell r="E10" t="str">
            <v>CSR_Level1</v>
          </cell>
        </row>
        <row r="11">
          <cell r="D11" t="str">
            <v xml:space="preserve">PASS앱 광고영역 확대 및 고도화 (구글광고 연동 등) </v>
          </cell>
          <cell r="E11" t="str">
            <v>CSR_10100</v>
          </cell>
        </row>
        <row r="12">
          <cell r="D12" t="str">
            <v>PASS 홈 화면 고도화 (쉬운 화면 적용 등)</v>
          </cell>
          <cell r="E12" t="str">
            <v>CSR_10200</v>
          </cell>
        </row>
        <row r="13">
          <cell r="D13" t="str">
            <v>PASS 다크모드 지원</v>
          </cell>
          <cell r="E13" t="str">
            <v>CSR_10300</v>
          </cell>
        </row>
        <row r="14">
          <cell r="D14" t="str">
            <v>PASS MY 화면 고도화</v>
          </cell>
          <cell r="E14" t="str">
            <v>CSR_10400</v>
          </cell>
        </row>
        <row r="15">
          <cell r="D15" t="str">
            <v>PASS 전체 화면 고도화</v>
          </cell>
          <cell r="E15" t="str">
            <v>CSR_10500</v>
          </cell>
        </row>
        <row r="16">
          <cell r="D16" t="str">
            <v>PASS 알림내역 화면 고도화</v>
          </cell>
          <cell r="E16" t="str">
            <v>CSR_10600</v>
          </cell>
        </row>
        <row r="17">
          <cell r="D17" t="str">
            <v>PASS 앱인앱 고도화 (웹뷰 고도화)</v>
          </cell>
          <cell r="E17" t="str">
            <v>CSR_10700</v>
          </cell>
        </row>
        <row r="18">
          <cell r="D18" t="str">
            <v>PASS 주소록 기능 개발</v>
          </cell>
          <cell r="E18" t="str">
            <v>CSR_10800</v>
          </cell>
        </row>
        <row r="19">
          <cell r="D19" t="str">
            <v>PASS 운영/마케팅 기능 개선</v>
          </cell>
          <cell r="E19" t="str">
            <v>CSR_10900</v>
          </cell>
        </row>
        <row r="20">
          <cell r="D20" t="str">
            <v>PASS 로그인 방식 개선 (정책 강화 등)</v>
          </cell>
          <cell r="E20" t="str">
            <v>CSR_11000</v>
          </cell>
        </row>
        <row r="21">
          <cell r="D21" t="str">
            <v>ㄴ PIN 인증방식 전환</v>
          </cell>
          <cell r="E21" t="str">
            <v>CSR_11001</v>
          </cell>
        </row>
        <row r="22">
          <cell r="D22" t="str">
            <v>ㄴ JWT 도입에 따른 앱 진입/인증 흐름 개선</v>
          </cell>
          <cell r="E22" t="str">
            <v>CSR_11002</v>
          </cell>
        </row>
        <row r="23">
          <cell r="D23" t="str">
            <v>PASS 공통 화면 개선 (모달형태 약관 화면 적용, 알림팝업 적용 등)</v>
          </cell>
          <cell r="E23" t="str">
            <v>CSR_11100</v>
          </cell>
        </row>
        <row r="24">
          <cell r="D24" t="str">
            <v>PASS 홈페이지 고도화</v>
          </cell>
          <cell r="E24" t="str">
            <v>CSR_11200</v>
          </cell>
        </row>
        <row r="25">
          <cell r="D25" t="str">
            <v>서비스 개발</v>
          </cell>
          <cell r="E25" t="str">
            <v>CSR_11300</v>
          </cell>
        </row>
        <row r="26">
          <cell r="D26" t="str">
            <v>ㄴ회원가입화면 개선</v>
          </cell>
          <cell r="E26" t="str">
            <v>CSR_11301</v>
          </cell>
        </row>
        <row r="27">
          <cell r="D27" t="str">
            <v>ㄴ펫신분증 UI 개선</v>
          </cell>
          <cell r="E27" t="str">
            <v>CSR_11302</v>
          </cell>
        </row>
        <row r="28">
          <cell r="D28" t="str">
            <v>ㄴ계좌인증 금융기관 선택 화면 현행화</v>
          </cell>
          <cell r="E28" t="str">
            <v>CSR_11303</v>
          </cell>
        </row>
        <row r="29">
          <cell r="D29" t="str">
            <v>ㄴ1:1 문의 카테고리 추가</v>
          </cell>
          <cell r="E29" t="str">
            <v>CSR_11304</v>
          </cell>
        </row>
        <row r="30">
          <cell r="D30" t="str">
            <v>ㄴ유·무료 서비스 동의화면 개선</v>
          </cell>
          <cell r="E30" t="str">
            <v>CSR_11305</v>
          </cell>
        </row>
        <row r="31">
          <cell r="D31" t="str">
            <v>ㄴ하단GNB 개편</v>
          </cell>
          <cell r="E31" t="str">
            <v>CSR_11306</v>
          </cell>
        </row>
        <row r="32">
          <cell r="D32" t="str">
            <v>ㄴ부가서비스 다회선 전환시 안내 문구 및 마스킹 처리 적용</v>
          </cell>
          <cell r="E32" t="str">
            <v>CSR_11307</v>
          </cell>
        </row>
        <row r="33">
          <cell r="D33" t="str">
            <v>ㄴ폴라리스오피스 기본앱 설정 관련 수정</v>
          </cell>
          <cell r="E33" t="str">
            <v>CSR_11308</v>
          </cell>
        </row>
        <row r="34">
          <cell r="D34" t="str">
            <v>ㄴ고객의 소리 링크 변경</v>
          </cell>
          <cell r="E34" t="str">
            <v>CSR_11309</v>
          </cell>
        </row>
        <row r="35">
          <cell r="D35" t="str">
            <v>ㄴMIS 실행 시 선택 업데이트 기능 추가</v>
          </cell>
          <cell r="E35" t="str">
            <v>CSR_11310</v>
          </cell>
        </row>
        <row r="36">
          <cell r="D36" t="str">
            <v>ㄴ애드몹 광고형식 추가</v>
          </cell>
          <cell r="E36" t="str">
            <v>CSR_11311</v>
          </cell>
        </row>
        <row r="37">
          <cell r="D37" t="str">
            <v>ㄴ PASS 전자고지 열람 시 IMEI 조회 실패 오류 안내 개선</v>
          </cell>
          <cell r="E37" t="str">
            <v>CSR_11312</v>
          </cell>
        </row>
        <row r="38">
          <cell r="D38" t="str">
            <v>ㄴIOS : PASS 앱 icloud (클라우드 복원시 재가입 프로세스 유도)</v>
          </cell>
          <cell r="E38" t="str">
            <v>CSR_11313</v>
          </cell>
        </row>
        <row r="39">
          <cell r="D39" t="str">
            <v>서비스 품질개선</v>
          </cell>
          <cell r="E39" t="str">
            <v>CSR_11400</v>
          </cell>
        </row>
        <row r="40">
          <cell r="D40" t="str">
            <v>ㄴ25년 11월 2차 서버 검수</v>
          </cell>
          <cell r="E40" t="str">
            <v>CSR_11401</v>
          </cell>
        </row>
        <row r="41">
          <cell r="D41" t="str">
            <v>ㄴ25년 11월 앱 배포 검수</v>
          </cell>
          <cell r="E41" t="str">
            <v>CSR_11402</v>
          </cell>
        </row>
        <row r="42">
          <cell r="D42" t="str">
            <v>ㄴ25년 12월 서버 긴급 검수</v>
          </cell>
          <cell r="E42" t="str">
            <v>CSR_11403</v>
          </cell>
        </row>
        <row r="43">
          <cell r="D43" t="str">
            <v>ㄴ25년 12월 앱 긴급 배포 검수</v>
          </cell>
          <cell r="E43" t="str">
            <v>CSR_11404</v>
          </cell>
        </row>
        <row r="44">
          <cell r="D44" t="str">
            <v>ㄴ26년 01월 2차 서버 검수</v>
          </cell>
          <cell r="E44" t="str">
            <v>CSR_11405</v>
          </cell>
        </row>
        <row r="45">
          <cell r="D45" t="str">
            <v>ㄴ26년 01월 앱 긴급 배포 검수</v>
          </cell>
          <cell r="E45" t="str">
            <v>CSR_11406</v>
          </cell>
        </row>
        <row r="46">
          <cell r="D46" t="str">
            <v>ㄴ26년 2월 서버 긴급 검수</v>
          </cell>
          <cell r="E46" t="str">
            <v>CSR_11407</v>
          </cell>
        </row>
        <row r="47">
          <cell r="D47" t="str">
            <v>ㄴ26년 2월 앱 긴급 배포 검수</v>
          </cell>
          <cell r="E47" t="str">
            <v>CSR_11408</v>
          </cell>
        </row>
        <row r="48">
          <cell r="D48" t="str">
            <v>ㄴ26년 3월 앱 배포 검수</v>
          </cell>
          <cell r="E48" t="str">
            <v>CSR_11409</v>
          </cell>
        </row>
        <row r="49">
          <cell r="D49" t="str">
            <v>ㄴ26년 3월 1차 서버 검수</v>
          </cell>
          <cell r="E49" t="str">
            <v>CSR_11410</v>
          </cell>
        </row>
        <row r="50">
          <cell r="D50" t="str">
            <v>ㄴ26년 3월 2차 서버 검수</v>
          </cell>
          <cell r="E50" t="str">
            <v>CSR_11411</v>
          </cell>
        </row>
        <row r="51">
          <cell r="D51"/>
          <cell r="E51"/>
        </row>
        <row r="52">
          <cell r="D52" t="str">
            <v>(상시) PASS앱 이벤트 실행·효과분석</v>
          </cell>
          <cell r="E52" t="str">
            <v>CSR_20000</v>
          </cell>
        </row>
        <row r="53">
          <cell r="D53" t="str">
            <v>ㄴ앱 리뷰 이벤트 2차</v>
          </cell>
          <cell r="E53" t="str">
            <v>CSR_20001</v>
          </cell>
        </row>
        <row r="54">
          <cell r="D54" t="str">
            <v>ㄴPASS 출첵 스탬프 이벤트</v>
          </cell>
          <cell r="E54" t="str">
            <v>CSR_20002</v>
          </cell>
        </row>
        <row r="55">
          <cell r="D55" t="str">
            <v>ㄴGS25 신분증결제 오픈 이벤트 1차</v>
          </cell>
          <cell r="E55" t="str">
            <v>CSR_20003</v>
          </cell>
        </row>
        <row r="56">
          <cell r="D56" t="str">
            <v>ㄴGS25 신분증결제 오픈 이벤트 2차</v>
          </cell>
          <cell r="E56" t="str">
            <v>CSR_20004</v>
          </cell>
        </row>
        <row r="57">
          <cell r="D57" t="str">
            <v>ㄴPASS 전자고지 활성화 이벤트</v>
          </cell>
          <cell r="E57" t="str">
            <v>CSR_20005</v>
          </cell>
        </row>
        <row r="58">
          <cell r="D58" t="str">
            <v>ㄴ주소록 오픈 이벤트</v>
          </cell>
          <cell r="E58" t="str">
            <v>CSR_20006</v>
          </cell>
        </row>
        <row r="59">
          <cell r="D59" t="str">
            <v>(기타) 부가서비스 이벤트 지원</v>
          </cell>
          <cell r="E59" t="str">
            <v>CSR_20100</v>
          </cell>
        </row>
        <row r="60">
          <cell r="D60" t="str">
            <v>PASS머니 고도화 및 운영 지원</v>
          </cell>
          <cell r="E60" t="str">
            <v>CSR_20200</v>
          </cell>
        </row>
        <row r="61">
          <cell r="D61" t="str">
            <v>PUSH시스템 고도화 및 운영 지원</v>
          </cell>
          <cell r="E61" t="str">
            <v>CSR_20300</v>
          </cell>
        </row>
        <row r="62">
          <cell r="D62" t="str">
            <v>GA4 컨텐츠 그룹핑 반영 및 운영 지원</v>
          </cell>
          <cell r="E62" t="str">
            <v>CSR_20400</v>
          </cell>
        </row>
        <row r="63">
          <cell r="D63"/>
          <cell r="E63"/>
        </row>
        <row r="64">
          <cell r="D64" t="str">
            <v>CP 파트너십 관리 (PASS 앱 기획, 디자인, 개발 가이드)</v>
          </cell>
          <cell r="E64" t="str">
            <v>CSR_30000</v>
          </cell>
        </row>
        <row r="65">
          <cell r="D65" t="str">
            <v>금융광고 관리 (PASS 앱 기획, 디자인, 개발 가이드)</v>
          </cell>
          <cell r="E65" t="str">
            <v>CSR_30100</v>
          </cell>
        </row>
        <row r="66">
          <cell r="D66" t="str">
            <v>LGU+ 요청사항 대응 및 운영</v>
          </cell>
          <cell r="E66" t="str">
            <v>CSR_30200</v>
          </cell>
        </row>
        <row r="67">
          <cell r="D67" t="str">
            <v>VOC 처리, 대응 및 사용자 공지</v>
          </cell>
          <cell r="E67" t="str">
            <v>CSR_30300</v>
          </cell>
        </row>
        <row r="68">
          <cell r="D68" t="str">
            <v>고객센터 (1:1문의, FAQ, 홈페이지) 관련 대응 및 운영</v>
          </cell>
          <cell r="E68" t="str">
            <v>CSR_30400</v>
          </cell>
        </row>
        <row r="69">
          <cell r="D69" t="str">
            <v xml:space="preserve">서비스 품질관리를 위한 내부 QA 진행 </v>
          </cell>
          <cell r="E69" t="str">
            <v>CSR_30500</v>
          </cell>
        </row>
        <row r="70">
          <cell r="D70" t="str">
            <v>업무보고 및 협의</v>
          </cell>
          <cell r="E70" t="str">
            <v>CSR_30600</v>
          </cell>
        </row>
        <row r="71">
          <cell r="D71" t="str">
            <v>서버 운영 지원 및 모니터링/장애대응_부가서비스 및 광고</v>
          </cell>
          <cell r="E71" t="str">
            <v>CSR_30700</v>
          </cell>
        </row>
        <row r="72">
          <cell r="D72" t="str">
            <v xml:space="preserve">서버 운영 지원 및 모니터링/장애대응_신분증 서비스 </v>
          </cell>
          <cell r="E72" t="str">
            <v>CSR_30800</v>
          </cell>
        </row>
        <row r="73">
          <cell r="D73" t="str">
            <v>장애대응 공지메뉴 추가 (VAS 어드민)</v>
          </cell>
          <cell r="E73" t="str">
            <v>CSR_30900</v>
          </cell>
        </row>
        <row r="74">
          <cell r="D74"/>
          <cell r="E74"/>
        </row>
        <row r="75">
          <cell r="D75" t="str">
            <v>KAIT 명의도용방지서비스(M-safer) 고도화</v>
          </cell>
          <cell r="E75" t="str">
            <v>CSR_40000</v>
          </cell>
        </row>
        <row r="76">
          <cell r="D76" t="str">
            <v>혜택알리미 등 PASS지갑 연동 개발</v>
          </cell>
          <cell r="E76" t="str">
            <v>CSR_40100</v>
          </cell>
        </row>
        <row r="77">
          <cell r="D77" t="str">
            <v>본인확인 고도화</v>
          </cell>
          <cell r="E77" t="str">
            <v>CSR_40200</v>
          </cell>
        </row>
        <row r="78">
          <cell r="D78" t="str">
            <v>모바일신분증 고도화 (라인업 확대_시민증 관광증)</v>
          </cell>
          <cell r="E78" t="str">
            <v>CSR_40300</v>
          </cell>
        </row>
        <row r="79">
          <cell r="D79" t="str">
            <v>통신업무 "안면인증" PASS 활용 기능 및 사업화</v>
          </cell>
          <cell r="E79" t="str">
            <v>CSR_40400</v>
          </cell>
        </row>
        <row r="80">
          <cell r="D80" t="str">
            <v>인증서 고도화</v>
          </cell>
          <cell r="E80" t="str">
            <v>CSR_40500</v>
          </cell>
        </row>
        <row r="81">
          <cell r="D81" t="str">
            <v>PASS지갑 고도화</v>
          </cell>
          <cell r="E81" t="str">
            <v>CSR_40600</v>
          </cell>
        </row>
        <row r="82">
          <cell r="D82" t="str">
            <v>휴대폰결제 고도화</v>
          </cell>
          <cell r="E82" t="str">
            <v>CSR_40700</v>
          </cell>
        </row>
        <row r="83">
          <cell r="D83" t="str">
            <v>신분증결제 고도화</v>
          </cell>
          <cell r="E83" t="str">
            <v>CSR_40800</v>
          </cell>
        </row>
        <row r="84">
          <cell r="D84" t="str">
            <v>PASS 안심인증 서비스 개발</v>
          </cell>
          <cell r="E84" t="str">
            <v>CSR_40900</v>
          </cell>
        </row>
        <row r="85">
          <cell r="D85" t="str">
            <v>콘텐츠 신규 개발 및 플랫폼 연동</v>
          </cell>
          <cell r="E85" t="str">
            <v>CSR_41000</v>
          </cell>
        </row>
        <row r="86">
          <cell r="D86" t="str">
            <v>부가서비스 신규 개발 및 플랫폼 연동</v>
          </cell>
          <cell r="E86" t="str">
            <v>CSR_41100</v>
          </cell>
        </row>
        <row r="87">
          <cell r="D87" t="str">
            <v>ㄴ마인드케어 프리미엄</v>
          </cell>
          <cell r="E87" t="str">
            <v>CSR_41101</v>
          </cell>
        </row>
        <row r="88">
          <cell r="D88" t="str">
            <v>ㄴ에코혜택모아</v>
          </cell>
          <cell r="E88" t="str">
            <v>CSR_41102</v>
          </cell>
        </row>
        <row r="89">
          <cell r="D89" t="str">
            <v>ㄴPASS클라우드</v>
          </cell>
          <cell r="E89" t="str">
            <v>CSR_41103</v>
          </cell>
        </row>
        <row r="90">
          <cell r="D90" t="str">
            <v>ㄴ오늘의 게임</v>
          </cell>
          <cell r="E90" t="str">
            <v>CSR_41104</v>
          </cell>
        </row>
        <row r="91">
          <cell r="D91" t="str">
            <v>일반서비스 신규 개발 및 플랫폼 연동</v>
          </cell>
          <cell r="E91" t="str">
            <v>CSR_41200</v>
          </cell>
        </row>
        <row r="92">
          <cell r="D92"/>
          <cell r="E92"/>
        </row>
        <row r="93">
          <cell r="D93"/>
          <cell r="E93"/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  <pageSetUpPr fitToPage="1"/>
  </sheetPr>
  <dimension ref="A1:AC143"/>
  <sheetViews>
    <sheetView showGridLines="0" topLeftCell="A7" zoomScaleNormal="100" workbookViewId="0">
      <selection activeCell="D38" sqref="D38"/>
    </sheetView>
  </sheetViews>
  <sheetFormatPr baseColWidth="10" defaultColWidth="8.6640625" defaultRowHeight="15"/>
  <cols>
    <col min="1" max="1" width="2.5" style="24" customWidth="1"/>
    <col min="2" max="2" width="14.6640625" style="17" customWidth="1"/>
    <col min="3" max="3" width="22" style="17" bestFit="1" customWidth="1"/>
    <col min="4" max="4" width="56.6640625" style="18" customWidth="1"/>
    <col min="5" max="5" width="13.5" style="191" bestFit="1" customWidth="1"/>
    <col min="6" max="6" width="8.6640625" style="19" customWidth="1"/>
    <col min="7" max="7" width="11.6640625" style="19" customWidth="1"/>
    <col min="8" max="8" width="8.6640625" style="21" customWidth="1"/>
    <col min="9" max="9" width="10.1640625" style="22" customWidth="1"/>
    <col min="10" max="10" width="10.1640625" style="23" customWidth="1"/>
    <col min="11" max="11" width="14.6640625" style="23" customWidth="1"/>
    <col min="12" max="14" width="8.6640625" style="21" customWidth="1"/>
    <col min="15" max="15" width="8.6640625" style="19"/>
    <col min="16" max="16" width="8.6640625" style="19" customWidth="1"/>
    <col min="17" max="20" width="9.83203125" style="19" bestFit="1" customWidth="1"/>
    <col min="21" max="22" width="8.6640625" style="19"/>
    <col min="23" max="24" width="9.33203125" style="19" bestFit="1" customWidth="1"/>
    <col min="25" max="28" width="8.6640625" style="19"/>
    <col min="29" max="29" width="13.6640625" style="19" customWidth="1"/>
    <col min="30" max="16384" width="8.6640625" style="24"/>
  </cols>
  <sheetData>
    <row r="1" spans="2:29" hidden="1">
      <c r="E1" s="19" t="s">
        <v>569</v>
      </c>
      <c r="F1" s="19" t="s">
        <v>570</v>
      </c>
      <c r="G1" s="20" t="s">
        <v>571</v>
      </c>
      <c r="H1" s="21" t="s">
        <v>572</v>
      </c>
      <c r="L1" s="21" t="s">
        <v>573</v>
      </c>
      <c r="M1" s="21" t="s">
        <v>574</v>
      </c>
      <c r="N1" s="21" t="s">
        <v>575</v>
      </c>
    </row>
    <row r="2" spans="2:29" hidden="1">
      <c r="E2" s="25" t="s">
        <v>576</v>
      </c>
      <c r="F2" s="26" t="s">
        <v>577</v>
      </c>
      <c r="G2" s="19" t="str">
        <f>E2&amp;"_"&amp;F2</f>
        <v>ABC_123_012</v>
      </c>
      <c r="H2" s="21" t="s">
        <v>578</v>
      </c>
      <c r="L2" s="21" t="s">
        <v>579</v>
      </c>
      <c r="N2" s="21" t="s">
        <v>580</v>
      </c>
    </row>
    <row r="3" spans="2:29" hidden="1">
      <c r="E3" s="19"/>
      <c r="H3" s="21" t="s">
        <v>581</v>
      </c>
      <c r="N3" s="21" t="s">
        <v>582</v>
      </c>
    </row>
    <row r="4" spans="2:29" hidden="1">
      <c r="E4" s="19"/>
      <c r="N4" s="21" t="s">
        <v>583</v>
      </c>
    </row>
    <row r="5" spans="2:29" hidden="1">
      <c r="E5" s="19"/>
    </row>
    <row r="6" spans="2:29" hidden="1">
      <c r="E6" s="19"/>
    </row>
    <row r="7" spans="2:29">
      <c r="E7" s="19"/>
    </row>
    <row r="8" spans="2:29">
      <c r="E8" s="19"/>
    </row>
    <row r="9" spans="2:29" s="33" customFormat="1" ht="15" customHeight="1">
      <c r="B9" s="27" t="s">
        <v>584</v>
      </c>
      <c r="C9" s="28"/>
      <c r="D9" s="28"/>
      <c r="E9" s="29"/>
      <c r="F9" s="30"/>
      <c r="G9" s="30"/>
      <c r="H9" s="359" t="s">
        <v>585</v>
      </c>
      <c r="I9" s="360"/>
      <c r="J9" s="360"/>
      <c r="K9" s="361"/>
      <c r="L9" s="359" t="s">
        <v>586</v>
      </c>
      <c r="M9" s="360"/>
      <c r="N9" s="361"/>
      <c r="O9" s="30" t="s">
        <v>587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2" t="s">
        <v>588</v>
      </c>
    </row>
    <row r="10" spans="2:29" s="33" customFormat="1" ht="15" customHeight="1">
      <c r="B10" s="34" t="s">
        <v>589</v>
      </c>
      <c r="C10" s="35" t="s">
        <v>590</v>
      </c>
      <c r="D10" s="27" t="s">
        <v>591</v>
      </c>
      <c r="E10" s="32" t="s">
        <v>592</v>
      </c>
      <c r="F10" s="36" t="s">
        <v>593</v>
      </c>
      <c r="G10" s="37" t="s">
        <v>594</v>
      </c>
      <c r="H10" s="32" t="s">
        <v>595</v>
      </c>
      <c r="I10" s="38" t="s">
        <v>596</v>
      </c>
      <c r="J10" s="32" t="s">
        <v>597</v>
      </c>
      <c r="K10" s="31" t="s">
        <v>598</v>
      </c>
      <c r="L10" s="32" t="s">
        <v>589</v>
      </c>
      <c r="M10" s="32" t="s">
        <v>599</v>
      </c>
      <c r="N10" s="32" t="s">
        <v>600</v>
      </c>
      <c r="O10" s="32" t="s">
        <v>601</v>
      </c>
      <c r="P10" s="31" t="s">
        <v>602</v>
      </c>
      <c r="Q10" s="37" t="s">
        <v>603</v>
      </c>
      <c r="R10" s="29" t="s">
        <v>604</v>
      </c>
      <c r="S10" s="29" t="s">
        <v>605</v>
      </c>
      <c r="T10" s="29" t="s">
        <v>606</v>
      </c>
      <c r="U10" s="29" t="s">
        <v>607</v>
      </c>
      <c r="V10" s="29" t="s">
        <v>608</v>
      </c>
      <c r="W10" s="29" t="s">
        <v>609</v>
      </c>
      <c r="X10" s="29" t="s">
        <v>610</v>
      </c>
      <c r="Y10" s="29" t="s">
        <v>611</v>
      </c>
      <c r="Z10" s="29" t="s">
        <v>612</v>
      </c>
      <c r="AA10" s="29" t="s">
        <v>613</v>
      </c>
      <c r="AB10" s="36" t="s">
        <v>614</v>
      </c>
      <c r="AC10" s="29"/>
    </row>
    <row r="11" spans="2:29" s="53" customFormat="1" ht="15" customHeight="1">
      <c r="B11" s="39" t="s">
        <v>615</v>
      </c>
      <c r="C11" s="40" t="s">
        <v>616</v>
      </c>
      <c r="D11" s="19" t="s">
        <v>617</v>
      </c>
      <c r="E11" s="41" t="s">
        <v>618</v>
      </c>
      <c r="F11" s="42"/>
      <c r="G11" s="42"/>
      <c r="H11" s="43" t="s">
        <v>619</v>
      </c>
      <c r="I11" s="44"/>
      <c r="J11" s="45" t="s">
        <v>620</v>
      </c>
      <c r="K11" s="45" t="s">
        <v>621</v>
      </c>
      <c r="L11" s="43" t="s">
        <v>573</v>
      </c>
      <c r="M11" s="46"/>
      <c r="N11" s="46"/>
      <c r="O11" s="47">
        <v>5</v>
      </c>
      <c r="P11" s="48">
        <f t="shared" ref="P11:P66" ca="1" si="0">SUM(Q11:AB11)</f>
        <v>0.18421052631578946</v>
      </c>
      <c r="Q11" s="49">
        <f ca="1">SUMIF('25년11월'!$F$1:$I$792,CSR!E11,'25년11월'!I:I)</f>
        <v>0.13157894736842105</v>
      </c>
      <c r="R11" s="50">
        <f ca="1">SUMIF('25년12월'!$F$1:$I$764,CSR!E11,'25년12월'!I:I)</f>
        <v>5.2631578947368418E-2</v>
      </c>
      <c r="S11" s="50">
        <f ca="1">SUMIF('26년01월'!$F$1:$I$741,CSR!E11,'26년01월'!I:I)</f>
        <v>0</v>
      </c>
      <c r="T11" s="50">
        <f ca="1">SUMIF('26년02월'!$F$1:$I$734,CSR!E11,'26년02월'!I:I)</f>
        <v>0</v>
      </c>
      <c r="U11" s="50">
        <f ca="1">SUMIF('26년03월'!$F$1:$I$738,CSR!E11,'26년03월'!I:I)</f>
        <v>0</v>
      </c>
      <c r="V11" s="50">
        <f ca="1">SUMIF('26년04월'!$F$1:$I$741,CSR!E11,'26년04월'!I:I)</f>
        <v>0</v>
      </c>
      <c r="W11" s="50">
        <f ca="1">SUMIF('26년05월'!$F$1:$I$744,CSR!E11,'26년05월'!I:I)</f>
        <v>0</v>
      </c>
      <c r="X11" s="51"/>
      <c r="Y11" s="51"/>
      <c r="Z11" s="51"/>
      <c r="AA11" s="51"/>
      <c r="AB11" s="52"/>
      <c r="AC11" s="51"/>
    </row>
    <row r="12" spans="2:29" s="53" customFormat="1" ht="15" customHeight="1">
      <c r="B12" s="39"/>
      <c r="C12" s="40"/>
      <c r="D12" s="19" t="s">
        <v>622</v>
      </c>
      <c r="E12" s="41" t="s">
        <v>623</v>
      </c>
      <c r="F12" s="42"/>
      <c r="G12" s="42"/>
      <c r="H12" s="43" t="s">
        <v>619</v>
      </c>
      <c r="I12" s="44"/>
      <c r="J12" s="45" t="s">
        <v>624</v>
      </c>
      <c r="K12" s="45" t="s">
        <v>621</v>
      </c>
      <c r="L12" s="43" t="s">
        <v>573</v>
      </c>
      <c r="M12" s="46"/>
      <c r="N12" s="46"/>
      <c r="O12" s="47">
        <v>15</v>
      </c>
      <c r="P12" s="48">
        <f t="shared" ca="1" si="0"/>
        <v>0.13157894736842105</v>
      </c>
      <c r="Q12" s="49">
        <f ca="1">SUMIF('25년11월'!$F$1:$I$792,CSR!E12,'25년11월'!I:I)</f>
        <v>5.2631578947368418E-2</v>
      </c>
      <c r="R12" s="50">
        <f ca="1">SUMIF('25년12월'!$F$1:$I$764,CSR!E12,'25년12월'!I:I)</f>
        <v>0</v>
      </c>
      <c r="S12" s="50">
        <f ca="1">SUMIF('26년01월'!$F$1:$I$741,CSR!E12,'26년01월'!I:I)</f>
        <v>0</v>
      </c>
      <c r="T12" s="50">
        <f ca="1">SUMIF('26년02월'!$F$1:$I$734,CSR!E12,'26년02월'!I:I)</f>
        <v>0</v>
      </c>
      <c r="U12" s="50">
        <f ca="1">SUMIF('26년03월'!$F$1:$I$738,CSR!E12,'26년03월'!I:I)</f>
        <v>0</v>
      </c>
      <c r="V12" s="50">
        <f ca="1">SUMIF('26년04월'!$F$1:$I$741,CSR!E12,'26년04월'!I:I)</f>
        <v>0</v>
      </c>
      <c r="W12" s="50">
        <f ca="1">SUMIF('26년05월'!$F$1:$I$744,CSR!E12,'26년05월'!I:I)</f>
        <v>7.8947368421052627E-2</v>
      </c>
      <c r="X12" s="51"/>
      <c r="Y12" s="51"/>
      <c r="Z12" s="51"/>
      <c r="AA12" s="51"/>
      <c r="AB12" s="52"/>
      <c r="AC12" s="51"/>
    </row>
    <row r="13" spans="2:29" s="271" customFormat="1" ht="15" customHeight="1">
      <c r="B13" s="272"/>
      <c r="C13" s="273"/>
      <c r="D13" s="274" t="s">
        <v>2079</v>
      </c>
      <c r="E13" s="275" t="s">
        <v>2080</v>
      </c>
      <c r="F13" s="276"/>
      <c r="G13" s="276"/>
      <c r="H13" s="277" t="s">
        <v>2083</v>
      </c>
      <c r="I13" s="278"/>
      <c r="J13" s="279" t="s">
        <v>624</v>
      </c>
      <c r="K13" s="279" t="s">
        <v>2084</v>
      </c>
      <c r="L13" s="277"/>
      <c r="M13" s="280"/>
      <c r="N13" s="280"/>
      <c r="O13" s="281"/>
      <c r="P13" s="282"/>
      <c r="Q13" s="283"/>
      <c r="R13" s="284"/>
      <c r="S13" s="284"/>
      <c r="T13" s="284"/>
      <c r="U13" s="284"/>
      <c r="V13" s="284"/>
      <c r="W13" s="284"/>
      <c r="X13" s="285"/>
      <c r="Y13" s="285"/>
      <c r="Z13" s="285"/>
      <c r="AA13" s="285"/>
      <c r="AB13" s="286"/>
      <c r="AC13" s="285"/>
    </row>
    <row r="14" spans="2:29" s="42" customFormat="1" ht="15" customHeight="1">
      <c r="B14" s="39"/>
      <c r="C14" s="40"/>
      <c r="D14" s="19" t="s">
        <v>625</v>
      </c>
      <c r="E14" s="41" t="s">
        <v>626</v>
      </c>
      <c r="H14" s="43" t="s">
        <v>619</v>
      </c>
      <c r="I14" s="44"/>
      <c r="J14" s="45" t="s">
        <v>624</v>
      </c>
      <c r="K14" s="45" t="s">
        <v>621</v>
      </c>
      <c r="L14" s="43" t="s">
        <v>573</v>
      </c>
      <c r="M14" s="46"/>
      <c r="N14" s="46"/>
      <c r="O14" s="47">
        <v>5</v>
      </c>
      <c r="P14" s="48">
        <f t="shared" ca="1" si="0"/>
        <v>0.10526315789473684</v>
      </c>
      <c r="Q14" s="49">
        <f ca="1">SUMIF('25년11월'!$F$1:$I$792,CSR!E14,'25년11월'!I:I)</f>
        <v>0</v>
      </c>
      <c r="R14" s="50">
        <f ca="1">SUMIF('25년12월'!$F$1:$I$764,CSR!E14,'25년12월'!I:I)</f>
        <v>0.10526315789473684</v>
      </c>
      <c r="S14" s="50">
        <f ca="1">SUMIF('26년01월'!$F$1:$I$741,CSR!E14,'26년01월'!I:I)</f>
        <v>0</v>
      </c>
      <c r="T14" s="50">
        <f ca="1">SUMIF('26년02월'!$F$1:$I$734,CSR!E14,'26년02월'!I:I)</f>
        <v>0</v>
      </c>
      <c r="U14" s="50">
        <f ca="1">SUMIF('26년03월'!$F$1:$I$738,CSR!E14,'26년03월'!I:I)</f>
        <v>0</v>
      </c>
      <c r="V14" s="50">
        <f ca="1">SUMIF('26년04월'!$F$1:$I$741,CSR!E14,'26년04월'!I:I)</f>
        <v>0</v>
      </c>
      <c r="W14" s="50">
        <f ca="1">SUMIF('26년05월'!$F$1:$I$744,CSR!E14,'26년05월'!I:I)</f>
        <v>0</v>
      </c>
      <c r="X14" s="51"/>
      <c r="Y14" s="51"/>
      <c r="Z14" s="51"/>
      <c r="AA14" s="51"/>
      <c r="AB14" s="52"/>
      <c r="AC14" s="51"/>
    </row>
    <row r="15" spans="2:29" s="53" customFormat="1" ht="15" customHeight="1">
      <c r="B15" s="39"/>
      <c r="C15" s="40"/>
      <c r="D15" s="19" t="s">
        <v>627</v>
      </c>
      <c r="E15" s="41" t="s">
        <v>133</v>
      </c>
      <c r="F15" s="42"/>
      <c r="G15" s="42"/>
      <c r="H15" s="43" t="s">
        <v>619</v>
      </c>
      <c r="I15" s="44"/>
      <c r="J15" s="45" t="s">
        <v>624</v>
      </c>
      <c r="K15" s="45" t="s">
        <v>621</v>
      </c>
      <c r="L15" s="43" t="s">
        <v>573</v>
      </c>
      <c r="M15" s="46" t="s">
        <v>628</v>
      </c>
      <c r="N15" s="46" t="s">
        <v>629</v>
      </c>
      <c r="O15" s="47">
        <v>10</v>
      </c>
      <c r="P15" s="48">
        <f t="shared" ca="1" si="0"/>
        <v>11.773684210526314</v>
      </c>
      <c r="Q15" s="49">
        <f ca="1">SUMIF('25년11월'!$F$1:$I$792,CSR!E15,'25년11월'!I:I)</f>
        <v>0.5</v>
      </c>
      <c r="R15" s="50">
        <f ca="1">SUMIF('25년12월'!$F$1:$I$764,CSR!E15,'25년12월'!I:I)</f>
        <v>3.3157894736842106</v>
      </c>
      <c r="S15" s="50">
        <f ca="1">SUMIF('26년01월'!$F$1:$I$741,CSR!E15,'26년01월'!I:I)</f>
        <v>3.3947368421052628</v>
      </c>
      <c r="T15" s="50">
        <f ca="1">SUMIF('26년02월'!$F$1:$I$734,CSR!E15,'26년02월'!I:I)</f>
        <v>0.78947368421052622</v>
      </c>
      <c r="U15" s="50">
        <f ca="1">SUMIF('26년03월'!$F$1:$I$738,CSR!E15,'26년03월'!I:I)</f>
        <v>1.236842105263158</v>
      </c>
      <c r="V15" s="50">
        <f ca="1">SUMIF('26년04월'!$F$1:$I$741,CSR!E15,'26년04월'!I:I)</f>
        <v>1.9736842105263155</v>
      </c>
      <c r="W15" s="50">
        <f ca="1">SUMIF('26년05월'!$F$1:$I$744,CSR!E15,'26년05월'!I:I)</f>
        <v>0.56315789473684208</v>
      </c>
      <c r="X15" s="51"/>
      <c r="Y15" s="51"/>
      <c r="Z15" s="51"/>
      <c r="AA15" s="51"/>
      <c r="AB15" s="52"/>
      <c r="AC15" s="51"/>
    </row>
    <row r="16" spans="2:29" s="53" customFormat="1" ht="15" customHeight="1">
      <c r="B16" s="39"/>
      <c r="C16" s="40"/>
      <c r="D16" s="19" t="s">
        <v>630</v>
      </c>
      <c r="E16" s="41" t="s">
        <v>631</v>
      </c>
      <c r="F16" s="42"/>
      <c r="G16" s="42"/>
      <c r="H16" s="43" t="s">
        <v>619</v>
      </c>
      <c r="I16" s="44"/>
      <c r="J16" s="45" t="s">
        <v>624</v>
      </c>
      <c r="K16" s="45" t="s">
        <v>621</v>
      </c>
      <c r="L16" s="43" t="s">
        <v>573</v>
      </c>
      <c r="M16" s="46"/>
      <c r="N16" s="46"/>
      <c r="O16" s="47">
        <v>5</v>
      </c>
      <c r="P16" s="48">
        <f t="shared" ca="1" si="0"/>
        <v>0</v>
      </c>
      <c r="Q16" s="49">
        <f ca="1">SUMIF('25년11월'!$F$1:$I$792,CSR!E16,'25년11월'!I:I)</f>
        <v>0</v>
      </c>
      <c r="R16" s="50">
        <f ca="1">SUMIF('25년12월'!$F$1:$I$764,CSR!E16,'25년12월'!I:I)</f>
        <v>0</v>
      </c>
      <c r="S16" s="50">
        <f ca="1">SUMIF('26년01월'!$F$1:$I$741,CSR!E16,'26년01월'!I:I)</f>
        <v>0</v>
      </c>
      <c r="T16" s="50">
        <f ca="1">SUMIF('26년02월'!$F$1:$I$734,CSR!E16,'26년02월'!I:I)</f>
        <v>0</v>
      </c>
      <c r="U16" s="50">
        <f ca="1">SUMIF('26년03월'!$F$1:$I$738,CSR!E16,'26년03월'!I:I)</f>
        <v>0</v>
      </c>
      <c r="V16" s="50">
        <f ca="1">SUMIF('26년04월'!$F$1:$I$741,CSR!E16,'26년04월'!I:I)</f>
        <v>0</v>
      </c>
      <c r="W16" s="50">
        <f ca="1">SUMIF('26년05월'!$F$1:$I$744,CSR!E16,'26년05월'!I:I)</f>
        <v>0</v>
      </c>
      <c r="X16" s="51"/>
      <c r="Y16" s="51"/>
      <c r="Z16" s="51"/>
      <c r="AA16" s="51"/>
      <c r="AB16" s="52"/>
      <c r="AC16" s="51"/>
    </row>
    <row r="17" spans="2:29" s="42" customFormat="1" ht="15" customHeight="1">
      <c r="B17" s="39"/>
      <c r="C17" s="40"/>
      <c r="D17" s="19" t="s">
        <v>632</v>
      </c>
      <c r="E17" s="41" t="s">
        <v>633</v>
      </c>
      <c r="H17" s="43" t="s">
        <v>619</v>
      </c>
      <c r="I17" s="44"/>
      <c r="J17" s="45" t="s">
        <v>624</v>
      </c>
      <c r="K17" s="45" t="s">
        <v>621</v>
      </c>
      <c r="L17" s="43" t="s">
        <v>573</v>
      </c>
      <c r="M17" s="46"/>
      <c r="N17" s="46"/>
      <c r="O17" s="47">
        <v>5</v>
      </c>
      <c r="P17" s="48">
        <f t="shared" ca="1" si="0"/>
        <v>0.26315789473684209</v>
      </c>
      <c r="Q17" s="49">
        <f ca="1">SUMIF('25년11월'!$F$1:$I$792,CSR!E17,'25년11월'!I:I)</f>
        <v>0.26315789473684209</v>
      </c>
      <c r="R17" s="50">
        <f ca="1">SUMIF('25년12월'!$F$1:$I$764,CSR!E17,'25년12월'!I:I)</f>
        <v>0</v>
      </c>
      <c r="S17" s="50">
        <f ca="1">SUMIF('26년01월'!$F$1:$I$741,CSR!E17,'26년01월'!I:I)</f>
        <v>0</v>
      </c>
      <c r="T17" s="50">
        <f ca="1">SUMIF('26년02월'!$F$1:$I$734,CSR!E17,'26년02월'!I:I)</f>
        <v>0</v>
      </c>
      <c r="U17" s="50">
        <f ca="1">SUMIF('26년03월'!$F$1:$I$738,CSR!E17,'26년03월'!I:I)</f>
        <v>0</v>
      </c>
      <c r="V17" s="50">
        <f ca="1">SUMIF('26년04월'!$F$1:$I$741,CSR!E17,'26년04월'!I:I)</f>
        <v>0</v>
      </c>
      <c r="W17" s="50">
        <f ca="1">SUMIF('26년05월'!$F$1:$I$744,CSR!E17,'26년05월'!I:I)</f>
        <v>0</v>
      </c>
      <c r="X17" s="51"/>
      <c r="Y17" s="51"/>
      <c r="Z17" s="51"/>
      <c r="AA17" s="51"/>
      <c r="AB17" s="52"/>
      <c r="AC17" s="51"/>
    </row>
    <row r="18" spans="2:29" s="53" customFormat="1" ht="15" customHeight="1">
      <c r="B18" s="39"/>
      <c r="C18" s="40"/>
      <c r="D18" s="19" t="s">
        <v>634</v>
      </c>
      <c r="E18" s="41" t="s">
        <v>222</v>
      </c>
      <c r="F18" s="42"/>
      <c r="G18" s="42"/>
      <c r="H18" s="43" t="s">
        <v>619</v>
      </c>
      <c r="I18" s="44"/>
      <c r="J18" s="45" t="s">
        <v>624</v>
      </c>
      <c r="K18" s="45" t="s">
        <v>621</v>
      </c>
      <c r="L18" s="43" t="s">
        <v>573</v>
      </c>
      <c r="M18" s="46"/>
      <c r="N18" s="46" t="s">
        <v>629</v>
      </c>
      <c r="O18" s="47">
        <v>5</v>
      </c>
      <c r="P18" s="48">
        <f t="shared" ca="1" si="0"/>
        <v>0.99999999999999989</v>
      </c>
      <c r="Q18" s="49">
        <f ca="1">SUMIF('25년11월'!$F$1:$I$792,CSR!E18,'25년11월'!I:I)</f>
        <v>0</v>
      </c>
      <c r="R18" s="50">
        <f ca="1">SUMIF('25년12월'!$F$1:$I$764,CSR!E18,'25년12월'!I:I)</f>
        <v>0.5</v>
      </c>
      <c r="S18" s="50">
        <f ca="1">SUMIF('26년01월'!$F$1:$I$741,CSR!E18,'26년01월'!I:I)</f>
        <v>0</v>
      </c>
      <c r="T18" s="50">
        <f ca="1">SUMIF('26년02월'!$F$1:$I$734,CSR!E18,'26년02월'!I:I)</f>
        <v>0</v>
      </c>
      <c r="U18" s="50">
        <f ca="1">SUMIF('26년03월'!$F$1:$I$738,CSR!E18,'26년03월'!I:I)</f>
        <v>0.31578947368421051</v>
      </c>
      <c r="V18" s="50">
        <f ca="1">SUMIF('26년04월'!$F$1:$I$741,CSR!E18,'26년04월'!I:I)</f>
        <v>0.15789473684210525</v>
      </c>
      <c r="W18" s="50">
        <f ca="1">SUMIF('26년05월'!$F$1:$I$744,CSR!E18,'26년05월'!I:I)</f>
        <v>2.6315789473684209E-2</v>
      </c>
      <c r="X18" s="51"/>
      <c r="Y18" s="51"/>
      <c r="Z18" s="51"/>
      <c r="AA18" s="51"/>
      <c r="AB18" s="52"/>
      <c r="AC18" s="51"/>
    </row>
    <row r="19" spans="2:29" s="42" customFormat="1" ht="15" customHeight="1">
      <c r="B19" s="39"/>
      <c r="C19" s="40"/>
      <c r="D19" s="19" t="s">
        <v>635</v>
      </c>
      <c r="E19" s="41" t="s">
        <v>67</v>
      </c>
      <c r="H19" s="43" t="s">
        <v>619</v>
      </c>
      <c r="I19" s="44"/>
      <c r="J19" s="45" t="s">
        <v>624</v>
      </c>
      <c r="K19" s="45" t="s">
        <v>621</v>
      </c>
      <c r="L19" s="43" t="s">
        <v>573</v>
      </c>
      <c r="M19" s="46"/>
      <c r="N19" s="46" t="s">
        <v>629</v>
      </c>
      <c r="O19" s="47">
        <v>5</v>
      </c>
      <c r="P19" s="48">
        <f t="shared" ca="1" si="0"/>
        <v>7.7894736842105248</v>
      </c>
      <c r="Q19" s="49">
        <f ca="1">SUMIF('25년11월'!$F$1:$I$792,CSR!E19,'25년11월'!I:I)</f>
        <v>0</v>
      </c>
      <c r="R19" s="50">
        <f ca="1">SUMIF('25년12월'!$F$1:$I$764,CSR!E19,'25년12월'!I:I)</f>
        <v>0</v>
      </c>
      <c r="S19" s="50">
        <f ca="1">SUMIF('26년01월'!$F$1:$I$741,CSR!E19,'26년01월'!I:I)</f>
        <v>1.7894736842105261</v>
      </c>
      <c r="T19" s="50">
        <f ca="1">SUMIF('26년02월'!$F$1:$I$734,CSR!E19,'26년02월'!I:I)</f>
        <v>2.5</v>
      </c>
      <c r="U19" s="50">
        <f ca="1">SUMIF('26년03월'!$F$1:$I$738,CSR!E19,'26년03월'!I:I)</f>
        <v>0.73684210526315796</v>
      </c>
      <c r="V19" s="50">
        <f ca="1">SUMIF('26년04월'!$F$1:$I$741,CSR!E19,'26년04월'!I:I)</f>
        <v>1.7105263157894737</v>
      </c>
      <c r="W19" s="50">
        <f ca="1">SUMIF('26년05월'!$F$1:$I$744,CSR!E19,'26년05월'!I:I)</f>
        <v>1.0526315789473684</v>
      </c>
      <c r="X19" s="51"/>
      <c r="Y19" s="51"/>
      <c r="Z19" s="51"/>
      <c r="AA19" s="51"/>
      <c r="AB19" s="52"/>
      <c r="AC19" s="51"/>
    </row>
    <row r="20" spans="2:29" s="42" customFormat="1" ht="15" customHeight="1">
      <c r="B20" s="39"/>
      <c r="C20" s="40"/>
      <c r="D20" s="19" t="s">
        <v>636</v>
      </c>
      <c r="E20" s="41" t="s">
        <v>637</v>
      </c>
      <c r="H20" s="43" t="s">
        <v>619</v>
      </c>
      <c r="I20" s="44"/>
      <c r="J20" s="45" t="s">
        <v>620</v>
      </c>
      <c r="K20" s="45" t="s">
        <v>621</v>
      </c>
      <c r="L20" s="43" t="s">
        <v>573</v>
      </c>
      <c r="M20" s="46"/>
      <c r="N20" s="46"/>
      <c r="O20" s="47">
        <v>8</v>
      </c>
      <c r="P20" s="48">
        <f t="shared" ca="1" si="0"/>
        <v>0</v>
      </c>
      <c r="Q20" s="49">
        <f ca="1">SUMIF('25년11월'!$F$1:$I$792,CSR!E20,'25년11월'!I:I)</f>
        <v>0</v>
      </c>
      <c r="R20" s="50">
        <f ca="1">SUMIF('25년12월'!$F$1:$I$764,CSR!E20,'25년12월'!I:I)</f>
        <v>0</v>
      </c>
      <c r="S20" s="50">
        <f ca="1">SUMIF('26년01월'!$F$1:$I$741,CSR!E20,'26년01월'!I:I)</f>
        <v>0</v>
      </c>
      <c r="T20" s="50">
        <f ca="1">SUMIF('26년02월'!$F$1:$I$734,CSR!E20,'26년02월'!I:I)</f>
        <v>0</v>
      </c>
      <c r="U20" s="50">
        <f ca="1">SUMIF('26년03월'!$F$1:$I$738,CSR!E20,'26년03월'!I:I)</f>
        <v>0</v>
      </c>
      <c r="V20" s="50">
        <f ca="1">SUMIF('26년04월'!$F$1:$I$741,CSR!E20,'26년04월'!I:I)</f>
        <v>0</v>
      </c>
      <c r="W20" s="50">
        <f ca="1">SUMIF('26년05월'!$F$1:$I$744,CSR!E20,'26년05월'!I:I)</f>
        <v>0</v>
      </c>
      <c r="X20" s="51"/>
      <c r="Y20" s="51"/>
      <c r="Z20" s="51"/>
      <c r="AA20" s="51"/>
      <c r="AB20" s="52"/>
      <c r="AC20" s="51"/>
    </row>
    <row r="21" spans="2:29" s="53" customFormat="1" ht="15" customHeight="1">
      <c r="B21" s="39"/>
      <c r="C21" s="40"/>
      <c r="D21" s="54" t="s">
        <v>638</v>
      </c>
      <c r="E21" s="41" t="s">
        <v>639</v>
      </c>
      <c r="F21" s="42"/>
      <c r="G21" s="42"/>
      <c r="H21" s="43" t="s">
        <v>619</v>
      </c>
      <c r="I21" s="44"/>
      <c r="J21" s="45" t="s">
        <v>624</v>
      </c>
      <c r="K21" s="45" t="s">
        <v>621</v>
      </c>
      <c r="L21" s="43" t="s">
        <v>573</v>
      </c>
      <c r="M21" s="46"/>
      <c r="N21" s="46" t="s">
        <v>629</v>
      </c>
      <c r="O21" s="47">
        <v>5</v>
      </c>
      <c r="P21" s="48">
        <f t="shared" ca="1" si="0"/>
        <v>0.42105263157894735</v>
      </c>
      <c r="Q21" s="49">
        <f ca="1">SUMIF('25년11월'!$F$1:$I$792,CSR!E21,'25년11월'!I:I)</f>
        <v>0</v>
      </c>
      <c r="R21" s="50">
        <f ca="1">SUMIF('25년12월'!$F$1:$I$764,CSR!E21,'25년12월'!I:I)</f>
        <v>0</v>
      </c>
      <c r="S21" s="50">
        <f ca="1">SUMIF('26년01월'!$F$1:$I$741,CSR!E21,'26년01월'!I:I)</f>
        <v>0</v>
      </c>
      <c r="T21" s="50">
        <f ca="1">SUMIF('26년02월'!$F$1:$I$734,CSR!E21,'26년02월'!I:I)</f>
        <v>0.15789473684210525</v>
      </c>
      <c r="U21" s="50">
        <f ca="1">SUMIF('26년03월'!$F$1:$I$738,CSR!E21,'26년03월'!I:I)</f>
        <v>7.8947368421052627E-2</v>
      </c>
      <c r="V21" s="50">
        <f ca="1">SUMIF('26년04월'!$F$1:$I$741,CSR!E21,'26년04월'!I:I)</f>
        <v>7.8947368421052627E-2</v>
      </c>
      <c r="W21" s="50">
        <f ca="1">SUMIF('26년05월'!$F$1:$I$744,CSR!E21,'26년05월'!I:I)</f>
        <v>0.10526315789473684</v>
      </c>
      <c r="X21" s="51"/>
      <c r="Y21" s="51"/>
      <c r="Z21" s="51"/>
      <c r="AA21" s="51"/>
      <c r="AB21" s="52"/>
      <c r="AC21" s="51"/>
    </row>
    <row r="22" spans="2:29" s="53" customFormat="1" ht="15" customHeight="1">
      <c r="B22" s="39"/>
      <c r="C22" s="40"/>
      <c r="D22" s="54" t="s">
        <v>640</v>
      </c>
      <c r="E22" s="41" t="s">
        <v>641</v>
      </c>
      <c r="F22" s="42"/>
      <c r="G22" s="42"/>
      <c r="H22" s="43" t="s">
        <v>619</v>
      </c>
      <c r="I22" s="44"/>
      <c r="J22" s="45" t="s">
        <v>624</v>
      </c>
      <c r="K22" s="45" t="s">
        <v>621</v>
      </c>
      <c r="L22" s="43"/>
      <c r="M22" s="46"/>
      <c r="N22" s="46" t="s">
        <v>629</v>
      </c>
      <c r="O22" s="47"/>
      <c r="P22" s="48">
        <f t="shared" ca="1" si="0"/>
        <v>0</v>
      </c>
      <c r="Q22" s="49"/>
      <c r="R22" s="50"/>
      <c r="S22" s="50"/>
      <c r="T22" s="50"/>
      <c r="U22" s="50">
        <f ca="1">SUMIF('26년03월'!$F$1:$I$738,CSR!E22,'26년03월'!I:I)</f>
        <v>0</v>
      </c>
      <c r="V22" s="50">
        <f ca="1">SUMIF('26년04월'!$F$1:$I$741,CSR!E22,'26년04월'!I:I)</f>
        <v>0</v>
      </c>
      <c r="W22" s="50">
        <f ca="1">SUMIF('26년05월'!$F$1:$I$744,CSR!E22,'26년05월'!I:I)</f>
        <v>0</v>
      </c>
      <c r="X22" s="51"/>
      <c r="Y22" s="51"/>
      <c r="Z22" s="51"/>
      <c r="AA22" s="51"/>
      <c r="AB22" s="52"/>
      <c r="AC22" s="51"/>
    </row>
    <row r="23" spans="2:29" s="53" customFormat="1" ht="15" customHeight="1">
      <c r="B23" s="39"/>
      <c r="C23" s="40"/>
      <c r="D23" s="54" t="s">
        <v>642</v>
      </c>
      <c r="E23" s="41" t="s">
        <v>643</v>
      </c>
      <c r="F23" s="42"/>
      <c r="G23" s="42"/>
      <c r="H23" s="43" t="s">
        <v>619</v>
      </c>
      <c r="I23" s="44"/>
      <c r="J23" s="45" t="s">
        <v>624</v>
      </c>
      <c r="K23" s="45" t="s">
        <v>621</v>
      </c>
      <c r="L23" s="43"/>
      <c r="M23" s="46"/>
      <c r="N23" s="46" t="s">
        <v>629</v>
      </c>
      <c r="O23" s="47"/>
      <c r="P23" s="48">
        <f t="shared" ca="1" si="0"/>
        <v>0.57894736842105265</v>
      </c>
      <c r="Q23" s="49"/>
      <c r="R23" s="50"/>
      <c r="S23" s="50"/>
      <c r="T23" s="50"/>
      <c r="U23" s="50">
        <f ca="1">SUMIF('26년03월'!$F$1:$I$738,CSR!E23,'26년03월'!I:I)</f>
        <v>0.57894736842105265</v>
      </c>
      <c r="V23" s="50">
        <f ca="1">SUMIF('26년04월'!$F$1:$I$741,CSR!E23,'26년04월'!I:I)</f>
        <v>0</v>
      </c>
      <c r="W23" s="50">
        <f ca="1">SUMIF('26년05월'!$F$1:$I$744,CSR!E23,'26년05월'!I:I)</f>
        <v>0</v>
      </c>
      <c r="X23" s="51"/>
      <c r="Y23" s="51"/>
      <c r="Z23" s="51"/>
      <c r="AA23" s="51"/>
      <c r="AB23" s="52"/>
      <c r="AC23" s="51"/>
    </row>
    <row r="24" spans="2:29" s="53" customFormat="1" ht="15" customHeight="1">
      <c r="B24" s="39"/>
      <c r="C24" s="40"/>
      <c r="D24" s="54" t="s">
        <v>644</v>
      </c>
      <c r="E24" s="41" t="s">
        <v>264</v>
      </c>
      <c r="F24" s="42"/>
      <c r="G24" s="42"/>
      <c r="H24" s="43" t="s">
        <v>619</v>
      </c>
      <c r="I24" s="44"/>
      <c r="J24" s="45" t="s">
        <v>624</v>
      </c>
      <c r="K24" s="45" t="s">
        <v>621</v>
      </c>
      <c r="L24" s="43" t="s">
        <v>573</v>
      </c>
      <c r="M24" s="46"/>
      <c r="N24" s="46" t="s">
        <v>629</v>
      </c>
      <c r="O24" s="47">
        <v>5</v>
      </c>
      <c r="P24" s="48">
        <f t="shared" ca="1" si="0"/>
        <v>1.5263157894736841</v>
      </c>
      <c r="Q24" s="49">
        <f ca="1">SUMIF('25년11월'!$F$1:$I$792,CSR!E24,'25년11월'!I:I)</f>
        <v>2.6315789473684209E-2</v>
      </c>
      <c r="R24" s="50">
        <f ca="1">SUMIF('25년12월'!$F$1:$I$764,CSR!E24,'25년12월'!I:I)</f>
        <v>0.10526315789473684</v>
      </c>
      <c r="S24" s="50">
        <f ca="1">SUMIF('26년01월'!$F$1:$I$741,CSR!E24,'26년01월'!I:I)</f>
        <v>0.26315789473684209</v>
      </c>
      <c r="T24" s="50">
        <f ca="1">SUMIF('26년02월'!$F$1:$I$734,CSR!E24,'26년02월'!I:I)</f>
        <v>0.36842105263157893</v>
      </c>
      <c r="U24" s="50">
        <f ca="1">SUMIF('26년03월'!$F$1:$I$738,CSR!E24,'26년03월'!I:I)</f>
        <v>0.39473684210526316</v>
      </c>
      <c r="V24" s="50">
        <f ca="1">SUMIF('26년04월'!$F$1:$I$741,CSR!E24,'26년04월'!I:I)</f>
        <v>0.18421052631578946</v>
      </c>
      <c r="W24" s="50">
        <f ca="1">SUMIF('26년05월'!$F$1:$I$744,CSR!E24,'26년05월'!I:I)</f>
        <v>0.18421052631578946</v>
      </c>
      <c r="X24" s="51"/>
      <c r="Y24" s="51"/>
      <c r="Z24" s="51"/>
      <c r="AA24" s="51"/>
      <c r="AB24" s="52"/>
      <c r="AC24" s="51"/>
    </row>
    <row r="25" spans="2:29" s="53" customFormat="1" ht="15" customHeight="1">
      <c r="B25" s="39"/>
      <c r="C25" s="40"/>
      <c r="D25" s="54" t="s">
        <v>645</v>
      </c>
      <c r="E25" s="41" t="s">
        <v>646</v>
      </c>
      <c r="F25" s="42"/>
      <c r="G25" s="42"/>
      <c r="H25" s="43" t="s">
        <v>619</v>
      </c>
      <c r="I25" s="44"/>
      <c r="J25" s="45" t="s">
        <v>624</v>
      </c>
      <c r="K25" s="45" t="s">
        <v>621</v>
      </c>
      <c r="L25" s="43" t="s">
        <v>573</v>
      </c>
      <c r="M25" s="46"/>
      <c r="N25" s="46" t="s">
        <v>629</v>
      </c>
      <c r="O25" s="47">
        <v>2</v>
      </c>
      <c r="P25" s="48">
        <f t="shared" ca="1" si="0"/>
        <v>0</v>
      </c>
      <c r="Q25" s="49">
        <f ca="1">SUMIF('25년11월'!$F$1:$I$792,CSR!E25,'25년11월'!I:I)</f>
        <v>0</v>
      </c>
      <c r="R25" s="50">
        <f ca="1">SUMIF('25년12월'!$F$1:$I$764,CSR!E25,'25년12월'!I:I)</f>
        <v>0</v>
      </c>
      <c r="S25" s="50">
        <f ca="1">SUMIF('26년01월'!$F$1:$I$741,CSR!E25,'26년01월'!I:I)</f>
        <v>0</v>
      </c>
      <c r="T25" s="50">
        <f ca="1">SUMIF('26년02월'!$F$1:$I$734,CSR!E25,'26년02월'!I:I)</f>
        <v>0</v>
      </c>
      <c r="U25" s="50">
        <f ca="1">SUMIF('26년03월'!$F$1:$I$738,CSR!E25,'26년03월'!I:I)</f>
        <v>0</v>
      </c>
      <c r="V25" s="50">
        <f ca="1">SUMIF('26년04월'!$F$1:$I$741,CSR!E25,'26년04월'!I:I)</f>
        <v>0</v>
      </c>
      <c r="W25" s="50">
        <f ca="1">SUMIF('26년05월'!$F$1:$I$744,CSR!E25,'26년05월'!I:I)</f>
        <v>0</v>
      </c>
      <c r="X25" s="51"/>
      <c r="Y25" s="51"/>
      <c r="Z25" s="51"/>
      <c r="AA25" s="51"/>
      <c r="AB25" s="52"/>
      <c r="AC25" s="51"/>
    </row>
    <row r="26" spans="2:29" s="53" customFormat="1" ht="15" customHeight="1">
      <c r="B26" s="39"/>
      <c r="C26" s="40"/>
      <c r="D26" s="54" t="s">
        <v>647</v>
      </c>
      <c r="E26" s="41" t="s">
        <v>20</v>
      </c>
      <c r="F26" s="42"/>
      <c r="G26" s="42"/>
      <c r="H26" s="43" t="s">
        <v>619</v>
      </c>
      <c r="I26" s="44"/>
      <c r="J26" s="45" t="s">
        <v>624</v>
      </c>
      <c r="K26" s="45" t="s">
        <v>621</v>
      </c>
      <c r="L26" s="43" t="s">
        <v>573</v>
      </c>
      <c r="M26" s="46"/>
      <c r="N26" s="46" t="s">
        <v>629</v>
      </c>
      <c r="O26" s="47">
        <v>10</v>
      </c>
      <c r="P26" s="48">
        <f t="shared" ca="1" si="0"/>
        <v>21.078947368421055</v>
      </c>
      <c r="Q26" s="49">
        <f ca="1">SUMIF('25년11월'!$F$1:$I$792,CSR!E26,'25년11월'!I:I)</f>
        <v>1.3684210526315788</v>
      </c>
      <c r="R26" s="50">
        <f ca="1">SUMIF('25년12월'!$F$1:$I$764,CSR!E26,'25년12월'!I:I)</f>
        <v>2.3421052631578951</v>
      </c>
      <c r="S26" s="50">
        <f ca="1">SUMIF('26년01월'!$F$1:$I$741,CSR!E26,'26년01월'!I:I)</f>
        <v>1.9999999999999996</v>
      </c>
      <c r="T26" s="50">
        <f ca="1">SUMIF('26년02월'!$F$1:$I$734,CSR!E26,'26년02월'!I:I)</f>
        <v>0.52631578947368418</v>
      </c>
      <c r="U26" s="50">
        <f ca="1">SUMIF('26년03월'!$F$1:$I$738,CSR!E26,'26년03월'!I:I)</f>
        <v>1.7894736842105259</v>
      </c>
      <c r="V26" s="50">
        <f ca="1">SUMIF('26년04월'!$F$1:$I$741,CSR!E26,'26년04월'!I:I)</f>
        <v>8.1052631578947398</v>
      </c>
      <c r="W26" s="50">
        <f ca="1">SUMIF('26년05월'!$F$1:$I$744,CSR!E26,'26년05월'!I:I)</f>
        <v>4.9473684210526319</v>
      </c>
      <c r="X26" s="51"/>
      <c r="Y26" s="51"/>
      <c r="Z26" s="51"/>
      <c r="AA26" s="51"/>
      <c r="AB26" s="52"/>
      <c r="AC26" s="51"/>
    </row>
    <row r="27" spans="2:29" s="59" customFormat="1" ht="15" customHeight="1">
      <c r="B27" s="55"/>
      <c r="C27" s="56"/>
      <c r="D27" s="57" t="s">
        <v>648</v>
      </c>
      <c r="E27" s="58" t="s">
        <v>649</v>
      </c>
      <c r="H27" s="60" t="s">
        <v>619</v>
      </c>
      <c r="I27" s="61"/>
      <c r="J27" s="62" t="s">
        <v>624</v>
      </c>
      <c r="K27" s="62" t="s">
        <v>621</v>
      </c>
      <c r="L27" s="60"/>
      <c r="M27" s="63" t="s">
        <v>650</v>
      </c>
      <c r="N27" s="64" t="s">
        <v>575</v>
      </c>
      <c r="O27" s="65"/>
      <c r="P27" s="66">
        <f t="shared" ca="1" si="0"/>
        <v>0.28947368421052633</v>
      </c>
      <c r="Q27" s="65">
        <f ca="1">SUMIF('25년11월'!$F$1:$I$792,CSR!E27,'25년11월'!I:I)</f>
        <v>0.26315789473684209</v>
      </c>
      <c r="R27" s="67">
        <f ca="1">SUMIF('25년12월'!$F$1:$I$764,CSR!E27,'25년12월'!I:I)</f>
        <v>2.6315789473684209E-2</v>
      </c>
      <c r="S27" s="67">
        <f ca="1">SUMIF('26년01월'!$F$1:$I$741,CSR!E27,'26년01월'!I:I)</f>
        <v>0</v>
      </c>
      <c r="T27" s="68">
        <f ca="1">SUMIF('26년02월'!$F$1:$I$734,CSR!E27,'26년02월'!I:I)</f>
        <v>0</v>
      </c>
      <c r="U27" s="68">
        <f ca="1">SUMIF('26년03월'!$F$1:$I$738,CSR!E27,'26년03월'!I:I)</f>
        <v>0</v>
      </c>
      <c r="V27" s="68">
        <f ca="1">SUMIF('26년04월'!$F$1:$I$741,CSR!E27,'26년04월'!I:I)</f>
        <v>0</v>
      </c>
      <c r="W27" s="68">
        <f ca="1">SUMIF('26년05월'!$F$1:$I$744,CSR!E27,'26년05월'!I:I)</f>
        <v>0</v>
      </c>
      <c r="X27" s="69"/>
      <c r="Y27" s="69"/>
      <c r="Z27" s="69"/>
      <c r="AA27" s="69"/>
      <c r="AB27" s="70"/>
      <c r="AC27" s="69"/>
    </row>
    <row r="28" spans="2:29" s="59" customFormat="1" ht="15" customHeight="1">
      <c r="B28" s="55"/>
      <c r="C28" s="56"/>
      <c r="D28" s="57" t="s">
        <v>651</v>
      </c>
      <c r="E28" s="58" t="s">
        <v>652</v>
      </c>
      <c r="H28" s="60" t="s">
        <v>619</v>
      </c>
      <c r="I28" s="61"/>
      <c r="J28" s="62" t="s">
        <v>624</v>
      </c>
      <c r="K28" s="62" t="s">
        <v>621</v>
      </c>
      <c r="L28" s="60"/>
      <c r="M28" s="63" t="s">
        <v>650</v>
      </c>
      <c r="N28" s="64" t="s">
        <v>575</v>
      </c>
      <c r="O28" s="65"/>
      <c r="P28" s="66">
        <f t="shared" ca="1" si="0"/>
        <v>1.5789473684210524</v>
      </c>
      <c r="Q28" s="65">
        <f ca="1">SUMIF('25년11월'!$F$1:$I$792,CSR!E28,'25년11월'!I:I)</f>
        <v>0.31578947368421051</v>
      </c>
      <c r="R28" s="67">
        <f ca="1">SUMIF('25년12월'!$F$1:$I$764,CSR!E28,'25년12월'!I:I)</f>
        <v>0.15789473684210525</v>
      </c>
      <c r="S28" s="67">
        <f ca="1">SUMIF('26년01월'!$F$1:$I$741,CSR!E28,'26년01월'!I:I)</f>
        <v>0.84210526315789469</v>
      </c>
      <c r="T28" s="68">
        <f ca="1">SUMIF('26년02월'!$F$1:$I$734,CSR!E28,'26년02월'!I:I)</f>
        <v>0.26315789473684209</v>
      </c>
      <c r="U28" s="68">
        <f ca="1">SUMIF('26년03월'!$F$1:$I$738,CSR!E28,'26년03월'!I:I)</f>
        <v>0</v>
      </c>
      <c r="V28" s="68">
        <f ca="1">SUMIF('26년04월'!$F$1:$I$741,CSR!E28,'26년04월'!I:I)</f>
        <v>0</v>
      </c>
      <c r="W28" s="68">
        <f ca="1">SUMIF('26년05월'!$F$1:$I$744,CSR!E28,'26년05월'!I:I)</f>
        <v>0</v>
      </c>
      <c r="X28" s="69"/>
      <c r="Y28" s="69"/>
      <c r="Z28" s="69"/>
      <c r="AA28" s="69"/>
      <c r="AB28" s="70"/>
      <c r="AC28" s="69"/>
    </row>
    <row r="29" spans="2:29" s="59" customFormat="1" ht="15" customHeight="1">
      <c r="B29" s="55"/>
      <c r="C29" s="56"/>
      <c r="D29" s="57" t="s">
        <v>653</v>
      </c>
      <c r="E29" s="58" t="s">
        <v>654</v>
      </c>
      <c r="H29" s="60" t="s">
        <v>619</v>
      </c>
      <c r="I29" s="61"/>
      <c r="J29" s="62" t="s">
        <v>624</v>
      </c>
      <c r="K29" s="62" t="s">
        <v>655</v>
      </c>
      <c r="L29" s="60"/>
      <c r="M29" s="63" t="s">
        <v>656</v>
      </c>
      <c r="N29" s="64" t="s">
        <v>575</v>
      </c>
      <c r="O29" s="65"/>
      <c r="P29" s="66">
        <f t="shared" ca="1" si="0"/>
        <v>1.0157894736842106</v>
      </c>
      <c r="Q29" s="65">
        <f ca="1">SUMIF('25년11월'!$F$1:$I$792,CSR!E29,'25년11월'!I:I)</f>
        <v>0</v>
      </c>
      <c r="R29" s="67">
        <f ca="1">SUMIF('25년12월'!$F$1:$I$764,CSR!E29,'25년12월'!I:I)</f>
        <v>0.57894736842105265</v>
      </c>
      <c r="S29" s="67">
        <f ca="1">SUMIF('26년01월'!$F$1:$I$741,CSR!E29,'26년01월'!I:I)</f>
        <v>0</v>
      </c>
      <c r="T29" s="68">
        <f ca="1">SUMIF('26년02월'!$F$1:$I$734,CSR!E29,'26년02월'!I:I)</f>
        <v>2.6315789473684209E-2</v>
      </c>
      <c r="U29" s="68">
        <f ca="1">SUMIF('26년03월'!$F$1:$I$738,CSR!E29,'26년03월'!I:I)</f>
        <v>0.27894736842105261</v>
      </c>
      <c r="V29" s="68">
        <f ca="1">SUMIF('26년04월'!$F$1:$I$741,CSR!E29,'26년04월'!I:I)</f>
        <v>4.2105263157894736E-2</v>
      </c>
      <c r="W29" s="68">
        <f ca="1">SUMIF('26년05월'!$F$1:$I$744,CSR!E29,'26년05월'!I:I)</f>
        <v>8.9473684210526316E-2</v>
      </c>
      <c r="X29" s="69"/>
      <c r="Y29" s="69"/>
      <c r="Z29" s="69"/>
      <c r="AA29" s="69"/>
      <c r="AB29" s="70"/>
      <c r="AC29" s="69"/>
    </row>
    <row r="30" spans="2:29" s="59" customFormat="1" ht="15" customHeight="1">
      <c r="B30" s="55"/>
      <c r="C30" s="56"/>
      <c r="D30" s="57" t="s">
        <v>657</v>
      </c>
      <c r="E30" s="58" t="s">
        <v>658</v>
      </c>
      <c r="H30" s="60" t="s">
        <v>619</v>
      </c>
      <c r="I30" s="61"/>
      <c r="J30" s="62" t="s">
        <v>624</v>
      </c>
      <c r="K30" s="62" t="s">
        <v>655</v>
      </c>
      <c r="L30" s="60"/>
      <c r="M30" s="63" t="s">
        <v>656</v>
      </c>
      <c r="N30" s="64" t="s">
        <v>575</v>
      </c>
      <c r="O30" s="65"/>
      <c r="P30" s="66">
        <f t="shared" ca="1" si="0"/>
        <v>0.42105263157894735</v>
      </c>
      <c r="Q30" s="65">
        <f ca="1">SUMIF('25년11월'!$F$1:$I$792,CSR!E30,'25년11월'!I:I)</f>
        <v>0</v>
      </c>
      <c r="R30" s="67">
        <f ca="1">SUMIF('25년12월'!$F$1:$I$764,CSR!E30,'25년12월'!I:I)</f>
        <v>0.15789473684210525</v>
      </c>
      <c r="S30" s="67">
        <f ca="1">SUMIF('26년01월'!$F$1:$I$741,CSR!E30,'26년01월'!I:I)</f>
        <v>0.10526315789473684</v>
      </c>
      <c r="T30" s="68">
        <f ca="1">SUMIF('26년02월'!$F$1:$I$734,CSR!E30,'26년02월'!I:I)</f>
        <v>0.15789473684210525</v>
      </c>
      <c r="U30" s="68">
        <f ca="1">SUMIF('26년03월'!$F$1:$I$738,CSR!E30,'26년03월'!I:I)</f>
        <v>0</v>
      </c>
      <c r="V30" s="68">
        <f ca="1">SUMIF('26년04월'!$F$1:$I$741,CSR!E30,'26년04월'!I:I)</f>
        <v>0</v>
      </c>
      <c r="W30" s="68">
        <f ca="1">SUMIF('26년05월'!$F$1:$I$744,CSR!E30,'26년05월'!I:I)</f>
        <v>0</v>
      </c>
      <c r="X30" s="69"/>
      <c r="Y30" s="69"/>
      <c r="Z30" s="69"/>
      <c r="AA30" s="69"/>
      <c r="AB30" s="70"/>
      <c r="AC30" s="69"/>
    </row>
    <row r="31" spans="2:29" s="53" customFormat="1" ht="15" customHeight="1">
      <c r="B31" s="39"/>
      <c r="C31" s="40"/>
      <c r="D31" s="54" t="s">
        <v>659</v>
      </c>
      <c r="E31" s="41" t="s">
        <v>660</v>
      </c>
      <c r="F31" s="42"/>
      <c r="G31" s="42"/>
      <c r="H31" s="43" t="s">
        <v>619</v>
      </c>
      <c r="I31" s="44"/>
      <c r="J31" s="45" t="s">
        <v>624</v>
      </c>
      <c r="K31" s="45" t="s">
        <v>621</v>
      </c>
      <c r="L31" s="43"/>
      <c r="M31" s="46" t="s">
        <v>661</v>
      </c>
      <c r="N31" s="46" t="s">
        <v>629</v>
      </c>
      <c r="O31" s="47"/>
      <c r="P31" s="48">
        <f t="shared" ca="1" si="0"/>
        <v>1.3684210526315788</v>
      </c>
      <c r="Q31" s="49">
        <f ca="1">SUMIF('25년11월'!$F$1:$I$792,CSR!E31,'25년11월'!I:I)</f>
        <v>0</v>
      </c>
      <c r="R31" s="50">
        <f ca="1">SUMIF('25년12월'!$F$1:$I$764,CSR!E31,'25년12월'!I:I)</f>
        <v>0.42105263157894735</v>
      </c>
      <c r="S31" s="50">
        <f ca="1">SUMIF('26년01월'!$F$1:$I$741,CSR!E31,'26년01월'!I:I)</f>
        <v>0.52631578947368418</v>
      </c>
      <c r="T31" s="50">
        <f ca="1">SUMIF('26년02월'!$F$1:$I$734,CSR!E31,'26년02월'!I:I)</f>
        <v>0</v>
      </c>
      <c r="U31" s="50">
        <f ca="1">SUMIF('26년03월'!$F$1:$I$738,CSR!E31,'26년03월'!I:I)</f>
        <v>0</v>
      </c>
      <c r="V31" s="50">
        <f ca="1">SUMIF('26년04월'!$F$1:$I$741,CSR!E31,'26년04월'!I:I)</f>
        <v>0.42105263157894735</v>
      </c>
      <c r="W31" s="50">
        <f ca="1">SUMIF('26년05월'!$F$1:$I$744,CSR!E31,'26년05월'!I:I)</f>
        <v>0</v>
      </c>
      <c r="X31" s="51"/>
      <c r="Y31" s="51"/>
      <c r="Z31" s="51"/>
      <c r="AA31" s="51"/>
      <c r="AB31" s="52"/>
      <c r="AC31" s="51"/>
    </row>
    <row r="32" spans="2:29" s="59" customFormat="1" ht="15" customHeight="1">
      <c r="B32" s="55"/>
      <c r="C32" s="56"/>
      <c r="D32" s="57" t="s">
        <v>662</v>
      </c>
      <c r="E32" s="58" t="s">
        <v>663</v>
      </c>
      <c r="H32" s="60" t="s">
        <v>619</v>
      </c>
      <c r="I32" s="61"/>
      <c r="J32" s="62" t="s">
        <v>624</v>
      </c>
      <c r="K32" s="62" t="s">
        <v>655</v>
      </c>
      <c r="L32" s="60"/>
      <c r="M32" s="63" t="s">
        <v>656</v>
      </c>
      <c r="N32" s="64" t="s">
        <v>575</v>
      </c>
      <c r="O32" s="65"/>
      <c r="P32" s="66">
        <f t="shared" ca="1" si="0"/>
        <v>0.86842105263157876</v>
      </c>
      <c r="Q32" s="65">
        <f ca="1">SUMIF('25년11월'!$F$1:$I$792,CSR!E32,'25년11월'!I:I)</f>
        <v>0</v>
      </c>
      <c r="R32" s="67">
        <f ca="1">SUMIF('25년12월'!$F$1:$I$764,CSR!E32,'25년12월'!I:I)</f>
        <v>0.26315789473684209</v>
      </c>
      <c r="S32" s="67">
        <f ca="1">SUMIF('26년01월'!$F$1:$I$741,CSR!E32,'26년01월'!I:I)</f>
        <v>0.55263157894736836</v>
      </c>
      <c r="T32" s="68">
        <f ca="1">SUMIF('26년02월'!$F$1:$I$734,CSR!E32,'26년02월'!I:I)</f>
        <v>0</v>
      </c>
      <c r="U32" s="68">
        <f ca="1">SUMIF('26년03월'!$F$1:$I$738,CSR!E32,'26년03월'!I:I)</f>
        <v>5.2631578947368418E-2</v>
      </c>
      <c r="V32" s="68">
        <f ca="1">SUMIF('26년04월'!$F$1:$I$741,CSR!E32,'26년04월'!I:I)</f>
        <v>0</v>
      </c>
      <c r="W32" s="68">
        <f ca="1">SUMIF('26년05월'!$F$1:$I$744,CSR!E32,'26년05월'!I:I)</f>
        <v>0</v>
      </c>
      <c r="X32" s="69"/>
      <c r="Y32" s="69"/>
      <c r="Z32" s="69"/>
      <c r="AA32" s="69"/>
      <c r="AB32" s="70"/>
      <c r="AC32" s="69"/>
    </row>
    <row r="33" spans="2:29" s="59" customFormat="1" ht="15" customHeight="1">
      <c r="B33" s="55"/>
      <c r="C33" s="56"/>
      <c r="D33" s="57" t="s">
        <v>664</v>
      </c>
      <c r="E33" s="58" t="s">
        <v>665</v>
      </c>
      <c r="H33" s="60" t="s">
        <v>619</v>
      </c>
      <c r="I33" s="61"/>
      <c r="J33" s="62" t="s">
        <v>620</v>
      </c>
      <c r="K33" s="62" t="s">
        <v>655</v>
      </c>
      <c r="L33" s="60"/>
      <c r="M33" s="63" t="s">
        <v>656</v>
      </c>
      <c r="N33" s="64" t="s">
        <v>575</v>
      </c>
      <c r="O33" s="65"/>
      <c r="P33" s="66">
        <f t="shared" ca="1" si="0"/>
        <v>0.31578947368421051</v>
      </c>
      <c r="Q33" s="65">
        <f ca="1">SUMIF('25년11월'!$F$1:$I$792,CSR!E33,'25년11월'!I:I)</f>
        <v>0</v>
      </c>
      <c r="R33" s="67">
        <f ca="1">SUMIF('25년12월'!$F$1:$I$764,CSR!E33,'25년12월'!I:I)</f>
        <v>0</v>
      </c>
      <c r="S33" s="67">
        <f ca="1">SUMIF('26년01월'!$F$1:$I$741,CSR!E33,'26년01월'!I:I)</f>
        <v>0.31578947368421051</v>
      </c>
      <c r="T33" s="68">
        <f ca="1">SUMIF('26년02월'!$F$1:$I$734,CSR!E33,'26년02월'!I:I)</f>
        <v>0</v>
      </c>
      <c r="U33" s="68">
        <f ca="1">SUMIF('26년03월'!$F$1:$I$738,CSR!E33,'26년03월'!I:I)</f>
        <v>0</v>
      </c>
      <c r="V33" s="68">
        <f ca="1">SUMIF('26년04월'!$F$1:$I$741,CSR!E33,'26년04월'!I:I)</f>
        <v>0</v>
      </c>
      <c r="W33" s="68">
        <f ca="1">SUMIF('26년05월'!$F$1:$I$744,CSR!E33,'26년05월'!I:I)</f>
        <v>0</v>
      </c>
      <c r="X33" s="69"/>
      <c r="Y33" s="69"/>
      <c r="Z33" s="69"/>
      <c r="AA33" s="69"/>
      <c r="AB33" s="70"/>
      <c r="AC33" s="69"/>
    </row>
    <row r="34" spans="2:29" s="53" customFormat="1" ht="15" customHeight="1">
      <c r="B34" s="39"/>
      <c r="C34" s="40"/>
      <c r="D34" s="54" t="s">
        <v>666</v>
      </c>
      <c r="E34" s="41" t="s">
        <v>667</v>
      </c>
      <c r="F34" s="42"/>
      <c r="G34" s="42"/>
      <c r="H34" s="43" t="s">
        <v>572</v>
      </c>
      <c r="I34" s="44"/>
      <c r="J34" s="45" t="s">
        <v>668</v>
      </c>
      <c r="K34" s="45" t="s">
        <v>621</v>
      </c>
      <c r="L34" s="43"/>
      <c r="M34" s="46" t="s">
        <v>661</v>
      </c>
      <c r="N34" s="46" t="s">
        <v>629</v>
      </c>
      <c r="O34" s="47"/>
      <c r="P34" s="48">
        <f t="shared" ca="1" si="0"/>
        <v>0</v>
      </c>
      <c r="Q34" s="49"/>
      <c r="R34" s="50"/>
      <c r="S34" s="50"/>
      <c r="T34" s="50">
        <f ca="1">SUMIF('26년02월'!$F$1:$I$734,CSR!E34,'26년02월'!I:I)</f>
        <v>0</v>
      </c>
      <c r="U34" s="50">
        <f ca="1">SUMIF('26년03월'!$F$1:$I$738,CSR!E34,'26년03월'!I:I)</f>
        <v>0</v>
      </c>
      <c r="V34" s="50">
        <f ca="1">SUMIF('26년04월'!$F$1:$I$741,CSR!E34,'26년04월'!I:I)</f>
        <v>0</v>
      </c>
      <c r="W34" s="50">
        <f ca="1">SUMIF('26년05월'!$F$1:$I$744,CSR!E34,'26년05월'!I:I)</f>
        <v>0</v>
      </c>
      <c r="X34" s="51"/>
      <c r="Y34" s="51"/>
      <c r="Z34" s="51"/>
      <c r="AA34" s="51"/>
      <c r="AB34" s="52"/>
      <c r="AC34" s="51"/>
    </row>
    <row r="35" spans="2:29" s="53" customFormat="1" ht="15" customHeight="1">
      <c r="B35" s="39"/>
      <c r="C35" s="40"/>
      <c r="D35" s="54" t="s">
        <v>669</v>
      </c>
      <c r="E35" s="41" t="s">
        <v>670</v>
      </c>
      <c r="F35" s="42"/>
      <c r="G35" s="42"/>
      <c r="H35" s="43" t="s">
        <v>572</v>
      </c>
      <c r="I35" s="44"/>
      <c r="J35" s="45" t="s">
        <v>668</v>
      </c>
      <c r="K35" s="45" t="s">
        <v>621</v>
      </c>
      <c r="L35" s="43"/>
      <c r="M35" s="46" t="s">
        <v>661</v>
      </c>
      <c r="N35" s="46" t="s">
        <v>629</v>
      </c>
      <c r="O35" s="47"/>
      <c r="P35" s="48">
        <f t="shared" ca="1" si="0"/>
        <v>0.47368421052631576</v>
      </c>
      <c r="Q35" s="49"/>
      <c r="R35" s="50"/>
      <c r="S35" s="50"/>
      <c r="T35" s="50">
        <f ca="1">SUMIF('26년02월'!$F$1:$I$734,CSR!E35,'26년02월'!I:I)</f>
        <v>0.26315789473684209</v>
      </c>
      <c r="U35" s="50">
        <f ca="1">SUMIF('26년03월'!$F$1:$I$738,CSR!E35,'26년03월'!I:I)</f>
        <v>0.21052631578947367</v>
      </c>
      <c r="V35" s="50">
        <f ca="1">SUMIF('26년04월'!$F$1:$I$741,CSR!E35,'26년04월'!I:I)</f>
        <v>0</v>
      </c>
      <c r="W35" s="50">
        <f ca="1">SUMIF('26년05월'!$F$1:$I$744,CSR!E35,'26년05월'!I:I)</f>
        <v>0</v>
      </c>
      <c r="X35" s="51"/>
      <c r="Y35" s="51"/>
      <c r="Z35" s="51"/>
      <c r="AA35" s="51"/>
      <c r="AB35" s="52"/>
      <c r="AC35" s="51"/>
    </row>
    <row r="36" spans="2:29" s="53" customFormat="1" ht="15" customHeight="1">
      <c r="B36" s="39"/>
      <c r="C36" s="40"/>
      <c r="D36" s="54" t="s">
        <v>671</v>
      </c>
      <c r="E36" s="41" t="s">
        <v>672</v>
      </c>
      <c r="F36" s="42"/>
      <c r="G36" s="42"/>
      <c r="H36" s="43" t="s">
        <v>572</v>
      </c>
      <c r="I36" s="44"/>
      <c r="J36" s="45" t="s">
        <v>673</v>
      </c>
      <c r="K36" s="45" t="s">
        <v>621</v>
      </c>
      <c r="L36" s="43"/>
      <c r="M36" s="46" t="s">
        <v>661</v>
      </c>
      <c r="N36" s="46" t="s">
        <v>629</v>
      </c>
      <c r="O36" s="47"/>
      <c r="P36" s="48">
        <f t="shared" ca="1" si="0"/>
        <v>0.36842105263157893</v>
      </c>
      <c r="Q36" s="49"/>
      <c r="R36" s="50"/>
      <c r="S36" s="50"/>
      <c r="T36" s="50"/>
      <c r="U36" s="50">
        <f ca="1">SUMIF('26년03월'!$F$1:$I$738,CSR!E36,'26년03월'!I:I)</f>
        <v>0.36842105263157893</v>
      </c>
      <c r="V36" s="50">
        <f ca="1">SUMIF('26년04월'!$F$1:$I$741,CSR!E36,'26년04월'!I:I)</f>
        <v>0</v>
      </c>
      <c r="W36" s="50">
        <f ca="1">SUMIF('26년05월'!$F$1:$I$744,CSR!E36,'26년05월'!I:I)</f>
        <v>0</v>
      </c>
      <c r="X36" s="51"/>
      <c r="Y36" s="51"/>
      <c r="Z36" s="51"/>
      <c r="AA36" s="51"/>
      <c r="AB36" s="52"/>
      <c r="AC36" s="51"/>
    </row>
    <row r="37" spans="2:29" s="53" customFormat="1" ht="15" customHeight="1">
      <c r="B37" s="39"/>
      <c r="C37" s="40"/>
      <c r="D37" s="54" t="s">
        <v>674</v>
      </c>
      <c r="E37" s="41" t="s">
        <v>675</v>
      </c>
      <c r="F37" s="42"/>
      <c r="G37" s="42"/>
      <c r="H37" s="43" t="s">
        <v>619</v>
      </c>
      <c r="I37" s="44"/>
      <c r="J37" s="45" t="s">
        <v>624</v>
      </c>
      <c r="K37" s="45" t="s">
        <v>621</v>
      </c>
      <c r="L37" s="43"/>
      <c r="M37" s="46" t="s">
        <v>661</v>
      </c>
      <c r="N37" s="46" t="s">
        <v>629</v>
      </c>
      <c r="O37" s="47"/>
      <c r="P37" s="48">
        <f t="shared" ca="1" si="0"/>
        <v>1.0526315789473684E-2</v>
      </c>
      <c r="Q37" s="49"/>
      <c r="R37" s="50"/>
      <c r="S37" s="50"/>
      <c r="T37" s="50"/>
      <c r="U37" s="50">
        <f ca="1">SUMIF('26년03월'!$F$1:$I$738,CSR!E37,'26년03월'!I:I)</f>
        <v>1.0526315789473684E-2</v>
      </c>
      <c r="V37" s="50">
        <f ca="1">SUMIF('26년04월'!$F$1:$I$741,CSR!E37,'26년04월'!I:I)</f>
        <v>0</v>
      </c>
      <c r="W37" s="50">
        <f ca="1">SUMIF('26년05월'!$F$1:$I$744,CSR!E37,'26년05월'!I:I)</f>
        <v>0</v>
      </c>
      <c r="X37" s="51"/>
      <c r="Y37" s="51"/>
      <c r="Z37" s="51"/>
      <c r="AA37" s="51"/>
      <c r="AB37" s="52"/>
      <c r="AC37" s="51"/>
    </row>
    <row r="38" spans="2:29" s="59" customFormat="1" ht="15" customHeight="1">
      <c r="B38" s="55"/>
      <c r="C38" s="56"/>
      <c r="D38" s="57" t="s">
        <v>676</v>
      </c>
      <c r="E38" s="58" t="s">
        <v>677</v>
      </c>
      <c r="H38" s="60" t="s">
        <v>619</v>
      </c>
      <c r="I38" s="61"/>
      <c r="J38" s="62" t="s">
        <v>624</v>
      </c>
      <c r="K38" s="62" t="s">
        <v>621</v>
      </c>
      <c r="L38" s="60"/>
      <c r="M38" s="63" t="s">
        <v>678</v>
      </c>
      <c r="N38" s="64" t="s">
        <v>575</v>
      </c>
      <c r="O38" s="65"/>
      <c r="P38" s="66">
        <f t="shared" ca="1" si="0"/>
        <v>0.57894736842105265</v>
      </c>
      <c r="Q38" s="65"/>
      <c r="R38" s="67"/>
      <c r="S38" s="67"/>
      <c r="T38" s="68"/>
      <c r="U38" s="68">
        <f ca="1">SUMIF('26년03월'!$F$1:$I$738,CSR!E38,'26년03월'!I:I)</f>
        <v>0.57894736842105265</v>
      </c>
      <c r="V38" s="68">
        <f ca="1">SUMIF('26년04월'!$F$1:$I$741,CSR!E38,'26년04월'!I:I)</f>
        <v>0</v>
      </c>
      <c r="W38" s="68">
        <f ca="1">SUMIF('26년05월'!$F$1:$I$744,CSR!E38,'26년05월'!I:I)</f>
        <v>0</v>
      </c>
      <c r="X38" s="69"/>
      <c r="Y38" s="69"/>
      <c r="Z38" s="69"/>
      <c r="AA38" s="69"/>
      <c r="AB38" s="70"/>
      <c r="AC38" s="69"/>
    </row>
    <row r="39" spans="2:29" s="59" customFormat="1" ht="15" customHeight="1">
      <c r="B39" s="55"/>
      <c r="C39" s="56"/>
      <c r="D39" s="57" t="s">
        <v>679</v>
      </c>
      <c r="E39" s="58" t="s">
        <v>680</v>
      </c>
      <c r="H39" s="60" t="s">
        <v>619</v>
      </c>
      <c r="I39" s="61"/>
      <c r="J39" s="62" t="s">
        <v>624</v>
      </c>
      <c r="K39" s="62" t="s">
        <v>621</v>
      </c>
      <c r="L39" s="60"/>
      <c r="M39" s="63" t="s">
        <v>678</v>
      </c>
      <c r="N39" s="64" t="s">
        <v>575</v>
      </c>
      <c r="O39" s="65"/>
      <c r="P39" s="66">
        <f t="shared" ca="1" si="0"/>
        <v>0.15789473684210525</v>
      </c>
      <c r="Q39" s="65"/>
      <c r="R39" s="67"/>
      <c r="S39" s="67"/>
      <c r="T39" s="68"/>
      <c r="U39" s="68">
        <f ca="1">SUMIF('26년03월'!$F$1:$I$738,CSR!E39,'26년03월'!I:I)</f>
        <v>0.15789473684210525</v>
      </c>
      <c r="V39" s="68">
        <f ca="1">SUMIF('26년04월'!$F$1:$I$741,CSR!E39,'26년04월'!I:I)</f>
        <v>0</v>
      </c>
      <c r="W39" s="68">
        <f ca="1">SUMIF('26년05월'!$F$1:$I$744,CSR!E39,'26년05월'!I:I)</f>
        <v>0</v>
      </c>
      <c r="X39" s="69"/>
      <c r="Y39" s="69"/>
      <c r="Z39" s="69"/>
      <c r="AA39" s="69"/>
      <c r="AB39" s="70"/>
      <c r="AC39" s="69"/>
    </row>
    <row r="40" spans="2:29" s="53" customFormat="1" ht="15" customHeight="1">
      <c r="B40" s="39"/>
      <c r="C40" s="40"/>
      <c r="D40" s="54" t="s">
        <v>681</v>
      </c>
      <c r="E40" s="41" t="s">
        <v>682</v>
      </c>
      <c r="F40" s="42"/>
      <c r="G40" s="42"/>
      <c r="H40" s="43" t="s">
        <v>619</v>
      </c>
      <c r="I40" s="44"/>
      <c r="J40" s="45" t="s">
        <v>624</v>
      </c>
      <c r="K40" s="71" t="s">
        <v>655</v>
      </c>
      <c r="L40" s="43"/>
      <c r="M40" s="46" t="s">
        <v>661</v>
      </c>
      <c r="N40" s="46" t="s">
        <v>629</v>
      </c>
      <c r="O40" s="47"/>
      <c r="P40" s="48">
        <f t="shared" ca="1" si="0"/>
        <v>1.2105263157894737</v>
      </c>
      <c r="Q40" s="49"/>
      <c r="R40" s="50"/>
      <c r="S40" s="50"/>
      <c r="T40" s="50"/>
      <c r="U40" s="50"/>
      <c r="V40" s="50">
        <f ca="1">SUMIF('26년04월'!$F$1:$I$741,CSR!E40,'26년04월'!I:I)</f>
        <v>0.57894736842105265</v>
      </c>
      <c r="W40" s="50">
        <f ca="1">SUMIF('26년05월'!$F$1:$I$744,CSR!E40,'26년05월'!I:I)</f>
        <v>0.63157894736842102</v>
      </c>
      <c r="X40" s="51"/>
      <c r="Y40" s="51"/>
      <c r="Z40" s="51"/>
      <c r="AA40" s="51"/>
      <c r="AB40" s="52"/>
      <c r="AC40" s="51"/>
    </row>
    <row r="41" spans="2:29" s="53" customFormat="1" ht="15" customHeight="1">
      <c r="B41" s="39"/>
      <c r="C41" s="40"/>
      <c r="D41" s="54" t="s">
        <v>683</v>
      </c>
      <c r="E41" s="41" t="s">
        <v>684</v>
      </c>
      <c r="F41" s="42"/>
      <c r="G41" s="42"/>
      <c r="H41" s="43" t="s">
        <v>619</v>
      </c>
      <c r="I41" s="44"/>
      <c r="J41" s="45" t="s">
        <v>624</v>
      </c>
      <c r="K41" s="71" t="s">
        <v>655</v>
      </c>
      <c r="L41" s="43"/>
      <c r="M41" s="46" t="s">
        <v>661</v>
      </c>
      <c r="N41" s="46" t="s">
        <v>629</v>
      </c>
      <c r="O41" s="47"/>
      <c r="P41" s="48">
        <f t="shared" ca="1" si="0"/>
        <v>0.52631578947368418</v>
      </c>
      <c r="Q41" s="49"/>
      <c r="R41" s="50"/>
      <c r="S41" s="50"/>
      <c r="T41" s="50"/>
      <c r="U41" s="50"/>
      <c r="V41" s="50">
        <f ca="1">SUMIF('26년04월'!$F$1:$I$741,CSR!E41,'26년04월'!I:I)</f>
        <v>0.52631578947368418</v>
      </c>
      <c r="W41" s="50">
        <f ca="1">SUMIF('26년05월'!$F$1:$I$744,CSR!E41,'26년05월'!I:I)</f>
        <v>0</v>
      </c>
      <c r="X41" s="51"/>
      <c r="Y41" s="51"/>
      <c r="Z41" s="51"/>
      <c r="AA41" s="51"/>
      <c r="AB41" s="52"/>
      <c r="AC41" s="51"/>
    </row>
    <row r="42" spans="2:29" s="53" customFormat="1" ht="15" customHeight="1">
      <c r="B42" s="39"/>
      <c r="C42" s="40"/>
      <c r="D42" s="54" t="s">
        <v>685</v>
      </c>
      <c r="E42" s="41" t="s">
        <v>686</v>
      </c>
      <c r="F42" s="42"/>
      <c r="G42" s="42"/>
      <c r="H42" s="43" t="s">
        <v>619</v>
      </c>
      <c r="I42" s="44"/>
      <c r="J42" s="45" t="s">
        <v>673</v>
      </c>
      <c r="K42" s="71" t="s">
        <v>655</v>
      </c>
      <c r="L42" s="43"/>
      <c r="M42" s="46" t="s">
        <v>687</v>
      </c>
      <c r="N42" s="46" t="s">
        <v>629</v>
      </c>
      <c r="O42" s="47"/>
      <c r="P42" s="48">
        <f t="shared" ca="1" si="0"/>
        <v>0.26315789473684209</v>
      </c>
      <c r="Q42" s="49"/>
      <c r="R42" s="50"/>
      <c r="S42" s="50"/>
      <c r="T42" s="50"/>
      <c r="U42" s="50"/>
      <c r="V42" s="50"/>
      <c r="W42" s="50">
        <f ca="1">SUMIF('26년05월'!$F$1:$I$744,CSR!E42,'26년05월'!I:I)</f>
        <v>0.26315789473684209</v>
      </c>
      <c r="X42" s="51"/>
      <c r="Y42" s="51"/>
      <c r="Z42" s="51"/>
      <c r="AA42" s="51"/>
      <c r="AB42" s="52"/>
      <c r="AC42" s="51"/>
    </row>
    <row r="43" spans="2:29" s="53" customFormat="1" ht="15" customHeight="1">
      <c r="B43" s="39"/>
      <c r="C43" s="40"/>
      <c r="D43" s="54" t="s">
        <v>688</v>
      </c>
      <c r="E43" s="41" t="s">
        <v>689</v>
      </c>
      <c r="F43" s="42"/>
      <c r="G43" s="42"/>
      <c r="H43" s="43" t="s">
        <v>619</v>
      </c>
      <c r="I43" s="44"/>
      <c r="J43" s="45" t="s">
        <v>673</v>
      </c>
      <c r="K43" s="71" t="s">
        <v>655</v>
      </c>
      <c r="L43" s="43"/>
      <c r="M43" s="46" t="s">
        <v>687</v>
      </c>
      <c r="N43" s="46" t="s">
        <v>629</v>
      </c>
      <c r="O43" s="47"/>
      <c r="P43" s="48">
        <f t="shared" ca="1" si="0"/>
        <v>0.15789473684210525</v>
      </c>
      <c r="Q43" s="49"/>
      <c r="R43" s="50"/>
      <c r="S43" s="50"/>
      <c r="T43" s="50"/>
      <c r="U43" s="50"/>
      <c r="V43" s="50"/>
      <c r="W43" s="50">
        <f ca="1">SUMIF('26년05월'!$F$1:$I$744,CSR!E43,'26년05월'!I:I)</f>
        <v>0.15789473684210525</v>
      </c>
      <c r="X43" s="51"/>
      <c r="Y43" s="51"/>
      <c r="Z43" s="51"/>
      <c r="AA43" s="51"/>
      <c r="AB43" s="52"/>
      <c r="AC43" s="51"/>
    </row>
    <row r="44" spans="2:29" s="271" customFormat="1" ht="15" customHeight="1">
      <c r="B44" s="272"/>
      <c r="C44" s="273"/>
      <c r="D44" s="274" t="s">
        <v>2081</v>
      </c>
      <c r="E44" s="275" t="s">
        <v>2082</v>
      </c>
      <c r="F44" s="276"/>
      <c r="G44" s="276"/>
      <c r="H44" s="277" t="s">
        <v>619</v>
      </c>
      <c r="I44" s="278"/>
      <c r="J44" s="279" t="s">
        <v>624</v>
      </c>
      <c r="K44" s="287" t="s">
        <v>655</v>
      </c>
      <c r="L44" s="277"/>
      <c r="M44" s="280" t="s">
        <v>2085</v>
      </c>
      <c r="N44" s="280" t="s">
        <v>2086</v>
      </c>
      <c r="O44" s="281"/>
      <c r="P44" s="282">
        <f t="shared" si="0"/>
        <v>0</v>
      </c>
      <c r="Q44" s="283"/>
      <c r="R44" s="284"/>
      <c r="S44" s="284"/>
      <c r="T44" s="284"/>
      <c r="U44" s="284"/>
      <c r="V44" s="284"/>
      <c r="W44" s="284"/>
      <c r="X44" s="285"/>
      <c r="Y44" s="285"/>
      <c r="Z44" s="285"/>
      <c r="AA44" s="285"/>
      <c r="AB44" s="286"/>
      <c r="AC44" s="285"/>
    </row>
    <row r="45" spans="2:29" s="271" customFormat="1" ht="15" customHeight="1">
      <c r="B45" s="272"/>
      <c r="C45" s="273"/>
      <c r="D45" s="274" t="s">
        <v>2092</v>
      </c>
      <c r="E45" s="275" t="s">
        <v>2089</v>
      </c>
      <c r="F45" s="276"/>
      <c r="G45" s="276"/>
      <c r="H45" s="277" t="s">
        <v>619</v>
      </c>
      <c r="I45" s="278"/>
      <c r="J45" s="279" t="s">
        <v>624</v>
      </c>
      <c r="K45" s="287" t="s">
        <v>2090</v>
      </c>
      <c r="L45" s="277"/>
      <c r="M45" s="280" t="s">
        <v>2091</v>
      </c>
      <c r="N45" s="280" t="s">
        <v>2086</v>
      </c>
      <c r="O45" s="281"/>
      <c r="P45" s="282">
        <f t="shared" ref="P45" si="1">SUM(Q45:AB45)</f>
        <v>0</v>
      </c>
      <c r="Q45" s="283"/>
      <c r="R45" s="284"/>
      <c r="S45" s="284"/>
      <c r="T45" s="284"/>
      <c r="U45" s="284"/>
      <c r="V45" s="284"/>
      <c r="W45" s="284"/>
      <c r="X45" s="285"/>
      <c r="Y45" s="285"/>
      <c r="Z45" s="285"/>
      <c r="AA45" s="285"/>
      <c r="AB45" s="286"/>
      <c r="AC45" s="285"/>
    </row>
    <row r="46" spans="2:29" s="271" customFormat="1" ht="15" customHeight="1">
      <c r="B46" s="272"/>
      <c r="C46" s="273"/>
      <c r="D46" s="274" t="s">
        <v>2093</v>
      </c>
      <c r="E46" s="275" t="s">
        <v>2094</v>
      </c>
      <c r="F46" s="276"/>
      <c r="G46" s="276"/>
      <c r="H46" s="277"/>
      <c r="I46" s="278"/>
      <c r="J46" s="279"/>
      <c r="K46" s="279"/>
      <c r="L46" s="277"/>
      <c r="M46" s="280"/>
      <c r="N46" s="280"/>
      <c r="O46" s="281"/>
      <c r="P46" s="282"/>
      <c r="Q46" s="283"/>
      <c r="R46" s="284"/>
      <c r="S46" s="284"/>
      <c r="T46" s="284"/>
      <c r="U46" s="284"/>
      <c r="V46" s="284"/>
      <c r="W46" s="284"/>
      <c r="X46" s="285"/>
      <c r="Y46" s="285"/>
      <c r="Z46" s="285"/>
      <c r="AA46" s="285"/>
      <c r="AB46" s="286"/>
      <c r="AC46" s="285"/>
    </row>
    <row r="47" spans="2:29" s="53" customFormat="1" ht="16">
      <c r="B47" s="39"/>
      <c r="C47" s="40"/>
      <c r="D47" s="54" t="s">
        <v>690</v>
      </c>
      <c r="E47" s="41" t="s">
        <v>691</v>
      </c>
      <c r="F47" s="42"/>
      <c r="G47" s="42"/>
      <c r="H47" s="43" t="s">
        <v>619</v>
      </c>
      <c r="I47" s="44"/>
      <c r="J47" s="45"/>
      <c r="K47" s="45" t="s">
        <v>655</v>
      </c>
      <c r="L47" s="43" t="s">
        <v>573</v>
      </c>
      <c r="M47" s="46"/>
      <c r="N47" s="46"/>
      <c r="O47" s="47">
        <v>60</v>
      </c>
      <c r="P47" s="48">
        <f t="shared" ca="1" si="0"/>
        <v>2.5789473684210527</v>
      </c>
      <c r="Q47" s="49">
        <f ca="1">SUMIF('25년11월'!$F$1:$I$792,CSR!E47,'25년11월'!I:I)</f>
        <v>0</v>
      </c>
      <c r="R47" s="50">
        <f ca="1">SUMIF('25년12월'!$F$1:$I$764,CSR!E47,'25년12월'!I:I)</f>
        <v>0</v>
      </c>
      <c r="S47" s="50">
        <f ca="1">SUMIF('26년01월'!$F$1:$I$741,CSR!E47,'26년01월'!I:I)</f>
        <v>1.8421052631578947</v>
      </c>
      <c r="T47" s="50">
        <f ca="1">SUMIF('26년02월'!$F$1:$I$734,CSR!E47,'26년02월'!I:I)</f>
        <v>0</v>
      </c>
      <c r="U47" s="50">
        <f ca="1">SUMIF('26년03월'!$F$1:$I$738,CSR!E47,'26년03월'!I:I)</f>
        <v>0</v>
      </c>
      <c r="V47" s="50">
        <f ca="1">SUMIF('26년04월'!$F$1:$I$741,CSR!E47,'26년04월'!I:I)</f>
        <v>0.73684210526315796</v>
      </c>
      <c r="W47" s="50">
        <f ca="1">SUMIF('26년05월'!$F$1:$I$744,CSR!E47,'26년05월'!I:I)</f>
        <v>0</v>
      </c>
      <c r="X47" s="51"/>
      <c r="Y47" s="51"/>
      <c r="Z47" s="51"/>
      <c r="AA47" s="51"/>
      <c r="AB47" s="52"/>
      <c r="AC47" s="51"/>
    </row>
    <row r="48" spans="2:29" s="59" customFormat="1" ht="15" customHeight="1">
      <c r="B48" s="55"/>
      <c r="C48" s="56"/>
      <c r="D48" s="57" t="s">
        <v>692</v>
      </c>
      <c r="E48" s="58" t="s">
        <v>693</v>
      </c>
      <c r="H48" s="60" t="s">
        <v>572</v>
      </c>
      <c r="I48" s="61"/>
      <c r="J48" s="62"/>
      <c r="K48" s="62" t="s">
        <v>655</v>
      </c>
      <c r="L48" s="60"/>
      <c r="M48" s="63" t="s">
        <v>603</v>
      </c>
      <c r="N48" s="63" t="s">
        <v>575</v>
      </c>
      <c r="O48" s="65"/>
      <c r="P48" s="66">
        <f t="shared" ca="1" si="0"/>
        <v>4.6315789473684204</v>
      </c>
      <c r="Q48" s="65">
        <f ca="1">SUMIF('25년11월'!$F$1:$I$792,CSR!E48,'25년11월'!I:I)</f>
        <v>4.6315789473684204</v>
      </c>
      <c r="R48" s="67">
        <f ca="1">SUMIF('25년12월'!$F$1:$I$764,CSR!E48,'25년12월'!I:I)</f>
        <v>0</v>
      </c>
      <c r="S48" s="67">
        <f ca="1">SUMIF('26년01월'!$F$1:$I$741,CSR!E48,'26년01월'!I:I)</f>
        <v>0</v>
      </c>
      <c r="T48" s="68">
        <f ca="1">SUMIF('26년02월'!$F$1:$I$734,CSR!E48,'26년02월'!I:I)</f>
        <v>0</v>
      </c>
      <c r="U48" s="68">
        <f ca="1">SUMIF('26년03월'!$F$1:$I$738,CSR!E48,'26년03월'!I:I)</f>
        <v>0</v>
      </c>
      <c r="V48" s="68">
        <f ca="1">SUMIF('26년04월'!$F$1:$I$741,CSR!E48,'26년04월'!I:I)</f>
        <v>0</v>
      </c>
      <c r="W48" s="68">
        <f ca="1">SUMIF('26년05월'!$F$1:$I$744,CSR!E48,'26년05월'!I:I)</f>
        <v>0</v>
      </c>
      <c r="X48" s="69"/>
      <c r="Y48" s="69"/>
      <c r="Z48" s="69"/>
      <c r="AA48" s="69"/>
      <c r="AB48" s="70"/>
      <c r="AC48" s="69"/>
    </row>
    <row r="49" spans="2:29" s="59" customFormat="1" ht="15" customHeight="1">
      <c r="B49" s="55"/>
      <c r="C49" s="56"/>
      <c r="D49" s="57" t="s">
        <v>694</v>
      </c>
      <c r="E49" s="58" t="s">
        <v>695</v>
      </c>
      <c r="H49" s="60" t="s">
        <v>572</v>
      </c>
      <c r="I49" s="61"/>
      <c r="J49" s="62"/>
      <c r="K49" s="62" t="s">
        <v>655</v>
      </c>
      <c r="L49" s="60"/>
      <c r="M49" s="63" t="s">
        <v>650</v>
      </c>
      <c r="N49" s="64" t="s">
        <v>575</v>
      </c>
      <c r="O49" s="65"/>
      <c r="P49" s="66">
        <f t="shared" ca="1" si="0"/>
        <v>9.4257894736842118</v>
      </c>
      <c r="Q49" s="65">
        <f ca="1">SUMIF('25년11월'!$F$1:$I$792,CSR!E49,'25년11월'!I:I)</f>
        <v>6.8994736842105278</v>
      </c>
      <c r="R49" s="67">
        <f ca="1">SUMIF('25년12월'!$F$1:$I$764,CSR!E49,'25년12월'!I:I)</f>
        <v>2.5263157894736841</v>
      </c>
      <c r="S49" s="67">
        <f ca="1">SUMIF('26년01월'!$F$1:$I$741,CSR!E49,'26년01월'!I:I)</f>
        <v>0</v>
      </c>
      <c r="T49" s="68">
        <f ca="1">SUMIF('26년02월'!$F$1:$I$734,CSR!E49,'26년02월'!I:I)</f>
        <v>0</v>
      </c>
      <c r="U49" s="68">
        <f ca="1">SUMIF('26년03월'!$F$1:$I$738,CSR!E49,'26년03월'!I:I)</f>
        <v>0</v>
      </c>
      <c r="V49" s="68">
        <f ca="1">SUMIF('26년04월'!$F$1:$I$741,CSR!E49,'26년04월'!I:I)</f>
        <v>0</v>
      </c>
      <c r="W49" s="68">
        <f ca="1">SUMIF('26년05월'!$F$1:$I$744,CSR!E49,'26년05월'!I:I)</f>
        <v>0</v>
      </c>
      <c r="X49" s="69"/>
      <c r="Y49" s="69"/>
      <c r="Z49" s="69"/>
      <c r="AA49" s="69"/>
      <c r="AB49" s="70"/>
      <c r="AC49" s="69"/>
    </row>
    <row r="50" spans="2:29" s="59" customFormat="1" ht="15" customHeight="1">
      <c r="B50" s="55"/>
      <c r="C50" s="56"/>
      <c r="D50" s="57" t="s">
        <v>696</v>
      </c>
      <c r="E50" s="58" t="s">
        <v>697</v>
      </c>
      <c r="H50" s="60" t="s">
        <v>572</v>
      </c>
      <c r="I50" s="61"/>
      <c r="J50" s="62"/>
      <c r="K50" s="62" t="s">
        <v>655</v>
      </c>
      <c r="L50" s="60"/>
      <c r="M50" s="63" t="s">
        <v>650</v>
      </c>
      <c r="N50" s="64" t="s">
        <v>575</v>
      </c>
      <c r="O50" s="65"/>
      <c r="P50" s="66">
        <f t="shared" ca="1" si="0"/>
        <v>0.78947368421052633</v>
      </c>
      <c r="Q50" s="65">
        <f ca="1">SUMIF('25년11월'!$F$1:$I$792,CSR!E50,'25년11월'!I:I)</f>
        <v>0</v>
      </c>
      <c r="R50" s="67">
        <f ca="1">SUMIF('25년12월'!$F$1:$I$764,CSR!E50,'25년12월'!I:I)</f>
        <v>0.78947368421052633</v>
      </c>
      <c r="S50" s="67">
        <f ca="1">SUMIF('26년01월'!$F$1:$I$741,CSR!E50,'26년01월'!I:I)</f>
        <v>0</v>
      </c>
      <c r="T50" s="68">
        <f ca="1">SUMIF('26년02월'!$F$1:$I$734,CSR!E50,'26년02월'!I:I)</f>
        <v>0</v>
      </c>
      <c r="U50" s="68">
        <f ca="1">SUMIF('26년03월'!$F$1:$I$738,CSR!E50,'26년03월'!I:I)</f>
        <v>0</v>
      </c>
      <c r="V50" s="68">
        <f ca="1">SUMIF('26년04월'!$F$1:$I$741,CSR!E50,'26년04월'!I:I)</f>
        <v>0</v>
      </c>
      <c r="W50" s="68">
        <f ca="1">SUMIF('26년05월'!$F$1:$I$744,CSR!E50,'26년05월'!I:I)</f>
        <v>0</v>
      </c>
      <c r="X50" s="69"/>
      <c r="Y50" s="69"/>
      <c r="Z50" s="69"/>
      <c r="AA50" s="69"/>
      <c r="AB50" s="70"/>
      <c r="AC50" s="69"/>
    </row>
    <row r="51" spans="2:29" s="59" customFormat="1" ht="15" customHeight="1">
      <c r="B51" s="55"/>
      <c r="C51" s="56"/>
      <c r="D51" s="57" t="s">
        <v>698</v>
      </c>
      <c r="E51" s="58" t="s">
        <v>699</v>
      </c>
      <c r="H51" s="60" t="s">
        <v>572</v>
      </c>
      <c r="I51" s="61"/>
      <c r="J51" s="62"/>
      <c r="K51" s="62" t="s">
        <v>655</v>
      </c>
      <c r="L51" s="60"/>
      <c r="M51" s="63" t="s">
        <v>650</v>
      </c>
      <c r="N51" s="64" t="s">
        <v>575</v>
      </c>
      <c r="O51" s="65"/>
      <c r="P51" s="66">
        <f t="shared" ca="1" si="0"/>
        <v>2.7894736842105257</v>
      </c>
      <c r="Q51" s="65">
        <f ca="1">SUMIF('25년11월'!$F$1:$I$792,CSR!E51,'25년11월'!I:I)</f>
        <v>0</v>
      </c>
      <c r="R51" s="67">
        <f ca="1">SUMIF('25년12월'!$F$1:$I$764,CSR!E51,'25년12월'!I:I)</f>
        <v>2.7894736842105257</v>
      </c>
      <c r="S51" s="67">
        <f ca="1">SUMIF('26년01월'!$F$1:$I$741,CSR!E51,'26년01월'!I:I)</f>
        <v>0</v>
      </c>
      <c r="T51" s="68">
        <f ca="1">SUMIF('26년02월'!$F$1:$I$734,CSR!E51,'26년02월'!I:I)</f>
        <v>0</v>
      </c>
      <c r="U51" s="68">
        <f ca="1">SUMIF('26년03월'!$F$1:$I$738,CSR!E51,'26년03월'!I:I)</f>
        <v>0</v>
      </c>
      <c r="V51" s="68">
        <f ca="1">SUMIF('26년04월'!$F$1:$I$741,CSR!E51,'26년04월'!I:I)</f>
        <v>0</v>
      </c>
      <c r="W51" s="68">
        <f ca="1">SUMIF('26년05월'!$F$1:$I$744,CSR!E51,'26년05월'!I:I)</f>
        <v>0</v>
      </c>
      <c r="X51" s="69"/>
      <c r="Y51" s="69"/>
      <c r="Z51" s="69"/>
      <c r="AA51" s="69"/>
      <c r="AB51" s="70"/>
      <c r="AC51" s="69"/>
    </row>
    <row r="52" spans="2:29" s="59" customFormat="1" ht="15" customHeight="1">
      <c r="B52" s="55"/>
      <c r="C52" s="56"/>
      <c r="D52" s="57" t="s">
        <v>700</v>
      </c>
      <c r="E52" s="58" t="s">
        <v>701</v>
      </c>
      <c r="H52" s="60" t="s">
        <v>572</v>
      </c>
      <c r="I52" s="61"/>
      <c r="J52" s="62"/>
      <c r="K52" s="62" t="s">
        <v>655</v>
      </c>
      <c r="L52" s="60"/>
      <c r="M52" s="63" t="s">
        <v>702</v>
      </c>
      <c r="N52" s="64" t="s">
        <v>575</v>
      </c>
      <c r="O52" s="65"/>
      <c r="P52" s="66">
        <f t="shared" ca="1" si="0"/>
        <v>4.3421052631578938</v>
      </c>
      <c r="Q52" s="65">
        <f ca="1">SUMIF('25년11월'!$F$1:$I$792,CSR!E52,'25년11월'!I:I)</f>
        <v>0</v>
      </c>
      <c r="R52" s="67">
        <f ca="1">SUMIF('25년12월'!$F$1:$I$764,CSR!E52,'25년12월'!I:I)</f>
        <v>1.4210526315789473</v>
      </c>
      <c r="S52" s="67">
        <f ca="1">SUMIF('26년01월'!$F$1:$I$741,CSR!E52,'26년01월'!I:I)</f>
        <v>1.710526315789473</v>
      </c>
      <c r="T52" s="68">
        <f ca="1">SUMIF('26년02월'!$F$1:$I$734,CSR!E52,'26년02월'!I:I)</f>
        <v>1.2105263157894735</v>
      </c>
      <c r="U52" s="68">
        <f ca="1">SUMIF('26년03월'!$F$1:$I$738,CSR!E52,'26년03월'!I:I)</f>
        <v>0</v>
      </c>
      <c r="V52" s="68">
        <f ca="1">SUMIF('26년04월'!$F$1:$I$741,CSR!E52,'26년04월'!I:I)</f>
        <v>0</v>
      </c>
      <c r="W52" s="68">
        <f ca="1">SUMIF('26년05월'!$F$1:$I$744,CSR!E52,'26년05월'!I:I)</f>
        <v>0</v>
      </c>
      <c r="X52" s="69"/>
      <c r="Y52" s="69"/>
      <c r="Z52" s="69"/>
      <c r="AA52" s="69"/>
      <c r="AB52" s="70"/>
      <c r="AC52" s="69"/>
    </row>
    <row r="53" spans="2:29" s="59" customFormat="1" ht="15" customHeight="1">
      <c r="B53" s="55"/>
      <c r="C53" s="56"/>
      <c r="D53" s="57" t="s">
        <v>703</v>
      </c>
      <c r="E53" s="58" t="s">
        <v>704</v>
      </c>
      <c r="H53" s="60" t="s">
        <v>572</v>
      </c>
      <c r="I53" s="61"/>
      <c r="J53" s="62"/>
      <c r="K53" s="62" t="s">
        <v>655</v>
      </c>
      <c r="L53" s="60"/>
      <c r="M53" s="63" t="s">
        <v>705</v>
      </c>
      <c r="N53" s="64" t="s">
        <v>575</v>
      </c>
      <c r="O53" s="65"/>
      <c r="P53" s="66">
        <f t="shared" ca="1" si="0"/>
        <v>0.10526315789473684</v>
      </c>
      <c r="Q53" s="65">
        <f ca="1">SUMIF('25년11월'!$F$1:$I$792,CSR!E53,'25년11월'!I:I)</f>
        <v>0</v>
      </c>
      <c r="R53" s="67">
        <f ca="1">SUMIF('25년12월'!$F$1:$I$764,CSR!E53,'25년12월'!I:I)</f>
        <v>0</v>
      </c>
      <c r="S53" s="67">
        <f ca="1">SUMIF('26년01월'!$F$1:$I$741,CSR!E53,'26년01월'!I:I)</f>
        <v>0.10526315789473684</v>
      </c>
      <c r="T53" s="68">
        <f ca="1">SUMIF('26년02월'!$F$1:$I$734,CSR!E53,'26년02월'!I:I)</f>
        <v>0</v>
      </c>
      <c r="U53" s="68">
        <f ca="1">SUMIF('26년03월'!$F$1:$I$738,CSR!E53,'26년03월'!I:I)</f>
        <v>0</v>
      </c>
      <c r="V53" s="68">
        <f ca="1">SUMIF('26년04월'!$F$1:$I$741,CSR!E53,'26년04월'!I:I)</f>
        <v>0</v>
      </c>
      <c r="W53" s="68">
        <f ca="1">SUMIF('26년05월'!$F$1:$I$744,CSR!E53,'26년05월'!I:I)</f>
        <v>0</v>
      </c>
      <c r="X53" s="69"/>
      <c r="Y53" s="69"/>
      <c r="Z53" s="69"/>
      <c r="AA53" s="69"/>
      <c r="AB53" s="70"/>
      <c r="AC53" s="69"/>
    </row>
    <row r="54" spans="2:29" s="59" customFormat="1" ht="15" customHeight="1">
      <c r="B54" s="55"/>
      <c r="C54" s="56"/>
      <c r="D54" s="57" t="s">
        <v>706</v>
      </c>
      <c r="E54" s="58" t="s">
        <v>707</v>
      </c>
      <c r="H54" s="60" t="s">
        <v>572</v>
      </c>
      <c r="I54" s="61"/>
      <c r="J54" s="62"/>
      <c r="K54" s="62" t="s">
        <v>655</v>
      </c>
      <c r="L54" s="60"/>
      <c r="M54" s="63" t="s">
        <v>702</v>
      </c>
      <c r="N54" s="64" t="s">
        <v>575</v>
      </c>
      <c r="O54" s="65"/>
      <c r="P54" s="66">
        <f t="shared" ca="1" si="0"/>
        <v>0.21052631578947367</v>
      </c>
      <c r="Q54" s="65">
        <f ca="1">SUMIF('25년11월'!$F$1:$I$792,CSR!E54,'25년11월'!I:I)</f>
        <v>0</v>
      </c>
      <c r="R54" s="67">
        <f ca="1">SUMIF('25년12월'!$F$1:$I$764,CSR!E54,'25년12월'!I:I)</f>
        <v>0</v>
      </c>
      <c r="S54" s="67">
        <f ca="1">SUMIF('26년01월'!$F$1:$I$741,CSR!E54,'26년01월'!I:I)</f>
        <v>0</v>
      </c>
      <c r="T54" s="68">
        <f ca="1">SUMIF('26년02월'!$F$1:$I$734,CSR!E54,'26년02월'!I:I)</f>
        <v>0.21052631578947367</v>
      </c>
      <c r="U54" s="68">
        <f ca="1">SUMIF('26년03월'!$F$1:$I$738,CSR!E54,'26년03월'!I:I)</f>
        <v>0</v>
      </c>
      <c r="V54" s="68">
        <f ca="1">SUMIF('26년04월'!$F$1:$I$741,CSR!E54,'26년04월'!I:I)</f>
        <v>0</v>
      </c>
      <c r="W54" s="68">
        <f ca="1">SUMIF('26년05월'!$F$1:$I$744,CSR!E54,'26년05월'!I:I)</f>
        <v>0</v>
      </c>
      <c r="X54" s="69"/>
      <c r="Y54" s="69"/>
      <c r="Z54" s="69"/>
      <c r="AA54" s="69"/>
      <c r="AB54" s="70"/>
      <c r="AC54" s="69"/>
    </row>
    <row r="55" spans="2:29" s="59" customFormat="1" ht="15" customHeight="1">
      <c r="B55" s="55"/>
      <c r="C55" s="56"/>
      <c r="D55" s="57" t="s">
        <v>708</v>
      </c>
      <c r="E55" s="58" t="s">
        <v>709</v>
      </c>
      <c r="H55" s="60" t="s">
        <v>572</v>
      </c>
      <c r="I55" s="61"/>
      <c r="J55" s="62"/>
      <c r="K55" s="62" t="s">
        <v>655</v>
      </c>
      <c r="L55" s="60"/>
      <c r="M55" s="63" t="s">
        <v>702</v>
      </c>
      <c r="N55" s="64" t="s">
        <v>575</v>
      </c>
      <c r="O55" s="65"/>
      <c r="P55" s="66">
        <f t="shared" ca="1" si="0"/>
        <v>2.3684210526315783</v>
      </c>
      <c r="Q55" s="65">
        <f ca="1">SUMIF('25년11월'!$F$1:$I$792,CSR!E55,'25년11월'!I:I)</f>
        <v>0</v>
      </c>
      <c r="R55" s="67">
        <f ca="1">SUMIF('25년12월'!$F$1:$I$764,CSR!E55,'25년12월'!I:I)</f>
        <v>0</v>
      </c>
      <c r="S55" s="67">
        <f ca="1">SUMIF('26년01월'!$F$1:$I$741,CSR!E55,'26년01월'!I:I)</f>
        <v>0</v>
      </c>
      <c r="T55" s="68">
        <f ca="1">SUMIF('26년02월'!$F$1:$I$734,CSR!E55,'26년02월'!I:I)</f>
        <v>2.3684210526315783</v>
      </c>
      <c r="U55" s="68">
        <f ca="1">SUMIF('26년03월'!$F$1:$I$738,CSR!E55,'26년03월'!I:I)</f>
        <v>0</v>
      </c>
      <c r="V55" s="68">
        <f ca="1">SUMIF('26년04월'!$F$1:$I$741,CSR!E55,'26년04월'!I:I)</f>
        <v>0</v>
      </c>
      <c r="W55" s="68">
        <f ca="1">SUMIF('26년05월'!$F$1:$I$744,CSR!E55,'26년05월'!I:I)</f>
        <v>0</v>
      </c>
      <c r="X55" s="69"/>
      <c r="Y55" s="69"/>
      <c r="Z55" s="69"/>
      <c r="AA55" s="69"/>
      <c r="AB55" s="70"/>
      <c r="AC55" s="69"/>
    </row>
    <row r="56" spans="2:29" s="59" customFormat="1" ht="15" customHeight="1">
      <c r="B56" s="55"/>
      <c r="C56" s="56"/>
      <c r="D56" s="57" t="s">
        <v>710</v>
      </c>
      <c r="E56" s="58" t="s">
        <v>711</v>
      </c>
      <c r="H56" s="60" t="s">
        <v>619</v>
      </c>
      <c r="I56" s="61"/>
      <c r="J56" s="62"/>
      <c r="K56" s="62" t="s">
        <v>655</v>
      </c>
      <c r="L56" s="60"/>
      <c r="M56" s="63" t="s">
        <v>712</v>
      </c>
      <c r="N56" s="64" t="s">
        <v>575</v>
      </c>
      <c r="O56" s="65"/>
      <c r="P56" s="66">
        <f t="shared" ca="1" si="0"/>
        <v>16</v>
      </c>
      <c r="Q56" s="65">
        <f ca="1">SUMIF('25년11월'!$F$1:$I$792,CSR!E56,'25년11월'!I:I)</f>
        <v>0</v>
      </c>
      <c r="R56" s="67">
        <f ca="1">SUMIF('25년12월'!$F$1:$I$764,CSR!E56,'25년12월'!I:I)</f>
        <v>0</v>
      </c>
      <c r="S56" s="67">
        <f ca="1">SUMIF('26년01월'!$F$1:$I$741,CSR!E56,'26년01월'!I:I)</f>
        <v>0</v>
      </c>
      <c r="T56" s="68">
        <f ca="1">SUMIF('26년02월'!$F$1:$I$734,CSR!E56,'26년02월'!I:I)</f>
        <v>8.2105263157894726</v>
      </c>
      <c r="U56" s="68">
        <f ca="1">SUMIF('26년03월'!$F$1:$I$738,CSR!E56,'26년03월'!I:I)</f>
        <v>7.7894736842105274</v>
      </c>
      <c r="V56" s="68">
        <f ca="1">SUMIF('26년04월'!$F$1:$I$741,CSR!E56,'26년04월'!I:I)</f>
        <v>0</v>
      </c>
      <c r="W56" s="68">
        <f ca="1">SUMIF('26년05월'!$F$1:$I$744,CSR!E56,'26년05월'!I:I)</f>
        <v>0</v>
      </c>
      <c r="X56" s="69"/>
      <c r="Y56" s="69"/>
      <c r="Z56" s="69"/>
      <c r="AA56" s="69"/>
      <c r="AB56" s="70"/>
      <c r="AC56" s="69"/>
    </row>
    <row r="57" spans="2:29" s="59" customFormat="1" ht="15" customHeight="1">
      <c r="B57" s="55"/>
      <c r="C57" s="56"/>
      <c r="D57" s="57" t="s">
        <v>713</v>
      </c>
      <c r="E57" s="58" t="s">
        <v>714</v>
      </c>
      <c r="H57" s="60" t="s">
        <v>619</v>
      </c>
      <c r="I57" s="61"/>
      <c r="J57" s="62"/>
      <c r="K57" s="62" t="s">
        <v>655</v>
      </c>
      <c r="L57" s="60"/>
      <c r="M57" s="63" t="s">
        <v>712</v>
      </c>
      <c r="N57" s="64" t="s">
        <v>575</v>
      </c>
      <c r="O57" s="65"/>
      <c r="P57" s="66">
        <f t="shared" ca="1" si="0"/>
        <v>2.8421052631578942</v>
      </c>
      <c r="Q57" s="65">
        <f ca="1">SUMIF('25년11월'!$F$1:$I$792,CSR!E57,'25년11월'!I:I)</f>
        <v>0</v>
      </c>
      <c r="R57" s="67">
        <f ca="1">SUMIF('25년12월'!$F$1:$I$764,CSR!E57,'25년12월'!I:I)</f>
        <v>0</v>
      </c>
      <c r="S57" s="67">
        <f ca="1">SUMIF('26년01월'!$F$1:$I$741,CSR!E57,'26년01월'!I:I)</f>
        <v>0</v>
      </c>
      <c r="T57" s="68">
        <f ca="1">SUMIF('26년02월'!$F$1:$I$734,CSR!E57,'26년02월'!I:I)</f>
        <v>0.57894736842105265</v>
      </c>
      <c r="U57" s="68">
        <f ca="1">SUMIF('26년03월'!$F$1:$I$738,CSR!E57,'26년03월'!I:I)</f>
        <v>2.2631578947368416</v>
      </c>
      <c r="V57" s="68">
        <f ca="1">SUMIF('26년04월'!$F$1:$I$741,CSR!E57,'26년04월'!I:I)</f>
        <v>0</v>
      </c>
      <c r="W57" s="68">
        <f ca="1">SUMIF('26년05월'!$F$1:$I$744,CSR!E57,'26년05월'!I:I)</f>
        <v>0</v>
      </c>
      <c r="X57" s="69"/>
      <c r="Y57" s="69"/>
      <c r="Z57" s="69"/>
      <c r="AA57" s="69"/>
      <c r="AB57" s="70"/>
      <c r="AC57" s="69"/>
    </row>
    <row r="58" spans="2:29" s="59" customFormat="1" ht="15" customHeight="1">
      <c r="B58" s="55"/>
      <c r="C58" s="56"/>
      <c r="D58" s="57" t="s">
        <v>715</v>
      </c>
      <c r="E58" s="58" t="s">
        <v>716</v>
      </c>
      <c r="H58" s="60" t="s">
        <v>619</v>
      </c>
      <c r="I58" s="61"/>
      <c r="J58" s="62"/>
      <c r="K58" s="62" t="s">
        <v>655</v>
      </c>
      <c r="L58" s="60"/>
      <c r="M58" s="63" t="s">
        <v>712</v>
      </c>
      <c r="N58" s="64" t="s">
        <v>575</v>
      </c>
      <c r="O58" s="65"/>
      <c r="P58" s="66">
        <f t="shared" ca="1" si="0"/>
        <v>0.78947368421052633</v>
      </c>
      <c r="Q58" s="65">
        <f ca="1">SUMIF('25년11월'!$F$1:$I$792,CSR!E58,'25년11월'!I:I)</f>
        <v>0</v>
      </c>
      <c r="R58" s="67">
        <f ca="1">SUMIF('25년12월'!$F$1:$I$764,CSR!E58,'25년12월'!I:I)</f>
        <v>0</v>
      </c>
      <c r="S58" s="67">
        <f ca="1">SUMIF('26년01월'!$F$1:$I$741,CSR!E58,'26년01월'!I:I)</f>
        <v>0</v>
      </c>
      <c r="T58" s="68">
        <f ca="1">SUMIF('26년02월'!$F$1:$I$734,CSR!E58,'26년02월'!I:I)</f>
        <v>0</v>
      </c>
      <c r="U58" s="68">
        <f ca="1">SUMIF('26년03월'!$F$1:$I$738,CSR!E58,'26년03월'!I:I)</f>
        <v>0.78947368421052633</v>
      </c>
      <c r="V58" s="68">
        <f ca="1">SUMIF('26년04월'!$F$1:$I$741,CSR!E58,'26년04월'!I:I)</f>
        <v>0</v>
      </c>
      <c r="W58" s="68">
        <f ca="1">SUMIF('26년05월'!$F$1:$I$744,CSR!E58,'26년05월'!I:I)</f>
        <v>0</v>
      </c>
      <c r="X58" s="69"/>
      <c r="Y58" s="69"/>
      <c r="Z58" s="69"/>
      <c r="AA58" s="69"/>
      <c r="AB58" s="70"/>
      <c r="AC58" s="69"/>
    </row>
    <row r="59" spans="2:29" s="59" customFormat="1" ht="15" customHeight="1">
      <c r="B59" s="55"/>
      <c r="C59" s="56"/>
      <c r="D59" s="57" t="s">
        <v>717</v>
      </c>
      <c r="E59" s="58" t="s">
        <v>718</v>
      </c>
      <c r="H59" s="60" t="s">
        <v>619</v>
      </c>
      <c r="I59" s="61"/>
      <c r="J59" s="62"/>
      <c r="K59" s="62" t="s">
        <v>655</v>
      </c>
      <c r="L59" s="60"/>
      <c r="M59" s="63" t="s">
        <v>678</v>
      </c>
      <c r="N59" s="64" t="s">
        <v>575</v>
      </c>
      <c r="O59" s="65"/>
      <c r="P59" s="66">
        <f t="shared" ca="1" si="0"/>
        <v>1.5789473684210524</v>
      </c>
      <c r="Q59" s="65">
        <f ca="1">SUMIF('25년11월'!$F$1:$I$792,CSR!E59,'25년11월'!I:I)</f>
        <v>0</v>
      </c>
      <c r="R59" s="67">
        <f ca="1">SUMIF('25년12월'!$F$1:$I$764,CSR!E59,'25년12월'!I:I)</f>
        <v>0</v>
      </c>
      <c r="S59" s="67">
        <f ca="1">SUMIF('26년01월'!$F$1:$I$741,CSR!E59,'26년01월'!I:I)</f>
        <v>0</v>
      </c>
      <c r="T59" s="68">
        <f ca="1">SUMIF('26년02월'!$F$1:$I$734,CSR!E59,'26년02월'!I:I)</f>
        <v>0</v>
      </c>
      <c r="U59" s="68">
        <f ca="1">SUMIF('26년03월'!$F$1:$I$738,CSR!E59,'26년03월'!I:I)</f>
        <v>0</v>
      </c>
      <c r="V59" s="68">
        <f ca="1">SUMIF('26년04월'!$F$1:$I$741,CSR!E59,'26년04월'!I:I)</f>
        <v>1.5789473684210524</v>
      </c>
      <c r="W59" s="68">
        <f ca="1">SUMIF('26년05월'!$F$1:$I$744,CSR!E59,'26년05월'!I:I)</f>
        <v>0</v>
      </c>
      <c r="X59" s="69"/>
      <c r="Y59" s="69"/>
      <c r="Z59" s="69"/>
      <c r="AA59" s="69"/>
      <c r="AB59" s="70"/>
      <c r="AC59" s="69"/>
    </row>
    <row r="60" spans="2:29" s="59" customFormat="1" ht="15" customHeight="1">
      <c r="B60" s="55"/>
      <c r="C60" s="56"/>
      <c r="D60" s="57" t="s">
        <v>719</v>
      </c>
      <c r="E60" s="58" t="s">
        <v>720</v>
      </c>
      <c r="H60" s="60" t="s">
        <v>619</v>
      </c>
      <c r="I60" s="61"/>
      <c r="J60" s="62"/>
      <c r="K60" s="62" t="s">
        <v>655</v>
      </c>
      <c r="L60" s="60"/>
      <c r="M60" s="63" t="s">
        <v>678</v>
      </c>
      <c r="N60" s="64" t="s">
        <v>575</v>
      </c>
      <c r="O60" s="65"/>
      <c r="P60" s="66">
        <f t="shared" ca="1" si="0"/>
        <v>0.94736842105263153</v>
      </c>
      <c r="Q60" s="65">
        <f ca="1">SUMIF('25년11월'!$F$1:$I$792,CSR!E60,'25년11월'!I:I)</f>
        <v>0</v>
      </c>
      <c r="R60" s="67">
        <f ca="1">SUMIF('25년12월'!$F$1:$I$764,CSR!E60,'25년12월'!I:I)</f>
        <v>0</v>
      </c>
      <c r="S60" s="67">
        <f ca="1">SUMIF('26년01월'!$F$1:$I$741,CSR!E60,'26년01월'!I:I)</f>
        <v>0</v>
      </c>
      <c r="T60" s="68">
        <f ca="1">SUMIF('26년02월'!$F$1:$I$734,CSR!E60,'26년02월'!I:I)</f>
        <v>0</v>
      </c>
      <c r="U60" s="68">
        <f ca="1">SUMIF('26년03월'!$F$1:$I$738,CSR!E60,'26년03월'!I:I)</f>
        <v>0</v>
      </c>
      <c r="V60" s="68">
        <f ca="1">SUMIF('26년04월'!$F$1:$I$741,CSR!E60,'26년04월'!I:I)</f>
        <v>0.94736842105263153</v>
      </c>
      <c r="W60" s="68">
        <f ca="1">SUMIF('26년05월'!$F$1:$I$744,CSR!E60,'26년05월'!I:I)</f>
        <v>0</v>
      </c>
      <c r="X60" s="69"/>
      <c r="Y60" s="69"/>
      <c r="Z60" s="69"/>
      <c r="AA60" s="69"/>
      <c r="AB60" s="70"/>
      <c r="AC60" s="69"/>
    </row>
    <row r="61" spans="2:29" s="59" customFormat="1" ht="15" customHeight="1">
      <c r="B61" s="55"/>
      <c r="C61" s="56"/>
      <c r="D61" s="57" t="s">
        <v>2103</v>
      </c>
      <c r="E61" s="58" t="s">
        <v>722</v>
      </c>
      <c r="H61" s="60" t="s">
        <v>619</v>
      </c>
      <c r="I61" s="61"/>
      <c r="J61" s="62"/>
      <c r="K61" s="62" t="s">
        <v>655</v>
      </c>
      <c r="L61" s="60"/>
      <c r="M61" s="63" t="s">
        <v>723</v>
      </c>
      <c r="N61" s="64" t="s">
        <v>575</v>
      </c>
      <c r="O61" s="65"/>
      <c r="P61" s="66">
        <f t="shared" ca="1" si="0"/>
        <v>0</v>
      </c>
      <c r="Q61" s="65">
        <f ca="1">SUMIF('25년11월'!$F$1:$I$792,CSR!E61,'25년11월'!I:I)</f>
        <v>0</v>
      </c>
      <c r="R61" s="67">
        <f ca="1">SUMIF('25년12월'!$F$1:$I$764,CSR!E61,'25년12월'!I:I)</f>
        <v>0</v>
      </c>
      <c r="S61" s="67">
        <f ca="1">SUMIF('26년01월'!$F$1:$I$741,CSR!E61,'26년01월'!I:I)</f>
        <v>0</v>
      </c>
      <c r="T61" s="68">
        <f ca="1">SUMIF('26년02월'!$F$1:$I$734,CSR!E61,'26년02월'!I:I)</f>
        <v>0</v>
      </c>
      <c r="U61" s="68">
        <f ca="1">SUMIF('26년03월'!$F$1:$I$738,CSR!E61,'26년03월'!I:I)</f>
        <v>0</v>
      </c>
      <c r="V61" s="68">
        <f ca="1">SUMIF('26년04월'!$F$1:$I$741,CSR!E61,'26년04월'!I:I)</f>
        <v>0</v>
      </c>
      <c r="W61" s="68">
        <f ca="1">SUMIF('26년05월'!$F$1:$I$744,CSR!E61,'26년05월'!I:I)</f>
        <v>0</v>
      </c>
      <c r="X61" s="69"/>
      <c r="Y61" s="69"/>
      <c r="Z61" s="69"/>
      <c r="AA61" s="69"/>
      <c r="AB61" s="70"/>
      <c r="AC61" s="69"/>
    </row>
    <row r="62" spans="2:29" s="59" customFormat="1" ht="15" customHeight="1">
      <c r="B62" s="55"/>
      <c r="C62" s="56"/>
      <c r="D62" s="57" t="s">
        <v>2104</v>
      </c>
      <c r="E62" s="58" t="s">
        <v>2099</v>
      </c>
      <c r="H62" s="60" t="s">
        <v>619</v>
      </c>
      <c r="I62" s="61"/>
      <c r="J62" s="62"/>
      <c r="K62" s="62" t="s">
        <v>655</v>
      </c>
      <c r="L62" s="60"/>
      <c r="M62" s="63" t="s">
        <v>723</v>
      </c>
      <c r="N62" s="64" t="s">
        <v>575</v>
      </c>
      <c r="O62" s="65"/>
      <c r="P62" s="66">
        <f t="shared" ref="P62" ca="1" si="2">SUM(Q62:AB62)</f>
        <v>0</v>
      </c>
      <c r="Q62" s="65">
        <f ca="1">SUMIF('25년11월'!$F$1:$I$792,CSR!E62,'25년11월'!I:I)</f>
        <v>0</v>
      </c>
      <c r="R62" s="67">
        <f ca="1">SUMIF('25년12월'!$F$1:$I$764,CSR!E62,'25년12월'!I:I)</f>
        <v>0</v>
      </c>
      <c r="S62" s="67">
        <f ca="1">SUMIF('26년01월'!$F$1:$I$741,CSR!E62,'26년01월'!I:I)</f>
        <v>0</v>
      </c>
      <c r="T62" s="68">
        <f ca="1">SUMIF('26년02월'!$F$1:$I$734,CSR!E62,'26년02월'!I:I)</f>
        <v>0</v>
      </c>
      <c r="U62" s="68">
        <f ca="1">SUMIF('26년03월'!$F$1:$I$738,CSR!E62,'26년03월'!I:I)</f>
        <v>0</v>
      </c>
      <c r="V62" s="68">
        <f ca="1">SUMIF('26년04월'!$F$1:$I$741,CSR!E62,'26년04월'!I:I)</f>
        <v>0</v>
      </c>
      <c r="W62" s="68">
        <f ca="1">SUMIF('26년05월'!$F$1:$I$744,CSR!E62,'26년05월'!I:I)</f>
        <v>0</v>
      </c>
      <c r="X62" s="69"/>
      <c r="Y62" s="69"/>
      <c r="Z62" s="69"/>
      <c r="AA62" s="69"/>
      <c r="AB62" s="70"/>
      <c r="AC62" s="69"/>
    </row>
    <row r="63" spans="2:29" s="86" customFormat="1" ht="15" customHeight="1">
      <c r="B63" s="72"/>
      <c r="C63" s="73"/>
      <c r="D63" s="74" t="s">
        <v>724</v>
      </c>
      <c r="E63" s="75" t="s">
        <v>2100</v>
      </c>
      <c r="F63" s="76"/>
      <c r="G63" s="76"/>
      <c r="H63" s="107" t="s">
        <v>619</v>
      </c>
      <c r="I63" s="78"/>
      <c r="J63" s="79"/>
      <c r="K63" s="108" t="s">
        <v>655</v>
      </c>
      <c r="L63" s="77"/>
      <c r="M63" s="80" t="s">
        <v>725</v>
      </c>
      <c r="N63" s="81" t="s">
        <v>629</v>
      </c>
      <c r="O63" s="82"/>
      <c r="P63" s="109">
        <f t="shared" ca="1" si="0"/>
        <v>5.8684210526315779</v>
      </c>
      <c r="Q63" s="110">
        <f ca="1">SUMIF('25년11월'!$F$1:$I$792,CSR!E63,'25년11월'!I:I)</f>
        <v>0</v>
      </c>
      <c r="R63" s="111">
        <f ca="1">SUMIF('25년12월'!$F$1:$I$764,CSR!E63,'25년12월'!I:I)</f>
        <v>0</v>
      </c>
      <c r="S63" s="111">
        <f ca="1">SUMIF('26년01월'!$F$1:$I$741,CSR!E63,'26년01월'!I:I)</f>
        <v>0</v>
      </c>
      <c r="T63" s="83">
        <f ca="1">SUMIF('26년02월'!$F$1:$I$734,CSR!E63,'26년02월'!I:I)</f>
        <v>0</v>
      </c>
      <c r="U63" s="83">
        <f ca="1">SUMIF('26년03월'!$F$1:$I$738,CSR!E63,'26년03월'!I:I)</f>
        <v>0</v>
      </c>
      <c r="V63" s="83">
        <f ca="1">SUMIF('26년04월'!$F$1:$I$741,CSR!E63,'26년04월'!I:I)</f>
        <v>0</v>
      </c>
      <c r="W63" s="83">
        <f ca="1">SUMIF('26년05월'!$F$1:$I$744,CSR!E63,'26년05월'!I:I)</f>
        <v>5.8684210526315779</v>
      </c>
      <c r="X63" s="84"/>
      <c r="Y63" s="84"/>
      <c r="Z63" s="84"/>
      <c r="AA63" s="84"/>
      <c r="AB63" s="85"/>
      <c r="AC63" s="84"/>
    </row>
    <row r="64" spans="2:29" s="86" customFormat="1" ht="15" customHeight="1">
      <c r="B64" s="72"/>
      <c r="C64" s="73"/>
      <c r="D64" s="74" t="s">
        <v>2102</v>
      </c>
      <c r="E64" s="75" t="s">
        <v>2105</v>
      </c>
      <c r="F64" s="76"/>
      <c r="G64" s="76"/>
      <c r="H64" s="107" t="s">
        <v>619</v>
      </c>
      <c r="I64" s="78"/>
      <c r="J64" s="79"/>
      <c r="K64" s="108" t="s">
        <v>655</v>
      </c>
      <c r="L64" s="77"/>
      <c r="M64" s="80" t="s">
        <v>725</v>
      </c>
      <c r="N64" s="81" t="s">
        <v>629</v>
      </c>
      <c r="O64" s="82"/>
      <c r="P64" s="109">
        <f t="shared" ref="P64" ca="1" si="3">SUM(Q64:AB64)</f>
        <v>0</v>
      </c>
      <c r="Q64" s="110">
        <f ca="1">SUMIF('25년11월'!$F$1:$I$792,CSR!E64,'25년11월'!I:I)</f>
        <v>0</v>
      </c>
      <c r="R64" s="111">
        <f ca="1">SUMIF('25년12월'!$F$1:$I$764,CSR!E64,'25년12월'!I:I)</f>
        <v>0</v>
      </c>
      <c r="S64" s="111">
        <f ca="1">SUMIF('26년01월'!$F$1:$I$741,CSR!E64,'26년01월'!I:I)</f>
        <v>0</v>
      </c>
      <c r="T64" s="83">
        <f ca="1">SUMIF('26년02월'!$F$1:$I$734,CSR!E64,'26년02월'!I:I)</f>
        <v>0</v>
      </c>
      <c r="U64" s="83">
        <f ca="1">SUMIF('26년03월'!$F$1:$I$738,CSR!E64,'26년03월'!I:I)</f>
        <v>0</v>
      </c>
      <c r="V64" s="83">
        <f ca="1">SUMIF('26년04월'!$F$1:$I$741,CSR!E64,'26년04월'!I:I)</f>
        <v>0</v>
      </c>
      <c r="W64" s="83">
        <f ca="1">SUMIF('26년05월'!$F$1:$I$744,CSR!E64,'26년05월'!I:I)</f>
        <v>0</v>
      </c>
      <c r="X64" s="84"/>
      <c r="Y64" s="84"/>
      <c r="Z64" s="84"/>
      <c r="AA64" s="84"/>
      <c r="AB64" s="85"/>
      <c r="AC64" s="84"/>
    </row>
    <row r="65" spans="2:29" s="53" customFormat="1" ht="14.5" customHeight="1">
      <c r="B65" s="39"/>
      <c r="C65" s="40"/>
      <c r="D65" s="112" t="s">
        <v>726</v>
      </c>
      <c r="E65" s="41" t="s">
        <v>727</v>
      </c>
      <c r="F65" s="42"/>
      <c r="G65" s="42"/>
      <c r="H65" s="43" t="s">
        <v>619</v>
      </c>
      <c r="I65" s="44"/>
      <c r="J65" s="45" t="s">
        <v>624</v>
      </c>
      <c r="K65" s="45"/>
      <c r="L65" s="43"/>
      <c r="M65" s="46"/>
      <c r="N65" s="113" t="s">
        <v>629</v>
      </c>
      <c r="O65" s="47"/>
      <c r="P65" s="48">
        <f t="shared" ref="P65" ca="1" si="4">SUM(Q65:AB65)</f>
        <v>0.15789473684210525</v>
      </c>
      <c r="Q65" s="49"/>
      <c r="R65" s="50"/>
      <c r="S65" s="50"/>
      <c r="T65" s="50"/>
      <c r="U65" s="50"/>
      <c r="V65" s="50">
        <f ca="1">SUMIF('26년04월'!$F$1:$I$741,CSR!E65,'26년04월'!I:I)</f>
        <v>5.2631578947368418E-2</v>
      </c>
      <c r="W65" s="50">
        <f ca="1">SUMIF('26년05월'!$F$1:$I$744,CSR!E65,'26년05월'!I:I)</f>
        <v>0.10526315789473684</v>
      </c>
      <c r="X65" s="51"/>
      <c r="Y65" s="51"/>
      <c r="Z65" s="51"/>
      <c r="AA65" s="51"/>
      <c r="AB65" s="52"/>
      <c r="AC65" s="51"/>
    </row>
    <row r="66" spans="2:29" s="53" customFormat="1" ht="14.5" customHeight="1">
      <c r="B66" s="39"/>
      <c r="C66" s="40"/>
      <c r="D66" s="112" t="s">
        <v>2097</v>
      </c>
      <c r="E66" s="41" t="s">
        <v>2098</v>
      </c>
      <c r="F66" s="42"/>
      <c r="G66" s="42"/>
      <c r="H66" s="43" t="s">
        <v>619</v>
      </c>
      <c r="I66" s="44"/>
      <c r="J66" s="45" t="s">
        <v>624</v>
      </c>
      <c r="K66" s="45"/>
      <c r="L66" s="43"/>
      <c r="M66" s="46"/>
      <c r="N66" s="113" t="s">
        <v>629</v>
      </c>
      <c r="O66" s="47"/>
      <c r="P66" s="48">
        <f t="shared" ca="1" si="0"/>
        <v>0</v>
      </c>
      <c r="Q66" s="49"/>
      <c r="R66" s="50"/>
      <c r="S66" s="50"/>
      <c r="T66" s="50"/>
      <c r="U66" s="50"/>
      <c r="V66" s="50">
        <f ca="1">SUMIF('26년04월'!$F$1:$I$741,CSR!E66,'26년04월'!I:I)</f>
        <v>0</v>
      </c>
      <c r="W66" s="50">
        <f ca="1">SUMIF('26년05월'!$F$1:$I$744,CSR!E66,'26년05월'!I:I)</f>
        <v>0</v>
      </c>
      <c r="X66" s="51"/>
      <c r="Y66" s="51"/>
      <c r="Z66" s="51"/>
      <c r="AA66" s="51"/>
      <c r="AB66" s="52"/>
      <c r="AC66" s="51"/>
    </row>
    <row r="67" spans="2:29" s="53" customFormat="1" ht="15" customHeight="1">
      <c r="B67" s="114"/>
      <c r="C67" s="115" t="s">
        <v>728</v>
      </c>
      <c r="D67" s="116"/>
      <c r="E67" s="117"/>
      <c r="F67" s="118"/>
      <c r="G67" s="118"/>
      <c r="H67" s="119"/>
      <c r="I67" s="120"/>
      <c r="J67" s="121"/>
      <c r="K67" s="122"/>
      <c r="L67" s="119"/>
      <c r="M67" s="123"/>
      <c r="N67" s="124"/>
      <c r="O67" s="125">
        <f>SUM(O11:O54)</f>
        <v>145</v>
      </c>
      <c r="P67" s="126">
        <f ca="1">SUM(P11:P66)</f>
        <v>109.8836842105263</v>
      </c>
      <c r="Q67" s="125">
        <f ca="1">SUM(Q11:Q54)</f>
        <v>14.452105263157897</v>
      </c>
      <c r="R67" s="127">
        <f ca="1">SUM(R11:R54)</f>
        <v>15.552631578947368</v>
      </c>
      <c r="S67" s="127">
        <f ca="1">SUM(S11:S60)</f>
        <v>13.44736842105263</v>
      </c>
      <c r="T67" s="127">
        <f ca="1">SUM(T11:T60)</f>
        <v>17.631578947368418</v>
      </c>
      <c r="U67" s="127">
        <f ca="1">SUM(U11:U60)</f>
        <v>17.631578947368421</v>
      </c>
      <c r="V67" s="127">
        <f ca="1">SUM(V11:V66)</f>
        <v>17.094736842105267</v>
      </c>
      <c r="W67" s="127">
        <f ca="1">SUM(W11:W66)</f>
        <v>14.073684210526313</v>
      </c>
      <c r="X67" s="127">
        <f>SUM(X11:X54)</f>
        <v>0</v>
      </c>
      <c r="Y67" s="127">
        <f>SUM(Y11:Y54)</f>
        <v>0</v>
      </c>
      <c r="Z67" s="127">
        <f>SUM(Z11:Z54)</f>
        <v>0</v>
      </c>
      <c r="AA67" s="127">
        <f>SUM(AA11:AA54)</f>
        <v>0</v>
      </c>
      <c r="AB67" s="128">
        <f>SUM(AB11:AB54)</f>
        <v>0</v>
      </c>
      <c r="AC67" s="129"/>
    </row>
    <row r="68" spans="2:29" s="53" customFormat="1" ht="15" customHeight="1">
      <c r="B68" s="130" t="s">
        <v>729</v>
      </c>
      <c r="C68" s="131" t="s">
        <v>730</v>
      </c>
      <c r="D68" s="132" t="s">
        <v>731</v>
      </c>
      <c r="E68" s="133" t="s">
        <v>732</v>
      </c>
      <c r="F68" s="134"/>
      <c r="G68" s="134"/>
      <c r="H68" s="135" t="s">
        <v>619</v>
      </c>
      <c r="I68" s="136"/>
      <c r="J68" s="45" t="s">
        <v>620</v>
      </c>
      <c r="K68" s="45" t="s">
        <v>621</v>
      </c>
      <c r="L68" s="135" t="s">
        <v>573</v>
      </c>
      <c r="M68" s="137"/>
      <c r="N68" s="138"/>
      <c r="O68" s="47">
        <v>5</v>
      </c>
      <c r="P68" s="48">
        <f t="shared" ref="P68:P80" ca="1" si="5">SUM(Q68:AB68)</f>
        <v>1.763157894736842</v>
      </c>
      <c r="Q68" s="49">
        <f ca="1">SUMIF('25년11월'!$F$1:$I$792,CSR!E68,'25년11월'!I:I)</f>
        <v>0.21052631578947367</v>
      </c>
      <c r="R68" s="50">
        <f ca="1">SUMIF('25년12월'!$F$1:$I$764,CSR!E68,'25년12월'!I:I)</f>
        <v>0.18421052631578946</v>
      </c>
      <c r="S68" s="50">
        <f ca="1">SUMIF('26년01월'!$F$1:$I$741,CSR!E68,'26년01월'!I:I)</f>
        <v>0.28947368421052633</v>
      </c>
      <c r="T68" s="50">
        <f ca="1">SUMIF('26년02월'!$F$1:$I$734,CSR!E68,'26년02월'!I:I)</f>
        <v>0.23684210526315788</v>
      </c>
      <c r="U68" s="50">
        <f ca="1">SUMIF('26년03월'!$F$1:$I$738,CSR!E68,'26년03월'!I:I)</f>
        <v>0.42105263157894735</v>
      </c>
      <c r="V68" s="50">
        <f ca="1">SUMIF('26년04월'!$F$1:$I$741,CSR!E68,'26년04월'!I:I)</f>
        <v>0.15789473684210525</v>
      </c>
      <c r="W68" s="50">
        <f ca="1">SUMIF('26년05월'!$F$1:$I$744,CSR!E68,'26년05월'!I:I)</f>
        <v>0.26315789473684209</v>
      </c>
      <c r="X68" s="51"/>
      <c r="Y68" s="51"/>
      <c r="Z68" s="51"/>
      <c r="AA68" s="51"/>
      <c r="AB68" s="52"/>
      <c r="AC68" s="139"/>
    </row>
    <row r="69" spans="2:29" s="59" customFormat="1" ht="15" customHeight="1">
      <c r="B69" s="55"/>
      <c r="C69" s="56"/>
      <c r="D69" s="140" t="s">
        <v>733</v>
      </c>
      <c r="E69" s="58" t="s">
        <v>734</v>
      </c>
      <c r="H69" s="60" t="s">
        <v>572</v>
      </c>
      <c r="I69" s="61"/>
      <c r="J69" s="62" t="s">
        <v>668</v>
      </c>
      <c r="K69" s="62" t="s">
        <v>621</v>
      </c>
      <c r="L69" s="60" t="s">
        <v>735</v>
      </c>
      <c r="M69" s="63" t="s">
        <v>736</v>
      </c>
      <c r="N69" s="64" t="s">
        <v>575</v>
      </c>
      <c r="O69" s="65"/>
      <c r="P69" s="66">
        <f t="shared" ca="1" si="5"/>
        <v>0.5</v>
      </c>
      <c r="Q69" s="65">
        <f ca="1">SUMIF('25년11월'!$F$1:$I$792,CSR!E69,'25년11월'!I:I)</f>
        <v>0.5</v>
      </c>
      <c r="R69" s="67">
        <f ca="1">SUMIF('25년12월'!$F$1:$I$764,CSR!E69,'25년12월'!I:I)</f>
        <v>0</v>
      </c>
      <c r="S69" s="67">
        <f ca="1">SUMIF('26년01월'!$F$1:$I$741,CSR!E69,'26년01월'!I:I)</f>
        <v>0</v>
      </c>
      <c r="T69" s="68">
        <f ca="1">SUMIF('26년02월'!$F$1:$I$734,CSR!E69,'26년02월'!I:I)</f>
        <v>0</v>
      </c>
      <c r="U69" s="68">
        <f ca="1">SUMIF('26년03월'!$F$1:$I$738,CSR!E69,'26년03월'!I:I)</f>
        <v>0</v>
      </c>
      <c r="V69" s="68">
        <f ca="1">SUMIF('26년04월'!$F$1:$I$741,CSR!E69,'26년04월'!I:I)</f>
        <v>0</v>
      </c>
      <c r="W69" s="68">
        <f ca="1">SUMIF('26년05월'!$F$1:$I$744,CSR!E69,'26년05월'!I:I)</f>
        <v>0</v>
      </c>
      <c r="X69" s="69"/>
      <c r="Y69" s="69"/>
      <c r="Z69" s="69"/>
      <c r="AA69" s="69"/>
      <c r="AB69" s="70"/>
      <c r="AC69" s="69"/>
    </row>
    <row r="70" spans="2:29" s="59" customFormat="1" ht="15" customHeight="1">
      <c r="B70" s="55"/>
      <c r="C70" s="56"/>
      <c r="D70" s="140" t="s">
        <v>737</v>
      </c>
      <c r="E70" s="58" t="s">
        <v>738</v>
      </c>
      <c r="H70" s="60" t="s">
        <v>572</v>
      </c>
      <c r="I70" s="61"/>
      <c r="J70" s="62" t="s">
        <v>668</v>
      </c>
      <c r="K70" s="62" t="s">
        <v>621</v>
      </c>
      <c r="L70" s="60" t="s">
        <v>735</v>
      </c>
      <c r="M70" s="63" t="s">
        <v>650</v>
      </c>
      <c r="N70" s="64" t="s">
        <v>575</v>
      </c>
      <c r="O70" s="65"/>
      <c r="P70" s="66">
        <f t="shared" ca="1" si="5"/>
        <v>1.631578947368421</v>
      </c>
      <c r="Q70" s="65">
        <f ca="1">SUMIF('25년11월'!$F$1:$I$792,CSR!E70,'25년11월'!I:I)</f>
        <v>0.42105263157894735</v>
      </c>
      <c r="R70" s="67">
        <f ca="1">SUMIF('25년12월'!$F$1:$I$764,CSR!E70,'25년12월'!I:I)</f>
        <v>0.86842105263157898</v>
      </c>
      <c r="S70" s="67">
        <f ca="1">SUMIF('26년01월'!$F$1:$I$741,CSR!E70,'26년01월'!I:I)</f>
        <v>0.34210526315789469</v>
      </c>
      <c r="T70" s="68">
        <f ca="1">SUMIF('26년02월'!$F$1:$I$734,CSR!E70,'26년02월'!I:I)</f>
        <v>0</v>
      </c>
      <c r="U70" s="68">
        <f ca="1">SUMIF('26년03월'!$F$1:$I$738,CSR!E70,'26년03월'!I:I)</f>
        <v>0</v>
      </c>
      <c r="V70" s="68">
        <f ca="1">SUMIF('26년04월'!$F$1:$I$741,CSR!E70,'26년04월'!I:I)</f>
        <v>0</v>
      </c>
      <c r="W70" s="68">
        <f ca="1">SUMIF('26년05월'!$F$1:$I$744,CSR!E70,'26년05월'!I:I)</f>
        <v>0</v>
      </c>
      <c r="X70" s="69"/>
      <c r="Y70" s="69"/>
      <c r="Z70" s="69"/>
      <c r="AA70" s="69"/>
      <c r="AB70" s="70"/>
      <c r="AC70" s="69"/>
    </row>
    <row r="71" spans="2:29" s="59" customFormat="1" ht="15" customHeight="1">
      <c r="B71" s="55"/>
      <c r="C71" s="56"/>
      <c r="D71" s="140" t="s">
        <v>739</v>
      </c>
      <c r="E71" s="58" t="s">
        <v>740</v>
      </c>
      <c r="H71" s="60" t="s">
        <v>572</v>
      </c>
      <c r="I71" s="61"/>
      <c r="J71" s="62" t="s">
        <v>668</v>
      </c>
      <c r="K71" s="62" t="s">
        <v>621</v>
      </c>
      <c r="L71" s="60" t="s">
        <v>735</v>
      </c>
      <c r="M71" s="63" t="s">
        <v>650</v>
      </c>
      <c r="N71" s="64" t="s">
        <v>575</v>
      </c>
      <c r="O71" s="65"/>
      <c r="P71" s="66">
        <f t="shared" ca="1" si="5"/>
        <v>1.5263157894736843</v>
      </c>
      <c r="Q71" s="65">
        <f ca="1">SUMIF('25년11월'!$F$1:$I$792,CSR!E71,'25년11월'!I:I)</f>
        <v>0.44736842105263158</v>
      </c>
      <c r="R71" s="67">
        <f ca="1">SUMIF('25년12월'!$F$1:$I$764,CSR!E71,'25년12월'!I:I)</f>
        <v>0.34210526315789475</v>
      </c>
      <c r="S71" s="67">
        <f ca="1">SUMIF('26년01월'!$F$1:$I$741,CSR!E71,'26년01월'!I:I)</f>
        <v>0.5</v>
      </c>
      <c r="T71" s="68">
        <f ca="1">SUMIF('26년02월'!$F$1:$I$734,CSR!E71,'26년02월'!I:I)</f>
        <v>0.23684210526315788</v>
      </c>
      <c r="U71" s="68">
        <f ca="1">SUMIF('26년03월'!$F$1:$I$738,CSR!E71,'26년03월'!I:I)</f>
        <v>0</v>
      </c>
      <c r="V71" s="68">
        <f ca="1">SUMIF('26년04월'!$F$1:$I$741,CSR!E71,'26년04월'!I:I)</f>
        <v>0</v>
      </c>
      <c r="W71" s="68">
        <f ca="1">SUMIF('26년05월'!$F$1:$I$744,CSR!E71,'26년05월'!I:I)</f>
        <v>0</v>
      </c>
      <c r="X71" s="69"/>
      <c r="Y71" s="69"/>
      <c r="Z71" s="69"/>
      <c r="AA71" s="69"/>
      <c r="AB71" s="70"/>
      <c r="AC71" s="69"/>
    </row>
    <row r="72" spans="2:29" s="53" customFormat="1" ht="15" customHeight="1">
      <c r="B72" s="39"/>
      <c r="C72" s="40"/>
      <c r="D72" s="112" t="s">
        <v>741</v>
      </c>
      <c r="E72" s="41" t="s">
        <v>742</v>
      </c>
      <c r="F72" s="42"/>
      <c r="G72" s="42"/>
      <c r="H72" s="43" t="s">
        <v>572</v>
      </c>
      <c r="I72" s="44"/>
      <c r="J72" s="45" t="s">
        <v>668</v>
      </c>
      <c r="K72" s="45" t="s">
        <v>621</v>
      </c>
      <c r="L72" s="43"/>
      <c r="M72" s="46"/>
      <c r="N72" s="113"/>
      <c r="O72" s="47"/>
      <c r="P72" s="48">
        <f t="shared" ca="1" si="5"/>
        <v>0.55263157894736836</v>
      </c>
      <c r="Q72" s="49">
        <f ca="1">SUMIF('25년11월'!$F$1:$I$792,CSR!E72,'25년11월'!I:I)</f>
        <v>0</v>
      </c>
      <c r="R72" s="50">
        <f ca="1">SUMIF('25년12월'!$F$1:$I$764,CSR!E72,'25년12월'!I:I)</f>
        <v>0.55263157894736836</v>
      </c>
      <c r="S72" s="50">
        <f ca="1">SUMIF('26년01월'!$F$1:$I$741,CSR!E72,'26년01월'!I:I)</f>
        <v>0</v>
      </c>
      <c r="T72" s="50">
        <f ca="1">SUMIF('26년02월'!$F$1:$I$734,CSR!E72,'26년02월'!I:I)</f>
        <v>0</v>
      </c>
      <c r="U72" s="50">
        <f ca="1">SUMIF('26년03월'!$F$1:$I$738,CSR!E72,'26년03월'!I:I)</f>
        <v>0</v>
      </c>
      <c r="V72" s="50">
        <f ca="1">SUMIF('26년04월'!$F$1:$I$741,CSR!E72,'26년04월'!I:I)</f>
        <v>0</v>
      </c>
      <c r="W72" s="50">
        <f ca="1">SUMIF('26년05월'!$F$1:$I$744,CSR!E72,'26년05월'!I:I)</f>
        <v>0</v>
      </c>
      <c r="X72" s="51"/>
      <c r="Y72" s="51"/>
      <c r="Z72" s="51"/>
      <c r="AA72" s="51"/>
      <c r="AB72" s="52"/>
      <c r="AC72" s="51"/>
    </row>
    <row r="73" spans="2:29" s="59" customFormat="1" ht="15" customHeight="1">
      <c r="B73" s="55"/>
      <c r="C73" s="56"/>
      <c r="D73" s="57" t="s">
        <v>743</v>
      </c>
      <c r="E73" s="58" t="s">
        <v>744</v>
      </c>
      <c r="H73" s="60" t="s">
        <v>619</v>
      </c>
      <c r="I73" s="61"/>
      <c r="J73" s="62" t="s">
        <v>668</v>
      </c>
      <c r="K73" s="62" t="s">
        <v>655</v>
      </c>
      <c r="L73" s="60"/>
      <c r="M73" s="63" t="s">
        <v>605</v>
      </c>
      <c r="N73" s="64" t="s">
        <v>575</v>
      </c>
      <c r="O73" s="65"/>
      <c r="P73" s="66">
        <f t="shared" ca="1" si="5"/>
        <v>1.5789473684210527</v>
      </c>
      <c r="Q73" s="65">
        <f ca="1">SUMIF('25년11월'!$F$1:$I$792,CSR!E73,'25년11월'!I:I)</f>
        <v>0</v>
      </c>
      <c r="R73" s="67">
        <f ca="1">SUMIF('25년12월'!$F$1:$I$764,CSR!E73,'25년12월'!I:I)</f>
        <v>0</v>
      </c>
      <c r="S73" s="67">
        <f ca="1">SUMIF('26년01월'!$F$1:$I$741,CSR!E73,'26년01월'!I:I)</f>
        <v>0.76315789473684215</v>
      </c>
      <c r="T73" s="68">
        <f ca="1">SUMIF('26년02월'!$F$1:$I$734,CSR!E73,'26년02월'!I:I)</f>
        <v>5.2631578947368418E-2</v>
      </c>
      <c r="U73" s="68">
        <f ca="1">SUMIF('26년03월'!$F$1:$I$738,CSR!E73,'26년03월'!I:I)</f>
        <v>0.5</v>
      </c>
      <c r="V73" s="68">
        <f ca="1">SUMIF('26년04월'!$F$1:$I$741,CSR!E73,'26년04월'!I:I)</f>
        <v>0.26315789473684209</v>
      </c>
      <c r="W73" s="68">
        <f ca="1">SUMIF('26년05월'!$F$1:$I$744,CSR!E73,'26년05월'!I:I)</f>
        <v>0</v>
      </c>
      <c r="X73" s="69"/>
      <c r="Y73" s="69"/>
      <c r="Z73" s="69"/>
      <c r="AA73" s="69"/>
      <c r="AB73" s="70"/>
      <c r="AC73" s="69"/>
    </row>
    <row r="74" spans="2:29" s="156" customFormat="1" ht="14.5" customHeight="1">
      <c r="B74" s="141"/>
      <c r="C74" s="142"/>
      <c r="D74" s="143" t="s">
        <v>745</v>
      </c>
      <c r="E74" s="144" t="s">
        <v>746</v>
      </c>
      <c r="F74" s="145"/>
      <c r="G74" s="145"/>
      <c r="H74" s="146" t="s">
        <v>572</v>
      </c>
      <c r="I74" s="147"/>
      <c r="J74" s="148" t="s">
        <v>624</v>
      </c>
      <c r="K74" s="148" t="s">
        <v>621</v>
      </c>
      <c r="L74" s="146"/>
      <c r="M74" s="149" t="s">
        <v>747</v>
      </c>
      <c r="N74" s="150" t="s">
        <v>629</v>
      </c>
      <c r="O74" s="151"/>
      <c r="P74" s="152">
        <f t="shared" ca="1" si="5"/>
        <v>0.15789473684210525</v>
      </c>
      <c r="Q74" s="153"/>
      <c r="R74" s="68"/>
      <c r="S74" s="68"/>
      <c r="T74" s="68"/>
      <c r="U74" s="68">
        <f ca="1">SUMIF('26년03월'!$F$1:$I$738,CSR!E74,'26년03월'!I:I)</f>
        <v>7.8947368421052627E-2</v>
      </c>
      <c r="V74" s="68">
        <f ca="1">SUMIF('26년04월'!$F$1:$I$741,CSR!E74,'26년04월'!I:I)</f>
        <v>0</v>
      </c>
      <c r="W74" s="68">
        <f ca="1">SUMIF('26년05월'!$F$1:$I$744,CSR!E74,'26년05월'!I:I)</f>
        <v>7.8947368421052627E-2</v>
      </c>
      <c r="X74" s="154"/>
      <c r="Y74" s="154"/>
      <c r="Z74" s="154"/>
      <c r="AA74" s="154"/>
      <c r="AB74" s="155"/>
      <c r="AC74" s="154"/>
    </row>
    <row r="75" spans="2:29" s="53" customFormat="1" ht="14.5" customHeight="1">
      <c r="B75" s="39"/>
      <c r="C75" s="40"/>
      <c r="D75" s="54" t="s">
        <v>748</v>
      </c>
      <c r="E75" s="41" t="s">
        <v>749</v>
      </c>
      <c r="F75" s="42"/>
      <c r="G75" s="42"/>
      <c r="H75" s="43" t="s">
        <v>619</v>
      </c>
      <c r="I75" s="44"/>
      <c r="J75" s="45" t="s">
        <v>624</v>
      </c>
      <c r="K75" s="45" t="s">
        <v>621</v>
      </c>
      <c r="L75" s="43"/>
      <c r="M75" s="46" t="s">
        <v>723</v>
      </c>
      <c r="N75" s="113" t="s">
        <v>629</v>
      </c>
      <c r="O75" s="47"/>
      <c r="P75" s="48">
        <f t="shared" ca="1" si="5"/>
        <v>0.65789473684210531</v>
      </c>
      <c r="Q75" s="49"/>
      <c r="R75" s="50"/>
      <c r="S75" s="50"/>
      <c r="T75" s="50"/>
      <c r="U75" s="50"/>
      <c r="V75" s="50">
        <f ca="1">SUMIF('26년04월'!$F$1:$I$741,CSR!E75,'26년04월'!I:I)</f>
        <v>0.28947368421052633</v>
      </c>
      <c r="W75" s="50">
        <f ca="1">SUMIF('26년05월'!$F$1:$I$744,CSR!E75,'26년05월'!I:I)</f>
        <v>0.36842105263157893</v>
      </c>
      <c r="X75" s="51"/>
      <c r="Y75" s="51"/>
      <c r="Z75" s="51"/>
      <c r="AA75" s="51"/>
      <c r="AB75" s="52"/>
      <c r="AC75" s="51"/>
    </row>
    <row r="76" spans="2:29" s="106" customFormat="1" ht="15" customHeight="1">
      <c r="B76" s="87"/>
      <c r="C76" s="88"/>
      <c r="D76" s="89" t="s">
        <v>750</v>
      </c>
      <c r="E76" s="90" t="s">
        <v>2078</v>
      </c>
      <c r="F76" s="91"/>
      <c r="G76" s="91"/>
      <c r="H76" s="92" t="s">
        <v>619</v>
      </c>
      <c r="I76" s="93"/>
      <c r="J76" s="94" t="s">
        <v>673</v>
      </c>
      <c r="K76" s="95" t="s">
        <v>655</v>
      </c>
      <c r="L76" s="96"/>
      <c r="M76" s="97" t="s">
        <v>723</v>
      </c>
      <c r="N76" s="98" t="s">
        <v>575</v>
      </c>
      <c r="O76" s="99"/>
      <c r="P76" s="100">
        <f t="shared" ca="1" si="5"/>
        <v>0.36842105263157893</v>
      </c>
      <c r="Q76" s="101"/>
      <c r="R76" s="102"/>
      <c r="S76" s="102"/>
      <c r="T76" s="103"/>
      <c r="U76" s="103"/>
      <c r="V76" s="103"/>
      <c r="W76" s="103">
        <f ca="1">SUMIF('26년05월'!$F$1:$I$744,CSR!E76,'26년05월'!I:I)</f>
        <v>0.36842105263157893</v>
      </c>
      <c r="X76" s="104"/>
      <c r="Y76" s="104"/>
      <c r="Z76" s="104"/>
      <c r="AA76" s="104"/>
      <c r="AB76" s="105"/>
      <c r="AC76" s="104"/>
    </row>
    <row r="77" spans="2:29" s="53" customFormat="1" ht="14.5" customHeight="1">
      <c r="B77" s="39"/>
      <c r="C77" s="40"/>
      <c r="D77" s="112" t="s">
        <v>751</v>
      </c>
      <c r="E77" s="41" t="s">
        <v>752</v>
      </c>
      <c r="F77" s="42"/>
      <c r="G77" s="42"/>
      <c r="H77" s="43" t="s">
        <v>619</v>
      </c>
      <c r="I77" s="44"/>
      <c r="J77" s="45" t="s">
        <v>620</v>
      </c>
      <c r="K77" s="45" t="s">
        <v>621</v>
      </c>
      <c r="L77" s="43" t="s">
        <v>573</v>
      </c>
      <c r="M77" s="46"/>
      <c r="N77" s="113"/>
      <c r="O77" s="47">
        <v>3</v>
      </c>
      <c r="P77" s="48">
        <f t="shared" ca="1" si="5"/>
        <v>1.0631578947368421</v>
      </c>
      <c r="Q77" s="49">
        <f ca="1">SUMIF('25년11월'!$F$1:$I$792,CSR!E77,'25년11월'!I:I)</f>
        <v>0.26315789473684209</v>
      </c>
      <c r="R77" s="50">
        <f ca="1">SUMIF('25년12월'!$F$1:$I$764,CSR!E77,'25년12월'!I:I)</f>
        <v>0</v>
      </c>
      <c r="S77" s="50">
        <f ca="1">SUMIF('26년01월'!$F$1:$I$741,CSR!E77,'26년01월'!I:I)</f>
        <v>0.15789473684210525</v>
      </c>
      <c r="T77" s="50">
        <f ca="1">SUMIF('26년02월'!$F$1:$I$734,CSR!E77,'26년02월'!I:I)</f>
        <v>7.8947368421052627E-2</v>
      </c>
      <c r="U77" s="50">
        <f ca="1">SUMIF('26년03월'!$F$1:$I$738,CSR!E77,'26년03월'!I:I)</f>
        <v>0.39473684210526316</v>
      </c>
      <c r="V77" s="50">
        <f ca="1">SUMIF('26년04월'!$F$1:$I$741,CSR!E77,'26년04월'!I:I)</f>
        <v>8.9473684210526316E-2</v>
      </c>
      <c r="W77" s="50">
        <f ca="1">SUMIF('26년05월'!$F$1:$I$744,CSR!E77,'26년05월'!I:I)</f>
        <v>7.8947368421052627E-2</v>
      </c>
      <c r="X77" s="51"/>
      <c r="Y77" s="51"/>
      <c r="Z77" s="51"/>
      <c r="AA77" s="51"/>
      <c r="AB77" s="52"/>
      <c r="AC77" s="51"/>
    </row>
    <row r="78" spans="2:29" s="53" customFormat="1" ht="16">
      <c r="B78" s="39"/>
      <c r="C78" s="40" t="s">
        <v>753</v>
      </c>
      <c r="D78" s="54" t="s">
        <v>754</v>
      </c>
      <c r="E78" s="41" t="s">
        <v>268</v>
      </c>
      <c r="F78" s="42"/>
      <c r="G78" s="42"/>
      <c r="H78" s="43" t="s">
        <v>619</v>
      </c>
      <c r="I78" s="44"/>
      <c r="J78" s="45" t="s">
        <v>620</v>
      </c>
      <c r="K78" s="45" t="s">
        <v>621</v>
      </c>
      <c r="L78" s="43" t="s">
        <v>573</v>
      </c>
      <c r="M78" s="46"/>
      <c r="N78" s="113"/>
      <c r="O78" s="47">
        <v>7</v>
      </c>
      <c r="P78" s="48">
        <f t="shared" ca="1" si="5"/>
        <v>1.3947368421052631</v>
      </c>
      <c r="Q78" s="49">
        <f ca="1">SUMIF('25년11월'!$F$1:$I$792,CSR!E78,'25년11월'!I:I)</f>
        <v>0</v>
      </c>
      <c r="R78" s="50">
        <f ca="1">SUMIF('25년12월'!$F$1:$I$764,CSR!E78,'25년12월'!I:I)</f>
        <v>0.13157894736842105</v>
      </c>
      <c r="S78" s="50">
        <f ca="1">SUMIF('26년01월'!$F$1:$I$741,CSR!E78,'26년01월'!I:I)</f>
        <v>0.94736842105263153</v>
      </c>
      <c r="T78" s="50">
        <f ca="1">SUMIF('26년02월'!$F$1:$I$734,CSR!E78,'26년02월'!I:I)</f>
        <v>0.13157894736842105</v>
      </c>
      <c r="U78" s="50">
        <f ca="1">SUMIF('26년03월'!$F$1:$I$738,CSR!E78,'26년03월'!I:I)</f>
        <v>7.8947368421052627E-2</v>
      </c>
      <c r="V78" s="50">
        <f ca="1">SUMIF('26년04월'!$F$1:$I$741,CSR!E78,'26년04월'!I:I)</f>
        <v>5.2631578947368418E-2</v>
      </c>
      <c r="W78" s="50">
        <f ca="1">SUMIF('26년05월'!$F$1:$I$744,CSR!E78,'26년05월'!I:I)</f>
        <v>5.2631578947368418E-2</v>
      </c>
      <c r="X78" s="51"/>
      <c r="Y78" s="51"/>
      <c r="Z78" s="51"/>
      <c r="AA78" s="51"/>
      <c r="AB78" s="52"/>
      <c r="AC78" s="51"/>
    </row>
    <row r="79" spans="2:29" s="53" customFormat="1" ht="14.5" customHeight="1">
      <c r="B79" s="39"/>
      <c r="C79" s="40"/>
      <c r="D79" s="54" t="s">
        <v>755</v>
      </c>
      <c r="E79" s="41" t="s">
        <v>756</v>
      </c>
      <c r="F79" s="42"/>
      <c r="G79" s="42"/>
      <c r="H79" s="43" t="s">
        <v>619</v>
      </c>
      <c r="I79" s="44"/>
      <c r="J79" s="45" t="s">
        <v>620</v>
      </c>
      <c r="K79" s="45" t="s">
        <v>621</v>
      </c>
      <c r="L79" s="43" t="s">
        <v>573</v>
      </c>
      <c r="M79" s="46"/>
      <c r="N79" s="113"/>
      <c r="O79" s="47">
        <v>5</v>
      </c>
      <c r="P79" s="48">
        <f t="shared" ca="1" si="5"/>
        <v>1.0263157894736843</v>
      </c>
      <c r="Q79" s="49">
        <f ca="1">SUMIF('25년11월'!$F$1:$I$792,CSR!E79,'25년11월'!I:I)</f>
        <v>0.13157894736842105</v>
      </c>
      <c r="R79" s="50">
        <f ca="1">SUMIF('25년12월'!$F$1:$I$764,CSR!E79,'25년12월'!I:I)</f>
        <v>0.13157894736842105</v>
      </c>
      <c r="S79" s="50">
        <f ca="1">SUMIF('26년01월'!$F$1:$I$741,CSR!E79,'26년01월'!I:I)</f>
        <v>0.23684210526315788</v>
      </c>
      <c r="T79" s="50">
        <f ca="1">SUMIF('26년02월'!$F$1:$I$734,CSR!E79,'26년02월'!I:I)</f>
        <v>0.15789473684210525</v>
      </c>
      <c r="U79" s="50">
        <f ca="1">SUMIF('26년03월'!$F$1:$I$738,CSR!E79,'26년03월'!I:I)</f>
        <v>0.10526315789473684</v>
      </c>
      <c r="V79" s="50">
        <f ca="1">SUMIF('26년04월'!$F$1:$I$741,CSR!E79,'26년04월'!I:I)</f>
        <v>7.8947368421052627E-2</v>
      </c>
      <c r="W79" s="50">
        <f ca="1">SUMIF('26년05월'!$F$1:$I$744,CSR!E79,'26년05월'!I:I)</f>
        <v>0.18421052631578946</v>
      </c>
      <c r="X79" s="51"/>
      <c r="Y79" s="51"/>
      <c r="Z79" s="51"/>
      <c r="AA79" s="51"/>
      <c r="AB79" s="52"/>
      <c r="AC79" s="51"/>
    </row>
    <row r="80" spans="2:29" s="53" customFormat="1" ht="14.5" customHeight="1">
      <c r="B80" s="157"/>
      <c r="C80" s="158"/>
      <c r="D80" s="159" t="s">
        <v>757</v>
      </c>
      <c r="E80" s="160" t="s">
        <v>74</v>
      </c>
      <c r="F80" s="161"/>
      <c r="G80" s="161"/>
      <c r="H80" s="162" t="s">
        <v>619</v>
      </c>
      <c r="I80" s="163"/>
      <c r="J80" s="164" t="s">
        <v>620</v>
      </c>
      <c r="K80" s="165" t="s">
        <v>621</v>
      </c>
      <c r="L80" s="162" t="s">
        <v>573</v>
      </c>
      <c r="M80" s="166"/>
      <c r="N80" s="167"/>
      <c r="O80" s="168">
        <v>5</v>
      </c>
      <c r="P80" s="48">
        <f t="shared" ca="1" si="5"/>
        <v>1.8947368421052631</v>
      </c>
      <c r="Q80" s="169">
        <f ca="1">SUMIF('25년11월'!$F$1:$I$792,CSR!E80,'25년11월'!I:I)</f>
        <v>0.21052631578947367</v>
      </c>
      <c r="R80" s="50">
        <f ca="1">SUMIF('25년12월'!$F$1:$I$764,CSR!E80,'25년12월'!I:I)</f>
        <v>0</v>
      </c>
      <c r="S80" s="50">
        <f ca="1">SUMIF('26년01월'!$F$1:$I$741,CSR!E80,'26년01월'!I:I)</f>
        <v>0.26315789473684209</v>
      </c>
      <c r="T80" s="50">
        <f ca="1">SUMIF('26년02월'!$F$1:$I$734,CSR!E80,'26년02월'!I:I)</f>
        <v>0.36842105263157893</v>
      </c>
      <c r="U80" s="50">
        <f ca="1">SUMIF('26년03월'!$F$1:$I$738,CSR!E80,'26년03월'!I:I)</f>
        <v>0.42105263157894735</v>
      </c>
      <c r="V80" s="50">
        <f ca="1">SUMIF('26년04월'!$F$1:$I$741,CSR!E80,'26년04월'!I:I)</f>
        <v>5.2631578947368418E-2</v>
      </c>
      <c r="W80" s="50">
        <f ca="1">SUMIF('26년05월'!$F$1:$I$744,CSR!E80,'26년05월'!I:I)</f>
        <v>0.57894736842105265</v>
      </c>
      <c r="X80" s="51"/>
      <c r="Y80" s="51"/>
      <c r="Z80" s="51"/>
      <c r="AA80" s="51"/>
      <c r="AB80" s="52"/>
      <c r="AC80" s="170"/>
    </row>
    <row r="81" spans="2:29" s="53" customFormat="1" ht="15" customHeight="1">
      <c r="B81" s="157"/>
      <c r="C81" s="158" t="s">
        <v>728</v>
      </c>
      <c r="D81" s="112"/>
      <c r="E81" s="160"/>
      <c r="F81" s="42"/>
      <c r="G81" s="42"/>
      <c r="H81" s="43"/>
      <c r="I81" s="44"/>
      <c r="J81" s="164"/>
      <c r="K81" s="165"/>
      <c r="L81" s="162"/>
      <c r="M81" s="166"/>
      <c r="N81" s="167"/>
      <c r="O81" s="171">
        <f t="shared" ref="O81:AB81" si="6">SUM(O68:O80)</f>
        <v>25</v>
      </c>
      <c r="P81" s="126">
        <f t="shared" ca="1" si="6"/>
        <v>14.115789473684211</v>
      </c>
      <c r="Q81" s="125">
        <f t="shared" ca="1" si="6"/>
        <v>2.1842105263157894</v>
      </c>
      <c r="R81" s="127">
        <f t="shared" ca="1" si="6"/>
        <v>2.2105263157894739</v>
      </c>
      <c r="S81" s="127">
        <f t="shared" ca="1" si="6"/>
        <v>3.5</v>
      </c>
      <c r="T81" s="127">
        <f t="shared" ca="1" si="6"/>
        <v>1.263157894736842</v>
      </c>
      <c r="U81" s="127">
        <f t="shared" ca="1" si="6"/>
        <v>2</v>
      </c>
      <c r="V81" s="127">
        <f t="shared" ca="1" si="6"/>
        <v>0.98421052631578942</v>
      </c>
      <c r="W81" s="127">
        <f t="shared" ca="1" si="6"/>
        <v>1.9736842105263157</v>
      </c>
      <c r="X81" s="127">
        <f t="shared" si="6"/>
        <v>0</v>
      </c>
      <c r="Y81" s="127">
        <f t="shared" si="6"/>
        <v>0</v>
      </c>
      <c r="Z81" s="127">
        <f t="shared" si="6"/>
        <v>0</v>
      </c>
      <c r="AA81" s="127">
        <f t="shared" si="6"/>
        <v>0</v>
      </c>
      <c r="AB81" s="128">
        <f t="shared" si="6"/>
        <v>0</v>
      </c>
      <c r="AC81" s="129"/>
    </row>
    <row r="82" spans="2:29" s="53" customFormat="1" ht="15" customHeight="1">
      <c r="B82" s="39" t="s">
        <v>758</v>
      </c>
      <c r="C82" s="40" t="s">
        <v>759</v>
      </c>
      <c r="D82" s="172" t="s">
        <v>760</v>
      </c>
      <c r="E82" s="133" t="s">
        <v>761</v>
      </c>
      <c r="F82" s="134"/>
      <c r="G82" s="134"/>
      <c r="H82" s="135" t="s">
        <v>619</v>
      </c>
      <c r="I82" s="136"/>
      <c r="J82" s="45"/>
      <c r="K82" s="71" t="s">
        <v>621</v>
      </c>
      <c r="L82" s="43" t="s">
        <v>573</v>
      </c>
      <c r="M82" s="46"/>
      <c r="N82" s="46"/>
      <c r="O82" s="173">
        <v>3</v>
      </c>
      <c r="P82" s="48">
        <f t="shared" ref="P82:P91" ca="1" si="7">SUM(Q82:AB82)</f>
        <v>3.7526315789473679</v>
      </c>
      <c r="Q82" s="49">
        <f ca="1">SUMIF('25년11월'!$F$1:$I$792,CSR!E82,'25년11월'!I:I)</f>
        <v>0.99999999999999989</v>
      </c>
      <c r="R82" s="50">
        <f ca="1">SUMIF('25년12월'!$F$1:$I$764,CSR!E82,'25년12월'!I:I)</f>
        <v>0.36842105263157893</v>
      </c>
      <c r="S82" s="50">
        <f ca="1">SUMIF('26년01월'!$F$1:$I$741,CSR!E82,'26년01월'!I:I)</f>
        <v>0.31578947368421051</v>
      </c>
      <c r="T82" s="50">
        <f ca="1">SUMIF('26년02월'!$F$1:$I$734,CSR!E82,'26년02월'!I:I)</f>
        <v>0.65789473684210531</v>
      </c>
      <c r="U82" s="50">
        <f ca="1">SUMIF('26년03월'!$F$1:$I$738,CSR!E82,'26년03월'!I:I)</f>
        <v>0.33157894736842103</v>
      </c>
      <c r="V82" s="50">
        <f ca="1">SUMIF('26년04월'!$F$1:$I$741,CSR!E82,'26년04월'!I:I)</f>
        <v>0.63157894736842102</v>
      </c>
      <c r="W82" s="50">
        <f ca="1">SUMIF('26년05월'!$F$1:$I$744,CSR!E82,'26년05월'!I:I)</f>
        <v>0.44736842105263158</v>
      </c>
      <c r="X82" s="51"/>
      <c r="Y82" s="51"/>
      <c r="Z82" s="51"/>
      <c r="AA82" s="51"/>
      <c r="AB82" s="52"/>
      <c r="AC82" s="139"/>
    </row>
    <row r="83" spans="2:29" s="42" customFormat="1" ht="15" customHeight="1">
      <c r="B83" s="39"/>
      <c r="C83" s="40"/>
      <c r="D83" s="54" t="s">
        <v>762</v>
      </c>
      <c r="E83" s="41" t="s">
        <v>763</v>
      </c>
      <c r="H83" s="43" t="s">
        <v>619</v>
      </c>
      <c r="I83" s="44"/>
      <c r="J83" s="45"/>
      <c r="K83" s="71" t="s">
        <v>621</v>
      </c>
      <c r="L83" s="43" t="s">
        <v>573</v>
      </c>
      <c r="M83" s="46"/>
      <c r="N83" s="46"/>
      <c r="O83" s="47">
        <v>3</v>
      </c>
      <c r="P83" s="48">
        <f t="shared" ca="1" si="7"/>
        <v>0.85789473684210527</v>
      </c>
      <c r="Q83" s="49">
        <f ca="1">SUMIF('25년11월'!$F$1:$I$792,CSR!E83,'25년11월'!I:I)</f>
        <v>6.8421052631578938E-2</v>
      </c>
      <c r="R83" s="50">
        <f ca="1">SUMIF('25년12월'!$F$1:$I$764,CSR!E83,'25년12월'!I:I)</f>
        <v>7.8947368421052627E-2</v>
      </c>
      <c r="S83" s="50">
        <f ca="1">SUMIF('26년01월'!$F$1:$I$741,CSR!E83,'26년01월'!I:I)</f>
        <v>0.28947368421052633</v>
      </c>
      <c r="T83" s="50">
        <f ca="1">SUMIF('26년02월'!$F$1:$I$734,CSR!E83,'26년02월'!I:I)</f>
        <v>0.18421052631578946</v>
      </c>
      <c r="U83" s="50">
        <f ca="1">SUMIF('26년03월'!$F$1:$I$738,CSR!E83,'26년03월'!I:I)</f>
        <v>7.8947368421052627E-2</v>
      </c>
      <c r="V83" s="50">
        <f ca="1">SUMIF('26년04월'!$F$1:$I$741,CSR!E83,'26년04월'!I:I)</f>
        <v>0.10526315789473684</v>
      </c>
      <c r="W83" s="50">
        <f ca="1">SUMIF('26년05월'!$F$1:$I$744,CSR!E83,'26년05월'!I:I)</f>
        <v>5.2631578947368418E-2</v>
      </c>
      <c r="X83" s="51"/>
      <c r="Y83" s="51"/>
      <c r="Z83" s="51"/>
      <c r="AA83" s="51"/>
      <c r="AB83" s="52"/>
      <c r="AC83" s="51"/>
    </row>
    <row r="84" spans="2:29" s="42" customFormat="1" ht="15" customHeight="1">
      <c r="B84" s="39"/>
      <c r="C84" s="40"/>
      <c r="D84" s="54" t="s">
        <v>764</v>
      </c>
      <c r="E84" s="41" t="s">
        <v>765</v>
      </c>
      <c r="H84" s="43" t="s">
        <v>619</v>
      </c>
      <c r="I84" s="44"/>
      <c r="J84" s="45"/>
      <c r="K84" s="71" t="s">
        <v>621</v>
      </c>
      <c r="L84" s="43" t="s">
        <v>573</v>
      </c>
      <c r="M84" s="46"/>
      <c r="N84" s="46"/>
      <c r="O84" s="47">
        <v>5</v>
      </c>
      <c r="P84" s="48">
        <f t="shared" ca="1" si="7"/>
        <v>8.557894736842103</v>
      </c>
      <c r="Q84" s="49">
        <f ca="1">SUMIF('25년11월'!$F$1:$I$792,CSR!E84,'25년11월'!I:I)</f>
        <v>0.78947368421052633</v>
      </c>
      <c r="R84" s="50">
        <f ca="1">SUMIF('25년12월'!$F$1:$I$764,CSR!E84,'25년12월'!I:I)</f>
        <v>2.1842105263157894</v>
      </c>
      <c r="S84" s="50">
        <f ca="1">SUMIF('26년01월'!$F$1:$I$741,CSR!E84,'26년01월'!I:I)</f>
        <v>0.39473684210526316</v>
      </c>
      <c r="T84" s="50">
        <f ca="1">SUMIF('26년02월'!$F$1:$I$734,CSR!E84,'26년02월'!I:I)</f>
        <v>1.1842105263157889</v>
      </c>
      <c r="U84" s="50">
        <f ca="1">SUMIF('26년03월'!$F$1:$I$738,CSR!E84,'26년03월'!I:I)</f>
        <v>1.1052631578947367</v>
      </c>
      <c r="V84" s="50">
        <f ca="1">SUMIF('26년04월'!$F$1:$I$741,CSR!E84,'26년04월'!I:I)</f>
        <v>1.7263157894736834</v>
      </c>
      <c r="W84" s="50">
        <f ca="1">SUMIF('26년05월'!$F$1:$I$744,CSR!E84,'26년05월'!I:I)</f>
        <v>1.1736842105263157</v>
      </c>
      <c r="X84" s="51"/>
      <c r="Y84" s="51"/>
      <c r="Z84" s="51"/>
      <c r="AA84" s="51"/>
      <c r="AB84" s="52"/>
      <c r="AC84" s="51"/>
    </row>
    <row r="85" spans="2:29" s="42" customFormat="1" ht="15" customHeight="1">
      <c r="B85" s="39"/>
      <c r="C85" s="40"/>
      <c r="D85" s="54" t="s">
        <v>766</v>
      </c>
      <c r="E85" s="41" t="s">
        <v>99</v>
      </c>
      <c r="H85" s="43" t="s">
        <v>619</v>
      </c>
      <c r="I85" s="44"/>
      <c r="J85" s="45"/>
      <c r="K85" s="71" t="s">
        <v>621</v>
      </c>
      <c r="L85" s="43" t="s">
        <v>573</v>
      </c>
      <c r="M85" s="46"/>
      <c r="N85" s="46"/>
      <c r="O85" s="47">
        <v>5</v>
      </c>
      <c r="P85" s="48">
        <f t="shared" ca="1" si="7"/>
        <v>2.1157894736842104</v>
      </c>
      <c r="Q85" s="49">
        <f ca="1">SUMIF('25년11월'!$F$1:$I$792,CSR!E85,'25년11월'!I:I)</f>
        <v>0.32631578947368417</v>
      </c>
      <c r="R85" s="50">
        <f ca="1">SUMIF('25년12월'!$F$1:$I$764,CSR!E85,'25년12월'!I:I)</f>
        <v>0.31578947368421051</v>
      </c>
      <c r="S85" s="50">
        <f ca="1">SUMIF('26년01월'!$F$1:$I$741,CSR!E85,'26년01월'!I:I)</f>
        <v>0.36842105263157893</v>
      </c>
      <c r="T85" s="50">
        <f ca="1">SUMIF('26년02월'!$F$1:$I$734,CSR!E85,'26년02월'!I:I)</f>
        <v>0.42105263157894735</v>
      </c>
      <c r="U85" s="50">
        <f ca="1">SUMIF('26년03월'!$F$1:$I$738,CSR!E85,'26년03월'!I:I)</f>
        <v>5.2631578947368418E-2</v>
      </c>
      <c r="V85" s="50">
        <f ca="1">SUMIF('26년04월'!$F$1:$I$741,CSR!E85,'26년04월'!I:I)</f>
        <v>0.31578947368421051</v>
      </c>
      <c r="W85" s="50">
        <f ca="1">SUMIF('26년05월'!$F$1:$I$744,CSR!E85,'26년05월'!I:I)</f>
        <v>0.31578947368421051</v>
      </c>
      <c r="X85" s="51"/>
      <c r="Y85" s="51"/>
      <c r="Z85" s="51"/>
      <c r="AA85" s="51"/>
      <c r="AB85" s="52"/>
      <c r="AC85" s="51"/>
    </row>
    <row r="86" spans="2:29" s="42" customFormat="1" ht="15" customHeight="1">
      <c r="B86" s="39"/>
      <c r="C86" s="40"/>
      <c r="D86" s="54" t="s">
        <v>208</v>
      </c>
      <c r="E86" s="41" t="s">
        <v>210</v>
      </c>
      <c r="H86" s="43" t="s">
        <v>619</v>
      </c>
      <c r="I86" s="44"/>
      <c r="J86" s="45"/>
      <c r="K86" s="71" t="s">
        <v>621</v>
      </c>
      <c r="L86" s="43" t="s">
        <v>573</v>
      </c>
      <c r="M86" s="46"/>
      <c r="N86" s="46"/>
      <c r="O86" s="47">
        <v>2</v>
      </c>
      <c r="P86" s="48">
        <f t="shared" ca="1" si="7"/>
        <v>0.40526315789473683</v>
      </c>
      <c r="Q86" s="49">
        <f ca="1">SUMIF('25년11월'!$F$1:$I$792,CSR!E86,'25년11월'!I:I)</f>
        <v>0</v>
      </c>
      <c r="R86" s="50">
        <f ca="1">SUMIF('25년12월'!$F$1:$I$764,CSR!E86,'25년12월'!I:I)</f>
        <v>0</v>
      </c>
      <c r="S86" s="50">
        <f ca="1">SUMIF('26년01월'!$F$1:$I$741,CSR!E86,'26년01월'!I:I)</f>
        <v>0</v>
      </c>
      <c r="T86" s="50">
        <f ca="1">SUMIF('26년02월'!$F$1:$I$734,CSR!E86,'26년02월'!I:I)</f>
        <v>0</v>
      </c>
      <c r="U86" s="50">
        <f ca="1">SUMIF('26년03월'!$F$1:$I$738,CSR!E86,'26년03월'!I:I)</f>
        <v>0</v>
      </c>
      <c r="V86" s="50">
        <f ca="1">SUMIF('26년04월'!$F$1:$I$741,CSR!E86,'26년04월'!I:I)</f>
        <v>0.26315789473684209</v>
      </c>
      <c r="W86" s="50">
        <f ca="1">SUMIF('26년05월'!$F$1:$I$744,CSR!E86,'26년05월'!I:I)</f>
        <v>0.14210526315789473</v>
      </c>
      <c r="X86" s="51"/>
      <c r="Y86" s="51"/>
      <c r="Z86" s="51"/>
      <c r="AA86" s="51"/>
      <c r="AB86" s="52"/>
      <c r="AC86" s="51"/>
    </row>
    <row r="87" spans="2:29" s="42" customFormat="1" ht="15" customHeight="1">
      <c r="B87" s="39"/>
      <c r="C87" s="40"/>
      <c r="D87" s="54" t="s">
        <v>767</v>
      </c>
      <c r="E87" s="41" t="s">
        <v>768</v>
      </c>
      <c r="H87" s="43" t="s">
        <v>619</v>
      </c>
      <c r="I87" s="44"/>
      <c r="J87" s="45"/>
      <c r="K87" s="71" t="s">
        <v>621</v>
      </c>
      <c r="L87" s="43" t="s">
        <v>573</v>
      </c>
      <c r="M87" s="46"/>
      <c r="N87" s="46"/>
      <c r="O87" s="47">
        <v>2</v>
      </c>
      <c r="P87" s="48">
        <f t="shared" ca="1" si="7"/>
        <v>5.2631578947368418E-2</v>
      </c>
      <c r="Q87" s="49">
        <f ca="1">SUMIF('25년11월'!$F$1:$I$792,CSR!E87,'25년11월'!I:I)</f>
        <v>0</v>
      </c>
      <c r="R87" s="50">
        <f ca="1">SUMIF('25년12월'!$F$1:$I$764,CSR!E87,'25년12월'!I:I)</f>
        <v>0</v>
      </c>
      <c r="S87" s="50">
        <f ca="1">SUMIF('26년01월'!$F$1:$I$741,CSR!E87,'26년01월'!I:I)</f>
        <v>0</v>
      </c>
      <c r="T87" s="50">
        <f ca="1">SUMIF('26년02월'!$F$1:$I$734,CSR!E87,'26년02월'!I:I)</f>
        <v>0</v>
      </c>
      <c r="U87" s="50">
        <f ca="1">SUMIF('26년03월'!$F$1:$I$738,CSR!E87,'26년03월'!I:I)</f>
        <v>5.2631578947368418E-2</v>
      </c>
      <c r="V87" s="50">
        <f ca="1">SUMIF('26년04월'!$F$1:$I$741,CSR!E87,'26년04월'!I:I)</f>
        <v>0</v>
      </c>
      <c r="W87" s="50">
        <f ca="1">SUMIF('26년05월'!$F$1:$I$744,CSR!E87,'26년05월'!I:I)</f>
        <v>0</v>
      </c>
      <c r="X87" s="51"/>
      <c r="Y87" s="51"/>
      <c r="Z87" s="51"/>
      <c r="AA87" s="51"/>
      <c r="AB87" s="52"/>
      <c r="AC87" s="51"/>
    </row>
    <row r="88" spans="2:29" s="42" customFormat="1" ht="15" customHeight="1">
      <c r="B88" s="39"/>
      <c r="C88" s="40"/>
      <c r="D88" s="54" t="s">
        <v>157</v>
      </c>
      <c r="E88" s="41" t="s">
        <v>159</v>
      </c>
      <c r="H88" s="43" t="s">
        <v>619</v>
      </c>
      <c r="I88" s="44"/>
      <c r="J88" s="45"/>
      <c r="K88" s="71" t="s">
        <v>621</v>
      </c>
      <c r="L88" s="43" t="s">
        <v>573</v>
      </c>
      <c r="M88" s="46"/>
      <c r="N88" s="46"/>
      <c r="O88" s="47">
        <v>15</v>
      </c>
      <c r="P88" s="48">
        <f t="shared" ca="1" si="7"/>
        <v>15.221052631578948</v>
      </c>
      <c r="Q88" s="49">
        <f ca="1">SUMIF('25년11월'!$F$1:$I$792,CSR!E88,'25년11월'!I:I)</f>
        <v>2.263157894736842</v>
      </c>
      <c r="R88" s="50">
        <f ca="1">SUMIF('25년12월'!$F$1:$I$764,CSR!E88,'25년12월'!I:I)</f>
        <v>2.263157894736842</v>
      </c>
      <c r="S88" s="50">
        <f ca="1">SUMIF('26년01월'!$F$1:$I$741,CSR!E88,'26년01월'!I:I)</f>
        <v>2.263157894736842</v>
      </c>
      <c r="T88" s="50">
        <f ca="1">SUMIF('26년02월'!$F$1:$I$734,CSR!E88,'26년02월'!I:I)</f>
        <v>2.263157894736842</v>
      </c>
      <c r="U88" s="50">
        <f ca="1">SUMIF('26년03월'!$F$1:$I$738,CSR!E88,'26년03월'!I:I)</f>
        <v>2.263157894736842</v>
      </c>
      <c r="V88" s="50">
        <f ca="1">SUMIF('26년04월'!$F$1:$I$741,CSR!E88,'26년04월'!I:I)</f>
        <v>2.1000000000000005</v>
      </c>
      <c r="W88" s="50">
        <f ca="1">SUMIF('26년05월'!$F$1:$I$744,CSR!E88,'26년05월'!I:I)</f>
        <v>1.8052631578947371</v>
      </c>
      <c r="X88" s="51"/>
      <c r="Y88" s="51"/>
      <c r="Z88" s="51"/>
      <c r="AA88" s="51"/>
      <c r="AB88" s="52"/>
      <c r="AC88" s="51"/>
    </row>
    <row r="89" spans="2:29" s="42" customFormat="1" ht="15" customHeight="1">
      <c r="B89" s="39"/>
      <c r="C89" s="40" t="s">
        <v>769</v>
      </c>
      <c r="D89" s="112" t="s">
        <v>770</v>
      </c>
      <c r="E89" s="41" t="s">
        <v>771</v>
      </c>
      <c r="H89" s="43" t="s">
        <v>619</v>
      </c>
      <c r="I89" s="44"/>
      <c r="J89" s="45"/>
      <c r="K89" s="71" t="s">
        <v>621</v>
      </c>
      <c r="L89" s="43" t="s">
        <v>573</v>
      </c>
      <c r="M89" s="46"/>
      <c r="N89" s="46"/>
      <c r="O89" s="47">
        <v>3</v>
      </c>
      <c r="P89" s="48">
        <f t="shared" ca="1" si="7"/>
        <v>2.8947368421052633</v>
      </c>
      <c r="Q89" s="49">
        <f ca="1">SUMIF('25년11월'!$F$1:$I$792,CSR!E89,'25년11월'!I:I)</f>
        <v>0.36842105263157893</v>
      </c>
      <c r="R89" s="50">
        <f ca="1">SUMIF('25년12월'!$F$1:$I$764,CSR!E89,'25년12월'!I:I)</f>
        <v>0.15789473684210525</v>
      </c>
      <c r="S89" s="50">
        <f ca="1">SUMIF('26년01월'!$F$1:$I$741,CSR!E89,'26년01월'!I:I)</f>
        <v>0</v>
      </c>
      <c r="T89" s="50">
        <f ca="1">SUMIF('26년02월'!$F$1:$I$734,CSR!E89,'26년02월'!I:I)</f>
        <v>0.26315789473684209</v>
      </c>
      <c r="U89" s="50">
        <f ca="1">SUMIF('26년03월'!$F$1:$I$738,CSR!E89,'26년03월'!I:I)</f>
        <v>1.1052631578947369</v>
      </c>
      <c r="V89" s="50">
        <f ca="1">SUMIF('26년04월'!$F$1:$I$741,CSR!E89,'26년04월'!I:I)</f>
        <v>0.68421052631578949</v>
      </c>
      <c r="W89" s="50">
        <f ca="1">SUMIF('26년05월'!$F$1:$I$744,CSR!E89,'26년05월'!I:I)</f>
        <v>0.31578947368421051</v>
      </c>
      <c r="X89" s="51"/>
      <c r="Y89" s="51"/>
      <c r="Z89" s="51"/>
      <c r="AA89" s="51"/>
      <c r="AB89" s="52"/>
      <c r="AC89" s="51"/>
    </row>
    <row r="90" spans="2:29" s="42" customFormat="1" ht="15" customHeight="1">
      <c r="B90" s="39"/>
      <c r="C90" s="40"/>
      <c r="D90" s="112" t="s">
        <v>772</v>
      </c>
      <c r="E90" s="41" t="s">
        <v>339</v>
      </c>
      <c r="H90" s="43" t="s">
        <v>619</v>
      </c>
      <c r="I90" s="44"/>
      <c r="J90" s="45"/>
      <c r="K90" s="71" t="s">
        <v>621</v>
      </c>
      <c r="L90" s="43" t="s">
        <v>573</v>
      </c>
      <c r="M90" s="46"/>
      <c r="N90" s="46"/>
      <c r="O90" s="47">
        <v>3</v>
      </c>
      <c r="P90" s="48">
        <f t="shared" ca="1" si="7"/>
        <v>2.6315789473684208</v>
      </c>
      <c r="Q90" s="49">
        <f ca="1">SUMIF('25년11월'!$F$1:$I$792,CSR!E90,'25년11월'!I:I)</f>
        <v>0.42105263157894735</v>
      </c>
      <c r="R90" s="50">
        <f ca="1">SUMIF('25년12월'!$F$1:$I$764,CSR!E90,'25년12월'!I:I)</f>
        <v>0.26315789473684209</v>
      </c>
      <c r="S90" s="50">
        <f ca="1">SUMIF('26년01월'!$F$1:$I$741,CSR!E90,'26년01월'!I:I)</f>
        <v>5.2631578947368418E-2</v>
      </c>
      <c r="T90" s="50">
        <f ca="1">SUMIF('26년02월'!$F$1:$I$734,CSR!E90,'26년02월'!I:I)</f>
        <v>0.31578947368421051</v>
      </c>
      <c r="U90" s="50">
        <f ca="1">SUMIF('26년03월'!$F$1:$I$738,CSR!E90,'26년03월'!I:I)</f>
        <v>5.2631578947368418E-2</v>
      </c>
      <c r="V90" s="50">
        <f ca="1">SUMIF('26년04월'!$F$1:$I$741,CSR!E90,'26년04월'!I:I)</f>
        <v>0.52631578947368418</v>
      </c>
      <c r="W90" s="50">
        <f ca="1">SUMIF('26년05월'!$F$1:$I$744,CSR!E90,'26년05월'!I:I)</f>
        <v>1</v>
      </c>
      <c r="X90" s="51"/>
      <c r="Y90" s="51"/>
      <c r="Z90" s="51"/>
      <c r="AA90" s="51"/>
      <c r="AB90" s="52"/>
      <c r="AC90" s="51"/>
    </row>
    <row r="91" spans="2:29" s="42" customFormat="1" ht="15" customHeight="1">
      <c r="B91" s="39"/>
      <c r="C91" s="40"/>
      <c r="D91" s="174" t="s">
        <v>773</v>
      </c>
      <c r="E91" s="160" t="s">
        <v>774</v>
      </c>
      <c r="F91" s="161"/>
      <c r="G91" s="161"/>
      <c r="H91" s="162" t="s">
        <v>619</v>
      </c>
      <c r="I91" s="163"/>
      <c r="J91" s="164" t="s">
        <v>624</v>
      </c>
      <c r="K91" s="165" t="s">
        <v>621</v>
      </c>
      <c r="L91" s="162"/>
      <c r="M91" s="166"/>
      <c r="N91" s="166"/>
      <c r="O91" s="168"/>
      <c r="P91" s="175">
        <f t="shared" ca="1" si="7"/>
        <v>0.10526315789473684</v>
      </c>
      <c r="Q91" s="49"/>
      <c r="R91" s="50"/>
      <c r="S91" s="50"/>
      <c r="T91" s="50"/>
      <c r="U91" s="50">
        <f ca="1">SUMIF('26년03월'!$F$1:$I$738,CSR!E91,'26년03월'!I:I)</f>
        <v>0.10526315789473684</v>
      </c>
      <c r="V91" s="50">
        <f ca="1">SUMIF('26년04월'!$F$1:$I$741,CSR!E91,'26년04월'!I:I)</f>
        <v>0</v>
      </c>
      <c r="W91" s="50">
        <f ca="1">SUMIF('26년05월'!$F$1:$I$744,CSR!E91,'26년05월'!I:I)</f>
        <v>0</v>
      </c>
      <c r="X91" s="51"/>
      <c r="Y91" s="51"/>
      <c r="Z91" s="51"/>
      <c r="AA91" s="51"/>
      <c r="AB91" s="52"/>
      <c r="AC91" s="51"/>
    </row>
    <row r="92" spans="2:29" s="53" customFormat="1" ht="15" customHeight="1">
      <c r="B92" s="114"/>
      <c r="C92" s="115" t="s">
        <v>728</v>
      </c>
      <c r="D92" s="176"/>
      <c r="E92" s="160"/>
      <c r="F92" s="161"/>
      <c r="G92" s="161"/>
      <c r="H92" s="162"/>
      <c r="I92" s="163"/>
      <c r="J92" s="164"/>
      <c r="K92" s="165"/>
      <c r="L92" s="162"/>
      <c r="M92" s="166"/>
      <c r="N92" s="167"/>
      <c r="O92" s="171">
        <f t="shared" ref="O92:AB92" si="8">SUM(O82:O91)</f>
        <v>41</v>
      </c>
      <c r="P92" s="177">
        <f t="shared" ca="1" si="8"/>
        <v>36.594736842105256</v>
      </c>
      <c r="Q92" s="125">
        <f t="shared" ca="1" si="8"/>
        <v>5.2368421052631575</v>
      </c>
      <c r="R92" s="127">
        <f t="shared" ca="1" si="8"/>
        <v>5.6315789473684212</v>
      </c>
      <c r="S92" s="127">
        <f t="shared" ca="1" si="8"/>
        <v>3.6842105263157898</v>
      </c>
      <c r="T92" s="127">
        <f t="shared" ca="1" si="8"/>
        <v>5.2894736842105257</v>
      </c>
      <c r="U92" s="127">
        <f t="shared" ca="1" si="8"/>
        <v>5.1473684210526311</v>
      </c>
      <c r="V92" s="127">
        <f t="shared" ca="1" si="8"/>
        <v>6.352631578947368</v>
      </c>
      <c r="W92" s="127">
        <f t="shared" ca="1" si="8"/>
        <v>5.2526315789473692</v>
      </c>
      <c r="X92" s="127">
        <f t="shared" si="8"/>
        <v>0</v>
      </c>
      <c r="Y92" s="127">
        <f t="shared" si="8"/>
        <v>0</v>
      </c>
      <c r="Z92" s="127">
        <f t="shared" si="8"/>
        <v>0</v>
      </c>
      <c r="AA92" s="127">
        <f t="shared" si="8"/>
        <v>0</v>
      </c>
      <c r="AB92" s="128">
        <f t="shared" si="8"/>
        <v>0</v>
      </c>
      <c r="AC92" s="129"/>
    </row>
    <row r="93" spans="2:29" s="53" customFormat="1" ht="15" customHeight="1">
      <c r="B93" s="39" t="s">
        <v>775</v>
      </c>
      <c r="C93" s="40" t="s">
        <v>776</v>
      </c>
      <c r="D93" s="112" t="s">
        <v>230</v>
      </c>
      <c r="E93" s="41" t="s">
        <v>777</v>
      </c>
      <c r="F93" s="42"/>
      <c r="G93" s="42"/>
      <c r="H93" s="43" t="s">
        <v>619</v>
      </c>
      <c r="I93" s="44"/>
      <c r="J93" s="45" t="s">
        <v>624</v>
      </c>
      <c r="K93" s="71" t="s">
        <v>621</v>
      </c>
      <c r="L93" s="43" t="s">
        <v>573</v>
      </c>
      <c r="M93" s="46"/>
      <c r="N93" s="46"/>
      <c r="O93" s="173">
        <v>3</v>
      </c>
      <c r="P93" s="48">
        <f t="shared" ref="P93:P110" ca="1" si="9">SUM(Q93:AB93)</f>
        <v>5.7894736842105263E-2</v>
      </c>
      <c r="Q93" s="49">
        <f ca="1">SUMIF('25년11월'!$F$1:$I$792,CSR!E93,'25년11월'!I:I)</f>
        <v>0</v>
      </c>
      <c r="R93" s="50">
        <f ca="1">SUMIF('25년12월'!$F$1:$I$764,CSR!E93,'25년12월'!I:I)</f>
        <v>0</v>
      </c>
      <c r="S93" s="50">
        <f ca="1">SUMIF('26년01월'!$F$1:$I$741,CSR!E93,'26년01월'!I:I)</f>
        <v>0</v>
      </c>
      <c r="T93" s="50">
        <f ca="1">SUMIF('26년02월'!$F$1:$I$734,CSR!E93,'26년02월'!I:I)</f>
        <v>2.6315789473684209E-2</v>
      </c>
      <c r="U93" s="50">
        <f ca="1">SUMIF('26년03월'!$F$1:$I$738,CSR!E93,'26년03월'!I:I)</f>
        <v>1.0526315789473684E-2</v>
      </c>
      <c r="V93" s="50">
        <f ca="1">SUMIF('26년04월'!$F$1:$I$741,CSR!E93,'26년04월'!I:I)</f>
        <v>5.263157894736842E-3</v>
      </c>
      <c r="W93" s="50">
        <f ca="1">SUMIF('26년05월'!$F$1:$I$744,CSR!E93,'26년05월'!I:I)</f>
        <v>1.5789473684210527E-2</v>
      </c>
      <c r="X93" s="51"/>
      <c r="Y93" s="51"/>
      <c r="Z93" s="51"/>
      <c r="AA93" s="51"/>
      <c r="AB93" s="52"/>
      <c r="AC93" s="51"/>
    </row>
    <row r="94" spans="2:29" s="53" customFormat="1" ht="15" customHeight="1">
      <c r="B94" s="39"/>
      <c r="C94" s="40"/>
      <c r="D94" s="112" t="s">
        <v>778</v>
      </c>
      <c r="E94" s="41" t="s">
        <v>779</v>
      </c>
      <c r="F94" s="42"/>
      <c r="G94" s="42"/>
      <c r="H94" s="43" t="s">
        <v>619</v>
      </c>
      <c r="I94" s="44"/>
      <c r="J94" s="45" t="s">
        <v>624</v>
      </c>
      <c r="K94" s="71" t="s">
        <v>621</v>
      </c>
      <c r="L94" s="43" t="s">
        <v>573</v>
      </c>
      <c r="M94" s="46"/>
      <c r="N94" s="46"/>
      <c r="O94" s="47">
        <v>3</v>
      </c>
      <c r="P94" s="48">
        <f t="shared" ca="1" si="9"/>
        <v>0</v>
      </c>
      <c r="Q94" s="49">
        <f ca="1">SUMIF('25년11월'!$F$1:$I$792,CSR!E94,'25년11월'!I:I)</f>
        <v>0</v>
      </c>
      <c r="R94" s="50">
        <f ca="1">SUMIF('25년12월'!$F$1:$I$764,CSR!E94,'25년12월'!I:I)</f>
        <v>0</v>
      </c>
      <c r="S94" s="50">
        <f ca="1">SUMIF('26년01월'!$F$1:$I$741,CSR!E94,'26년01월'!I:I)</f>
        <v>0</v>
      </c>
      <c r="T94" s="50">
        <f ca="1">SUMIF('26년02월'!$F$1:$I$734,CSR!E94,'26년02월'!I:I)</f>
        <v>0</v>
      </c>
      <c r="U94" s="50">
        <f ca="1">SUMIF('26년03월'!$F$1:$I$738,CSR!E94,'26년03월'!I:I)</f>
        <v>0</v>
      </c>
      <c r="V94" s="50">
        <f ca="1">SUMIF('26년04월'!$F$1:$I$741,CSR!E94,'26년04월'!I:I)</f>
        <v>0</v>
      </c>
      <c r="W94" s="50">
        <f ca="1">SUMIF('26년05월'!$F$1:$I$744,CSR!E94,'26년05월'!I:I)</f>
        <v>0</v>
      </c>
      <c r="X94" s="51"/>
      <c r="Y94" s="51"/>
      <c r="Z94" s="51"/>
      <c r="AA94" s="51"/>
      <c r="AB94" s="52"/>
      <c r="AC94" s="51"/>
    </row>
    <row r="95" spans="2:29" s="53" customFormat="1" ht="15" customHeight="1">
      <c r="B95" s="39"/>
      <c r="C95" s="40" t="s">
        <v>780</v>
      </c>
      <c r="D95" s="112" t="s">
        <v>781</v>
      </c>
      <c r="E95" s="41" t="s">
        <v>782</v>
      </c>
      <c r="F95" s="42"/>
      <c r="G95" s="42"/>
      <c r="H95" s="43" t="s">
        <v>619</v>
      </c>
      <c r="I95" s="44"/>
      <c r="J95" s="45" t="s">
        <v>783</v>
      </c>
      <c r="K95" s="71" t="s">
        <v>655</v>
      </c>
      <c r="L95" s="43" t="s">
        <v>573</v>
      </c>
      <c r="M95" s="46"/>
      <c r="N95" s="46"/>
      <c r="O95" s="47">
        <v>5</v>
      </c>
      <c r="P95" s="48">
        <f t="shared" ca="1" si="9"/>
        <v>0</v>
      </c>
      <c r="Q95" s="49">
        <f ca="1">SUMIF('25년11월'!$F$1:$I$792,CSR!E95,'25년11월'!I:I)</f>
        <v>0</v>
      </c>
      <c r="R95" s="50">
        <f ca="1">SUMIF('25년12월'!$F$1:$I$764,CSR!E95,'25년12월'!I:I)</f>
        <v>0</v>
      </c>
      <c r="S95" s="50">
        <f ca="1">SUMIF('26년01월'!$F$1:$I$741,CSR!E95,'26년01월'!I:I)</f>
        <v>0</v>
      </c>
      <c r="T95" s="50">
        <f ca="1">SUMIF('26년02월'!$F$1:$I$734,CSR!E95,'26년02월'!I:I)</f>
        <v>0</v>
      </c>
      <c r="U95" s="50">
        <f ca="1">SUMIF('26년03월'!$F$1:$I$738,CSR!E95,'26년03월'!I:I)</f>
        <v>0</v>
      </c>
      <c r="V95" s="50">
        <f ca="1">SUMIF('26년04월'!$F$1:$I$741,CSR!E95,'26년04월'!I:I)</f>
        <v>0</v>
      </c>
      <c r="W95" s="50">
        <f ca="1">SUMIF('26년05월'!$F$1:$I$744,CSR!E95,'26년05월'!I:I)</f>
        <v>0</v>
      </c>
      <c r="X95" s="51"/>
      <c r="Y95" s="51"/>
      <c r="Z95" s="51"/>
      <c r="AA95" s="51"/>
      <c r="AB95" s="52"/>
      <c r="AC95" s="51"/>
    </row>
    <row r="96" spans="2:29" s="53" customFormat="1" ht="15" customHeight="1">
      <c r="B96" s="39"/>
      <c r="C96" s="40"/>
      <c r="D96" s="112" t="s">
        <v>784</v>
      </c>
      <c r="E96" s="41" t="s">
        <v>193</v>
      </c>
      <c r="F96" s="42"/>
      <c r="G96" s="42"/>
      <c r="H96" s="43" t="s">
        <v>619</v>
      </c>
      <c r="I96" s="44"/>
      <c r="J96" s="45" t="s">
        <v>673</v>
      </c>
      <c r="K96" s="71" t="s">
        <v>655</v>
      </c>
      <c r="L96" s="43" t="s">
        <v>573</v>
      </c>
      <c r="M96" s="46"/>
      <c r="N96" s="46"/>
      <c r="O96" s="47">
        <v>30</v>
      </c>
      <c r="P96" s="48">
        <f t="shared" ca="1" si="9"/>
        <v>3.2368421052631571</v>
      </c>
      <c r="Q96" s="49">
        <f ca="1">SUMIF('25년11월'!$F$1:$I$792,CSR!E96,'25년11월'!I:I)</f>
        <v>1.1052631578947367</v>
      </c>
      <c r="R96" s="50">
        <f ca="1">SUMIF('25년12월'!$F$1:$I$764,CSR!E96,'25년12월'!I:I)</f>
        <v>0</v>
      </c>
      <c r="S96" s="50">
        <f ca="1">SUMIF('26년01월'!$F$1:$I$741,CSR!E96,'26년01월'!I:I)</f>
        <v>1.6315789473684204</v>
      </c>
      <c r="T96" s="50">
        <f ca="1">SUMIF('26년02월'!$F$1:$I$734,CSR!E96,'26년02월'!I:I)</f>
        <v>0.10526315789473684</v>
      </c>
      <c r="U96" s="50">
        <f ca="1">SUMIF('26년03월'!$F$1:$I$738,CSR!E96,'26년03월'!I:I)</f>
        <v>0.10526315789473684</v>
      </c>
      <c r="V96" s="50">
        <f ca="1">SUMIF('26년04월'!$F$1:$I$741,CSR!E96,'26년04월'!I:I)</f>
        <v>0.15789473684210525</v>
      </c>
      <c r="W96" s="50">
        <f ca="1">SUMIF('26년05월'!$F$1:$I$744,CSR!E96,'26년05월'!I:I)</f>
        <v>0.13157894736842105</v>
      </c>
      <c r="X96" s="51"/>
      <c r="Y96" s="51"/>
      <c r="Z96" s="51"/>
      <c r="AA96" s="51"/>
      <c r="AB96" s="52"/>
      <c r="AC96" s="51"/>
    </row>
    <row r="97" spans="2:29" s="53" customFormat="1" ht="15" customHeight="1">
      <c r="B97" s="39"/>
      <c r="C97" s="40"/>
      <c r="D97" s="112" t="s">
        <v>785</v>
      </c>
      <c r="E97" s="41" t="s">
        <v>189</v>
      </c>
      <c r="F97" s="42"/>
      <c r="G97" s="42"/>
      <c r="H97" s="43" t="s">
        <v>619</v>
      </c>
      <c r="I97" s="44"/>
      <c r="J97" s="45" t="s">
        <v>624</v>
      </c>
      <c r="K97" s="71" t="s">
        <v>655</v>
      </c>
      <c r="L97" s="43" t="s">
        <v>573</v>
      </c>
      <c r="M97" s="46"/>
      <c r="N97" s="46"/>
      <c r="O97" s="47">
        <v>10</v>
      </c>
      <c r="P97" s="48">
        <f t="shared" ca="1" si="9"/>
        <v>3.3421052631578942</v>
      </c>
      <c r="Q97" s="49">
        <f ca="1">SUMIF('25년11월'!$F$1:$I$792,CSR!E97,'25년11월'!I:I)</f>
        <v>0.94736842105263164</v>
      </c>
      <c r="R97" s="50">
        <f ca="1">SUMIF('25년12월'!$F$1:$I$764,CSR!E97,'25년12월'!I:I)</f>
        <v>1.3157894736842104</v>
      </c>
      <c r="S97" s="50">
        <f ca="1">SUMIF('26년01월'!$F$1:$I$741,CSR!E97,'26년01월'!I:I)</f>
        <v>0.52631578947368418</v>
      </c>
      <c r="T97" s="50">
        <f ca="1">SUMIF('26년02월'!$F$1:$I$734,CSR!E97,'26년02월'!I:I)</f>
        <v>0.21052631578947367</v>
      </c>
      <c r="U97" s="50">
        <f ca="1">SUMIF('26년03월'!$F$1:$I$738,CSR!E97,'26년03월'!I:I)</f>
        <v>0.21052631578947367</v>
      </c>
      <c r="V97" s="50">
        <f ca="1">SUMIF('26년04월'!$F$1:$I$741,CSR!E97,'26년04월'!I:I)</f>
        <v>0.10526315789473684</v>
      </c>
      <c r="W97" s="50">
        <f ca="1">SUMIF('26년05월'!$F$1:$I$744,CSR!E97,'26년05월'!I:I)</f>
        <v>2.6315789473684209E-2</v>
      </c>
      <c r="X97" s="51"/>
      <c r="Y97" s="51"/>
      <c r="Z97" s="51"/>
      <c r="AA97" s="51"/>
      <c r="AB97" s="52"/>
      <c r="AC97" s="51"/>
    </row>
    <row r="98" spans="2:29" s="53" customFormat="1" ht="15" customHeight="1">
      <c r="B98" s="39"/>
      <c r="C98" s="40"/>
      <c r="D98" s="112" t="s">
        <v>786</v>
      </c>
      <c r="E98" s="41" t="s">
        <v>185</v>
      </c>
      <c r="F98" s="42"/>
      <c r="G98" s="42"/>
      <c r="H98" s="43" t="s">
        <v>619</v>
      </c>
      <c r="I98" s="44"/>
      <c r="J98" s="45" t="s">
        <v>787</v>
      </c>
      <c r="K98" s="71" t="s">
        <v>655</v>
      </c>
      <c r="L98" s="43" t="s">
        <v>573</v>
      </c>
      <c r="M98" s="46"/>
      <c r="N98" s="46"/>
      <c r="O98" s="47">
        <v>10</v>
      </c>
      <c r="P98" s="48">
        <f t="shared" ca="1" si="9"/>
        <v>2.3789473684210525</v>
      </c>
      <c r="Q98" s="49">
        <f ca="1">SUMIF('25년11월'!$F$1:$I$792,CSR!E98,'25년11월'!I:I)</f>
        <v>1</v>
      </c>
      <c r="R98" s="50">
        <f ca="1">SUMIF('25년12월'!$F$1:$I$764,CSR!E98,'25년12월'!I:I)</f>
        <v>0.10526315789473684</v>
      </c>
      <c r="S98" s="50">
        <f ca="1">SUMIF('26년01월'!$F$1:$I$741,CSR!E98,'26년01월'!I:I)</f>
        <v>1.1052631578947367</v>
      </c>
      <c r="T98" s="50">
        <f ca="1">SUMIF('26년02월'!$F$1:$I$734,CSR!E98,'26년02월'!I:I)</f>
        <v>0</v>
      </c>
      <c r="U98" s="50">
        <f ca="1">SUMIF('26년03월'!$F$1:$I$738,CSR!E98,'26년03월'!I:I)</f>
        <v>0</v>
      </c>
      <c r="V98" s="50">
        <f ca="1">SUMIF('26년04월'!$F$1:$I$741,CSR!E98,'26년04월'!I:I)</f>
        <v>1.0526315789473684E-2</v>
      </c>
      <c r="W98" s="50">
        <f ca="1">SUMIF('26년05월'!$F$1:$I$744,CSR!E98,'26년05월'!I:I)</f>
        <v>0.15789473684210525</v>
      </c>
      <c r="X98" s="51"/>
      <c r="Y98" s="51"/>
      <c r="Z98" s="51"/>
      <c r="AA98" s="51"/>
      <c r="AB98" s="52"/>
      <c r="AC98" s="51"/>
    </row>
    <row r="99" spans="2:29" s="53" customFormat="1" ht="15" customHeight="1">
      <c r="B99" s="39"/>
      <c r="C99" s="40"/>
      <c r="D99" s="112" t="s">
        <v>788</v>
      </c>
      <c r="E99" s="41" t="s">
        <v>204</v>
      </c>
      <c r="F99" s="42"/>
      <c r="G99" s="42"/>
      <c r="H99" s="43" t="s">
        <v>619</v>
      </c>
      <c r="I99" s="44"/>
      <c r="J99" s="45" t="s">
        <v>624</v>
      </c>
      <c r="K99" s="71" t="s">
        <v>621</v>
      </c>
      <c r="L99" s="43" t="s">
        <v>573</v>
      </c>
      <c r="M99" s="46"/>
      <c r="N99" s="46"/>
      <c r="O99" s="47">
        <v>5</v>
      </c>
      <c r="P99" s="48">
        <f t="shared" ca="1" si="9"/>
        <v>1.9736842105263155</v>
      </c>
      <c r="Q99" s="49">
        <f ca="1">SUMIF('25년11월'!$F$1:$I$792,CSR!E99,'25년11월'!I:I)</f>
        <v>0</v>
      </c>
      <c r="R99" s="50">
        <f ca="1">SUMIF('25년12월'!$F$1:$I$764,CSR!E99,'25년12월'!I:I)</f>
        <v>0</v>
      </c>
      <c r="S99" s="50">
        <f ca="1">SUMIF('26년01월'!$F$1:$I$741,CSR!E99,'26년01월'!I:I)</f>
        <v>0.44736842105263153</v>
      </c>
      <c r="T99" s="50">
        <f ca="1">SUMIF('26년02월'!$F$1:$I$734,CSR!E99,'26년02월'!I:I)</f>
        <v>0.31578947368421051</v>
      </c>
      <c r="U99" s="50">
        <f ca="1">SUMIF('26년03월'!$F$1:$I$738,CSR!E99,'26년03월'!I:I)</f>
        <v>0.10526315789473684</v>
      </c>
      <c r="V99" s="50">
        <f ca="1">SUMIF('26년04월'!$F$1:$I$741,CSR!E99,'26년04월'!I:I)</f>
        <v>0.42105263157894735</v>
      </c>
      <c r="W99" s="50">
        <f ca="1">SUMIF('26년05월'!$F$1:$I$744,CSR!E99,'26년05월'!I:I)</f>
        <v>0.68421052631578949</v>
      </c>
      <c r="X99" s="51"/>
      <c r="Y99" s="51"/>
      <c r="Z99" s="51"/>
      <c r="AA99" s="51"/>
      <c r="AB99" s="52"/>
      <c r="AC99" s="51"/>
    </row>
    <row r="100" spans="2:29" s="53" customFormat="1" ht="15" customHeight="1">
      <c r="B100" s="39"/>
      <c r="C100" s="40"/>
      <c r="D100" s="112" t="s">
        <v>789</v>
      </c>
      <c r="E100" s="41" t="s">
        <v>178</v>
      </c>
      <c r="F100" s="42"/>
      <c r="G100" s="42"/>
      <c r="H100" s="43" t="s">
        <v>619</v>
      </c>
      <c r="I100" s="44"/>
      <c r="J100" s="45" t="s">
        <v>787</v>
      </c>
      <c r="K100" s="71" t="s">
        <v>621</v>
      </c>
      <c r="L100" s="43" t="s">
        <v>573</v>
      </c>
      <c r="M100" s="46"/>
      <c r="N100" s="46"/>
      <c r="O100" s="47">
        <v>15</v>
      </c>
      <c r="P100" s="48">
        <f t="shared" ca="1" si="9"/>
        <v>1.7894736842105261</v>
      </c>
      <c r="Q100" s="49">
        <f ca="1">SUMIF('25년11월'!$F$1:$I$792,CSR!E100,'25년11월'!I:I)</f>
        <v>0.47368421052631576</v>
      </c>
      <c r="R100" s="50">
        <f ca="1">SUMIF('25년12월'!$F$1:$I$764,CSR!E100,'25년12월'!I:I)</f>
        <v>0</v>
      </c>
      <c r="S100" s="50">
        <f ca="1">SUMIF('26년01월'!$F$1:$I$741,CSR!E100,'26년01월'!I:I)</f>
        <v>0.47368421052631576</v>
      </c>
      <c r="T100" s="50">
        <f ca="1">SUMIF('26년02월'!$F$1:$I$734,CSR!E100,'26년02월'!I:I)</f>
        <v>0.31578947368421051</v>
      </c>
      <c r="U100" s="50">
        <f ca="1">SUMIF('26년03월'!$F$1:$I$738,CSR!E100,'26년03월'!I:I)</f>
        <v>5.2631578947368418E-2</v>
      </c>
      <c r="V100" s="50">
        <f ca="1">SUMIF('26년04월'!$F$1:$I$741,CSR!E100,'26년04월'!I:I)</f>
        <v>0.42105263157894735</v>
      </c>
      <c r="W100" s="50">
        <f ca="1">SUMIF('26년05월'!$F$1:$I$744,CSR!E100,'26년05월'!I:I)</f>
        <v>5.2631578947368418E-2</v>
      </c>
      <c r="X100" s="51"/>
      <c r="Y100" s="51"/>
      <c r="Z100" s="51"/>
      <c r="AA100" s="51"/>
      <c r="AB100" s="52"/>
      <c r="AC100" s="51"/>
    </row>
    <row r="101" spans="2:29" s="53" customFormat="1" ht="15" customHeight="1">
      <c r="B101" s="39"/>
      <c r="C101" s="40"/>
      <c r="D101" s="112" t="s">
        <v>790</v>
      </c>
      <c r="E101" s="41" t="s">
        <v>791</v>
      </c>
      <c r="F101" s="42"/>
      <c r="G101" s="42"/>
      <c r="H101" s="43" t="s">
        <v>619</v>
      </c>
      <c r="I101" s="44"/>
      <c r="J101" s="45" t="s">
        <v>673</v>
      </c>
      <c r="K101" s="71" t="s">
        <v>621</v>
      </c>
      <c r="L101" s="43" t="s">
        <v>573</v>
      </c>
      <c r="M101" s="46"/>
      <c r="N101" s="46"/>
      <c r="O101" s="47">
        <v>5</v>
      </c>
      <c r="P101" s="48">
        <f t="shared" ca="1" si="9"/>
        <v>1.1052631578947367</v>
      </c>
      <c r="Q101" s="49">
        <f ca="1">SUMIF('25년11월'!$F$1:$I$792,CSR!E101,'25년11월'!I:I)</f>
        <v>0.47368421052631576</v>
      </c>
      <c r="R101" s="50">
        <f ca="1">SUMIF('25년12월'!$F$1:$I$764,CSR!E101,'25년12월'!I:I)</f>
        <v>0.42105263157894735</v>
      </c>
      <c r="S101" s="50">
        <f ca="1">SUMIF('26년01월'!$F$1:$I$741,CSR!E101,'26년01월'!I:I)</f>
        <v>0</v>
      </c>
      <c r="T101" s="50">
        <f ca="1">SUMIF('26년02월'!$F$1:$I$734,CSR!E101,'26년02월'!I:I)</f>
        <v>0</v>
      </c>
      <c r="U101" s="50">
        <f ca="1">SUMIF('26년03월'!$F$1:$I$738,CSR!E101,'26년03월'!I:I)</f>
        <v>0.21052631578947367</v>
      </c>
      <c r="V101" s="50">
        <f ca="1">SUMIF('26년04월'!$F$1:$I$741,CSR!E101,'26년04월'!I:I)</f>
        <v>0</v>
      </c>
      <c r="W101" s="50">
        <f ca="1">SUMIF('26년05월'!$F$1:$I$744,CSR!E101,'26년05월'!I:I)</f>
        <v>0</v>
      </c>
      <c r="X101" s="51"/>
      <c r="Y101" s="51"/>
      <c r="Z101" s="51"/>
      <c r="AA101" s="51"/>
      <c r="AB101" s="52"/>
      <c r="AC101" s="51"/>
    </row>
    <row r="102" spans="2:29" s="53" customFormat="1" ht="15" customHeight="1">
      <c r="B102" s="39"/>
      <c r="C102" s="40" t="s">
        <v>792</v>
      </c>
      <c r="D102" s="54" t="s">
        <v>793</v>
      </c>
      <c r="E102" s="41" t="s">
        <v>794</v>
      </c>
      <c r="F102" s="42"/>
      <c r="G102" s="42"/>
      <c r="H102" s="43" t="s">
        <v>619</v>
      </c>
      <c r="I102" s="44"/>
      <c r="J102" s="45" t="s">
        <v>624</v>
      </c>
      <c r="K102" s="71" t="s">
        <v>621</v>
      </c>
      <c r="L102" s="43" t="s">
        <v>573</v>
      </c>
      <c r="M102" s="46"/>
      <c r="N102" s="46"/>
      <c r="O102" s="47">
        <v>10</v>
      </c>
      <c r="P102" s="48">
        <f t="shared" ca="1" si="9"/>
        <v>0</v>
      </c>
      <c r="Q102" s="49">
        <f ca="1">SUMIF('25년11월'!$F$1:$I$792,CSR!E102,'25년11월'!I:I)</f>
        <v>0</v>
      </c>
      <c r="R102" s="50">
        <f ca="1">SUMIF('25년12월'!$F$1:$I$764,CSR!E102,'25년12월'!I:I)</f>
        <v>0</v>
      </c>
      <c r="S102" s="50">
        <f ca="1">SUMIF('26년01월'!$F$1:$I$741,CSR!E102,'26년01월'!I:I)</f>
        <v>0</v>
      </c>
      <c r="T102" s="50">
        <f ca="1">SUMIF('26년02월'!$F$1:$I$734,CSR!E102,'26년02월'!I:I)</f>
        <v>0</v>
      </c>
      <c r="U102" s="50">
        <f ca="1">SUMIF('26년03월'!$F$1:$I$738,CSR!E102,'26년03월'!I:I)</f>
        <v>0</v>
      </c>
      <c r="V102" s="50">
        <f ca="1">SUMIF('26년04월'!$F$1:$I$741,CSR!E102,'26년04월'!I:I)</f>
        <v>0</v>
      </c>
      <c r="W102" s="50">
        <f ca="1">SUMIF('26년05월'!$F$1:$I$744,CSR!E102,'26년05월'!I:I)</f>
        <v>0</v>
      </c>
      <c r="X102" s="51"/>
      <c r="Y102" s="51"/>
      <c r="Z102" s="51"/>
      <c r="AA102" s="51"/>
      <c r="AB102" s="52"/>
      <c r="AC102" s="51"/>
    </row>
    <row r="103" spans="2:29" s="53" customFormat="1" ht="15" customHeight="1">
      <c r="B103" s="39"/>
      <c r="C103" s="40"/>
      <c r="D103" s="54" t="s">
        <v>795</v>
      </c>
      <c r="E103" s="41" t="s">
        <v>796</v>
      </c>
      <c r="F103" s="42"/>
      <c r="G103" s="42"/>
      <c r="H103" s="43" t="s">
        <v>619</v>
      </c>
      <c r="I103" s="44"/>
      <c r="J103" s="45" t="s">
        <v>624</v>
      </c>
      <c r="K103" s="71" t="s">
        <v>621</v>
      </c>
      <c r="L103" s="43" t="s">
        <v>573</v>
      </c>
      <c r="M103" s="46"/>
      <c r="N103" s="46"/>
      <c r="O103" s="47">
        <v>3</v>
      </c>
      <c r="P103" s="48">
        <f t="shared" ca="1" si="9"/>
        <v>0</v>
      </c>
      <c r="Q103" s="49">
        <f ca="1">SUMIF('25년11월'!$F$1:$I$792,CSR!E103,'25년11월'!I:I)</f>
        <v>0</v>
      </c>
      <c r="R103" s="50">
        <f ca="1">SUMIF('25년12월'!$F$1:$I$764,CSR!E103,'25년12월'!I:I)</f>
        <v>0</v>
      </c>
      <c r="S103" s="50">
        <f ca="1">SUMIF('26년01월'!$F$1:$I$741,CSR!E103,'26년01월'!I:I)</f>
        <v>0</v>
      </c>
      <c r="T103" s="50">
        <f ca="1">SUMIF('26년02월'!$F$1:$I$734,CSR!E103,'26년02월'!I:I)</f>
        <v>0</v>
      </c>
      <c r="U103" s="50">
        <f ca="1">SUMIF('26년03월'!$F$1:$I$738,CSR!E103,'26년03월'!I:I)</f>
        <v>0</v>
      </c>
      <c r="V103" s="50">
        <f ca="1">SUMIF('26년04월'!$F$1:$I$741,CSR!E103,'26년04월'!I:I)</f>
        <v>0</v>
      </c>
      <c r="W103" s="50">
        <f ca="1">SUMIF('26년05월'!$F$1:$I$744,CSR!E103,'26년05월'!I:I)</f>
        <v>0</v>
      </c>
      <c r="X103" s="51"/>
      <c r="Y103" s="51"/>
      <c r="Z103" s="51"/>
      <c r="AA103" s="51"/>
      <c r="AB103" s="52"/>
      <c r="AC103" s="51"/>
    </row>
    <row r="104" spans="2:29" s="53" customFormat="1" ht="15" customHeight="1">
      <c r="B104" s="39"/>
      <c r="C104" s="40"/>
      <c r="D104" s="54" t="s">
        <v>797</v>
      </c>
      <c r="E104" s="41" t="s">
        <v>798</v>
      </c>
      <c r="F104" s="42"/>
      <c r="G104" s="42"/>
      <c r="H104" s="43" t="s">
        <v>619</v>
      </c>
      <c r="I104" s="44"/>
      <c r="J104" s="45" t="s">
        <v>624</v>
      </c>
      <c r="K104" s="71" t="s">
        <v>621</v>
      </c>
      <c r="L104" s="43" t="s">
        <v>573</v>
      </c>
      <c r="M104" s="46"/>
      <c r="N104" s="46"/>
      <c r="O104" s="47">
        <v>5</v>
      </c>
      <c r="P104" s="48">
        <f t="shared" ca="1" si="9"/>
        <v>0</v>
      </c>
      <c r="Q104" s="49">
        <f ca="1">SUMIF('25년11월'!$F$1:$I$792,CSR!E104,'25년11월'!I:I)</f>
        <v>0</v>
      </c>
      <c r="R104" s="50">
        <f ca="1">SUMIF('25년12월'!$F$1:$I$764,CSR!E104,'25년12월'!I:I)</f>
        <v>0</v>
      </c>
      <c r="S104" s="50">
        <f ca="1">SUMIF('26년01월'!$F$1:$I$741,CSR!E104,'26년01월'!I:I)</f>
        <v>0</v>
      </c>
      <c r="T104" s="50">
        <f ca="1">SUMIF('26년02월'!$F$1:$I$734,CSR!E104,'26년02월'!I:I)</f>
        <v>0</v>
      </c>
      <c r="U104" s="50">
        <f ca="1">SUMIF('26년03월'!$F$1:$I$738,CSR!E104,'26년03월'!I:I)</f>
        <v>0</v>
      </c>
      <c r="V104" s="50">
        <f ca="1">SUMIF('26년04월'!$F$1:$I$741,CSR!E104,'26년04월'!I:I)</f>
        <v>0</v>
      </c>
      <c r="W104" s="50">
        <f ca="1">SUMIF('26년05월'!$F$1:$I$744,CSR!E104,'26년05월'!I:I)</f>
        <v>0</v>
      </c>
      <c r="X104" s="51"/>
      <c r="Y104" s="51"/>
      <c r="Z104" s="51"/>
      <c r="AA104" s="51"/>
      <c r="AB104" s="52"/>
      <c r="AC104" s="51"/>
    </row>
    <row r="105" spans="2:29" s="59" customFormat="1" ht="15" customHeight="1">
      <c r="B105" s="55"/>
      <c r="C105" s="56"/>
      <c r="D105" s="140" t="s">
        <v>799</v>
      </c>
      <c r="E105" s="58" t="s">
        <v>800</v>
      </c>
      <c r="H105" s="60" t="s">
        <v>619</v>
      </c>
      <c r="I105" s="61"/>
      <c r="J105" s="62" t="s">
        <v>624</v>
      </c>
      <c r="K105" s="62" t="s">
        <v>655</v>
      </c>
      <c r="L105" s="60"/>
      <c r="M105" s="63" t="s">
        <v>712</v>
      </c>
      <c r="N105" s="64" t="s">
        <v>575</v>
      </c>
      <c r="O105" s="65"/>
      <c r="P105" s="66">
        <f t="shared" ca="1" si="9"/>
        <v>1.5789473684210522</v>
      </c>
      <c r="Q105" s="65">
        <f ca="1">SUMIF('25년11월'!$F$1:$I$792,CSR!E105,'25년11월'!I:I)</f>
        <v>0</v>
      </c>
      <c r="R105" s="67">
        <f ca="1">SUMIF('25년12월'!$F$1:$I$764,CSR!E105,'25년12월'!I:I)</f>
        <v>0.47368421052631576</v>
      </c>
      <c r="S105" s="67">
        <f ca="1">SUMIF('26년01월'!$F$1:$I$741,CSR!E105,'26년01월'!I:I)</f>
        <v>0.68421052631578938</v>
      </c>
      <c r="T105" s="68">
        <f ca="1">SUMIF('26년02월'!$F$1:$I$734,CSR!E105,'26년02월'!I:I)</f>
        <v>0.31578947368421051</v>
      </c>
      <c r="U105" s="68">
        <f ca="1">SUMIF('26년03월'!$F$1:$I$738,CSR!E105,'26년03월'!I:I)</f>
        <v>0.10526315789473684</v>
      </c>
      <c r="V105" s="68">
        <f ca="1">SUMIF('26년04월'!$F$1:$I$741,CSR!E105,'26년04월'!I:I)</f>
        <v>0</v>
      </c>
      <c r="W105" s="68">
        <f ca="1">SUMIF('26년05월'!$F$1:$I$744,CSR!E105,'26년05월'!I:I)</f>
        <v>0</v>
      </c>
      <c r="X105" s="69"/>
      <c r="Y105" s="69"/>
      <c r="Z105" s="69"/>
      <c r="AA105" s="69"/>
      <c r="AB105" s="70"/>
      <c r="AC105" s="69"/>
    </row>
    <row r="106" spans="2:29" s="59" customFormat="1" ht="15" customHeight="1">
      <c r="B106" s="55"/>
      <c r="C106" s="56"/>
      <c r="D106" s="140" t="s">
        <v>801</v>
      </c>
      <c r="E106" s="58" t="s">
        <v>802</v>
      </c>
      <c r="H106" s="60" t="s">
        <v>619</v>
      </c>
      <c r="I106" s="61"/>
      <c r="J106" s="62" t="s">
        <v>624</v>
      </c>
      <c r="K106" s="62" t="s">
        <v>655</v>
      </c>
      <c r="L106" s="60"/>
      <c r="M106" s="63" t="s">
        <v>712</v>
      </c>
      <c r="N106" s="64" t="s">
        <v>575</v>
      </c>
      <c r="O106" s="65"/>
      <c r="P106" s="66">
        <f t="shared" ca="1" si="9"/>
        <v>1.7368421052631575</v>
      </c>
      <c r="Q106" s="65">
        <f ca="1">SUMIF('25년11월'!$F$1:$I$792,CSR!E106,'25년11월'!I:I)</f>
        <v>5.2631578947368418E-2</v>
      </c>
      <c r="R106" s="67">
        <f ca="1">SUMIF('25년12월'!$F$1:$I$764,CSR!E106,'25년12월'!I:I)</f>
        <v>0.42105263157894735</v>
      </c>
      <c r="S106" s="67">
        <f ca="1">SUMIF('26년01월'!$F$1:$I$741,CSR!E106,'26년01월'!I:I)</f>
        <v>0.63157894736842102</v>
      </c>
      <c r="T106" s="68">
        <f ca="1">SUMIF('26년02월'!$F$1:$I$734,CSR!E106,'26년02월'!I:I)</f>
        <v>0.52631578947368418</v>
      </c>
      <c r="U106" s="68">
        <f ca="1">SUMIF('26년03월'!$F$1:$I$738,CSR!E106,'26년03월'!I:I)</f>
        <v>0.10526315789473684</v>
      </c>
      <c r="V106" s="68">
        <f ca="1">SUMIF('26년04월'!$F$1:$I$741,CSR!E106,'26년04월'!I:I)</f>
        <v>0</v>
      </c>
      <c r="W106" s="68">
        <f ca="1">SUMIF('26년05월'!$F$1:$I$744,CSR!E106,'26년05월'!I:I)</f>
        <v>0</v>
      </c>
      <c r="X106" s="69"/>
      <c r="Y106" s="69"/>
      <c r="Z106" s="69"/>
      <c r="AA106" s="69"/>
      <c r="AB106" s="70"/>
      <c r="AC106" s="69"/>
    </row>
    <row r="107" spans="2:29" s="53" customFormat="1" ht="15" customHeight="1">
      <c r="B107" s="39"/>
      <c r="C107" s="40"/>
      <c r="D107" s="54" t="s">
        <v>803</v>
      </c>
      <c r="E107" s="41" t="s">
        <v>53</v>
      </c>
      <c r="F107" s="42"/>
      <c r="G107" s="42"/>
      <c r="H107" s="43" t="s">
        <v>619</v>
      </c>
      <c r="I107" s="44"/>
      <c r="J107" s="45" t="s">
        <v>624</v>
      </c>
      <c r="K107" s="71" t="s">
        <v>621</v>
      </c>
      <c r="L107" s="43"/>
      <c r="M107" s="46" t="s">
        <v>661</v>
      </c>
      <c r="N107" s="46" t="s">
        <v>629</v>
      </c>
      <c r="O107" s="47"/>
      <c r="P107" s="48">
        <f t="shared" ca="1" si="9"/>
        <v>2.7894736842105261</v>
      </c>
      <c r="Q107" s="49">
        <f ca="1">SUMIF('25년11월'!$F$1:$I$792,CSR!E107,'25년11월'!I:I)</f>
        <v>0</v>
      </c>
      <c r="R107" s="50">
        <f ca="1">SUMIF('25년12월'!$F$1:$I$764,CSR!E107,'25년12월'!I:I)</f>
        <v>0</v>
      </c>
      <c r="S107" s="50">
        <f ca="1">SUMIF('26년01월'!$F$1:$I$741,CSR!E107,'26년01월'!I:I)</f>
        <v>0</v>
      </c>
      <c r="T107" s="50">
        <f ca="1">SUMIF('26년02월'!$F$1:$I$734,CSR!E107,'26년02월'!I:I)</f>
        <v>0</v>
      </c>
      <c r="U107" s="50">
        <f ca="1">SUMIF('26년03월'!$F$1:$I$738,CSR!E107,'26년03월'!I:I)</f>
        <v>0.57894736842105265</v>
      </c>
      <c r="V107" s="50">
        <f ca="1">SUMIF('26년04월'!$F$1:$I$741,CSR!E107,'26년04월'!I:I)</f>
        <v>0.36842105263157893</v>
      </c>
      <c r="W107" s="50">
        <f ca="1">SUMIF('26년05월'!$F$1:$I$744,CSR!E107,'26년05월'!I:I)</f>
        <v>1.8421052631578945</v>
      </c>
      <c r="X107" s="51"/>
      <c r="Y107" s="51"/>
      <c r="Z107" s="51"/>
      <c r="AA107" s="51"/>
      <c r="AB107" s="52"/>
      <c r="AC107" s="51"/>
    </row>
    <row r="108" spans="2:29" s="53" customFormat="1" ht="15" customHeight="1">
      <c r="B108" s="39"/>
      <c r="C108" s="40"/>
      <c r="D108" s="54" t="s">
        <v>804</v>
      </c>
      <c r="E108" s="41" t="s">
        <v>805</v>
      </c>
      <c r="F108" s="42"/>
      <c r="G108" s="42"/>
      <c r="H108" s="43" t="s">
        <v>619</v>
      </c>
      <c r="I108" s="44"/>
      <c r="J108" s="45" t="s">
        <v>624</v>
      </c>
      <c r="K108" s="71" t="s">
        <v>621</v>
      </c>
      <c r="L108" s="43"/>
      <c r="M108" s="46" t="s">
        <v>661</v>
      </c>
      <c r="N108" s="46" t="s">
        <v>629</v>
      </c>
      <c r="O108" s="47"/>
      <c r="P108" s="48">
        <f t="shared" ca="1" si="9"/>
        <v>0.42105263157894735</v>
      </c>
      <c r="Q108" s="49"/>
      <c r="R108" s="50"/>
      <c r="S108" s="50"/>
      <c r="T108" s="50">
        <f ca="1">SUMIF('26년02월'!$F$1:$I$734,CSR!E108,'26년02월'!I:I)</f>
        <v>5.2631578947368418E-2</v>
      </c>
      <c r="U108" s="50">
        <f ca="1">SUMIF('26년03월'!$F$1:$I$738,CSR!E108,'26년03월'!I:I)</f>
        <v>0.10526315789473684</v>
      </c>
      <c r="V108" s="50">
        <f ca="1">SUMIF('26년04월'!$F$1:$I$741,CSR!E108,'26년04월'!I:I)</f>
        <v>0.15789473684210525</v>
      </c>
      <c r="W108" s="50">
        <f ca="1">SUMIF('26년05월'!$F$1:$I$744,CSR!E108,'26년05월'!I:I)</f>
        <v>0.10526315789473684</v>
      </c>
      <c r="X108" s="51"/>
      <c r="Y108" s="51"/>
      <c r="Z108" s="51"/>
      <c r="AA108" s="51"/>
      <c r="AB108" s="52"/>
      <c r="AC108" s="51"/>
    </row>
    <row r="109" spans="2:29" s="271" customFormat="1" ht="15" customHeight="1">
      <c r="B109" s="272"/>
      <c r="C109" s="273"/>
      <c r="D109" s="274" t="s">
        <v>2087</v>
      </c>
      <c r="E109" s="275" t="s">
        <v>2088</v>
      </c>
      <c r="F109" s="276"/>
      <c r="G109" s="276"/>
      <c r="H109" s="277" t="s">
        <v>619</v>
      </c>
      <c r="I109" s="278"/>
      <c r="J109" s="279" t="s">
        <v>624</v>
      </c>
      <c r="K109" s="287" t="s">
        <v>621</v>
      </c>
      <c r="L109" s="277"/>
      <c r="M109" s="280" t="s">
        <v>812</v>
      </c>
      <c r="N109" s="280"/>
      <c r="O109" s="281"/>
      <c r="P109" s="282"/>
      <c r="Q109" s="283"/>
      <c r="R109" s="284"/>
      <c r="S109" s="284"/>
      <c r="T109" s="284"/>
      <c r="U109" s="284"/>
      <c r="V109" s="284"/>
      <c r="W109" s="284"/>
      <c r="X109" s="285"/>
      <c r="Y109" s="285"/>
      <c r="Z109" s="285"/>
      <c r="AA109" s="285"/>
      <c r="AB109" s="286"/>
      <c r="AC109" s="285"/>
    </row>
    <row r="110" spans="2:29" s="53" customFormat="1" ht="15" customHeight="1">
      <c r="B110" s="39"/>
      <c r="C110" s="40"/>
      <c r="D110" s="54" t="s">
        <v>806</v>
      </c>
      <c r="E110" s="41" t="s">
        <v>807</v>
      </c>
      <c r="F110" s="42"/>
      <c r="G110" s="42"/>
      <c r="H110" s="43" t="s">
        <v>619</v>
      </c>
      <c r="I110" s="44"/>
      <c r="J110" s="45" t="s">
        <v>624</v>
      </c>
      <c r="K110" s="71" t="s">
        <v>621</v>
      </c>
      <c r="L110" s="43" t="s">
        <v>573</v>
      </c>
      <c r="M110" s="46"/>
      <c r="N110" s="46" t="s">
        <v>629</v>
      </c>
      <c r="O110" s="47">
        <v>2</v>
      </c>
      <c r="P110" s="48">
        <f t="shared" ca="1" si="9"/>
        <v>0.42105263157894735</v>
      </c>
      <c r="Q110" s="49">
        <f ca="1">SUMIF('25년11월'!$F$1:$I$792,CSR!E110,'25년11월'!I:I)</f>
        <v>0.28947368421052633</v>
      </c>
      <c r="R110" s="50">
        <f ca="1">SUMIF('25년12월'!$F$1:$I$764,CSR!E110,'25년12월'!I:I)</f>
        <v>0.13157894736842105</v>
      </c>
      <c r="S110" s="50">
        <f ca="1">SUMIF('26년01월'!$F$1:$I$741,CSR!E110,'26년01월'!I:I)</f>
        <v>0</v>
      </c>
      <c r="T110" s="50">
        <f ca="1">SUMIF('26년02월'!$F$1:$I$734,CSR!E110,'26년02월'!I:I)</f>
        <v>0</v>
      </c>
      <c r="U110" s="50">
        <f ca="1">SUMIF('26년03월'!$F$1:$I$738,CSR!E110,'26년03월'!I:I)</f>
        <v>0</v>
      </c>
      <c r="V110" s="50">
        <f ca="1">SUMIF('26년04월'!$F$1:$I$741,CSR!E110,'26년04월'!I:I)</f>
        <v>0</v>
      </c>
      <c r="W110" s="50">
        <f ca="1">SUMIF('26년05월'!$F$1:$I$744,CSR!E110,'26년05월'!I:I)</f>
        <v>0</v>
      </c>
      <c r="X110" s="51"/>
      <c r="Y110" s="51"/>
      <c r="Z110" s="51"/>
      <c r="AA110" s="51"/>
      <c r="AB110" s="52"/>
      <c r="AC110" s="51"/>
    </row>
    <row r="111" spans="2:29" s="53" customFormat="1" ht="15" customHeight="1">
      <c r="B111" s="39"/>
      <c r="C111" s="40"/>
      <c r="D111" s="112" t="s">
        <v>808</v>
      </c>
      <c r="E111" s="41" t="s">
        <v>809</v>
      </c>
      <c r="F111" s="42"/>
      <c r="G111" s="42"/>
      <c r="H111" s="43" t="s">
        <v>619</v>
      </c>
      <c r="I111" s="44"/>
      <c r="J111" s="45" t="s">
        <v>624</v>
      </c>
      <c r="K111" s="45" t="s">
        <v>621</v>
      </c>
      <c r="L111" s="43"/>
      <c r="M111" s="46"/>
      <c r="N111" s="113" t="s">
        <v>629</v>
      </c>
      <c r="O111" s="47"/>
      <c r="P111" s="48">
        <f ca="1">SUM(Q111:AB111)</f>
        <v>0.26315789473684209</v>
      </c>
      <c r="Q111" s="49"/>
      <c r="R111" s="50"/>
      <c r="S111" s="50"/>
      <c r="T111" s="50"/>
      <c r="U111" s="50"/>
      <c r="V111" s="50">
        <f ca="1">SUMIF('26년04월'!$F$1:$I$741,CSR!E111,'26년04월'!I:I)</f>
        <v>0.15789473684210525</v>
      </c>
      <c r="W111" s="50">
        <f ca="1">SUMIF('26년05월'!$F$1:$I$744,CSR!E111,'26년05월'!I:I)</f>
        <v>0.10526315789473684</v>
      </c>
      <c r="X111" s="51"/>
      <c r="Y111" s="51"/>
      <c r="Z111" s="51"/>
      <c r="AA111" s="51"/>
      <c r="AB111" s="52"/>
      <c r="AC111" s="51"/>
    </row>
    <row r="112" spans="2:29" s="53" customFormat="1" ht="15" customHeight="1">
      <c r="B112" s="39"/>
      <c r="C112" s="40"/>
      <c r="D112" s="112" t="s">
        <v>810</v>
      </c>
      <c r="E112" s="41" t="s">
        <v>811</v>
      </c>
      <c r="F112" s="42"/>
      <c r="G112" s="42"/>
      <c r="H112" s="43" t="s">
        <v>619</v>
      </c>
      <c r="I112" s="44"/>
      <c r="J112" s="45" t="s">
        <v>783</v>
      </c>
      <c r="K112" s="45" t="s">
        <v>621</v>
      </c>
      <c r="L112" s="43"/>
      <c r="M112" s="46" t="s">
        <v>812</v>
      </c>
      <c r="N112" s="113" t="s">
        <v>629</v>
      </c>
      <c r="O112" s="47"/>
      <c r="P112" s="48">
        <f ca="1">SUM(Q112:AB112)</f>
        <v>0.31578947368421051</v>
      </c>
      <c r="Q112" s="49"/>
      <c r="R112" s="50"/>
      <c r="S112" s="50"/>
      <c r="T112" s="50"/>
      <c r="U112" s="50"/>
      <c r="V112" s="50"/>
      <c r="W112" s="50">
        <f ca="1">SUMIF('26년05월'!$F$1:$I$744,CSR!E112,'26년05월'!I:I)</f>
        <v>0.31578947368421051</v>
      </c>
      <c r="X112" s="51"/>
      <c r="Y112" s="51"/>
      <c r="Z112" s="51"/>
      <c r="AA112" s="51"/>
      <c r="AB112" s="52"/>
      <c r="AC112" s="51"/>
    </row>
    <row r="113" spans="1:29" s="53" customFormat="1" ht="15" customHeight="1">
      <c r="B113" s="362" t="s">
        <v>728</v>
      </c>
      <c r="C113" s="363"/>
      <c r="D113" s="364"/>
      <c r="E113" s="160"/>
      <c r="F113" s="161"/>
      <c r="G113" s="161"/>
      <c r="H113" s="162"/>
      <c r="I113" s="163"/>
      <c r="J113" s="164"/>
      <c r="K113" s="165"/>
      <c r="L113" s="166"/>
      <c r="M113" s="166"/>
      <c r="N113" s="166"/>
      <c r="O113" s="178">
        <f t="shared" ref="O113:AB113" si="10">SUM(O93:O112)</f>
        <v>106</v>
      </c>
      <c r="P113" s="177">
        <f t="shared" ca="1" si="10"/>
        <v>21.410526315789472</v>
      </c>
      <c r="Q113" s="178">
        <f t="shared" ca="1" si="10"/>
        <v>4.3421052631578947</v>
      </c>
      <c r="R113" s="179">
        <f t="shared" ca="1" si="10"/>
        <v>2.8684210526315792</v>
      </c>
      <c r="S113" s="179">
        <f t="shared" ca="1" si="10"/>
        <v>5.4999999999999991</v>
      </c>
      <c r="T113" s="179">
        <f t="shared" ca="1" si="10"/>
        <v>1.8684210526315785</v>
      </c>
      <c r="U113" s="179">
        <f t="shared" ca="1" si="10"/>
        <v>1.5894736842105264</v>
      </c>
      <c r="V113" s="179">
        <f t="shared" ca="1" si="10"/>
        <v>1.8052631578947369</v>
      </c>
      <c r="W113" s="179">
        <f t="shared" ca="1" si="10"/>
        <v>3.4368421052631577</v>
      </c>
      <c r="X113" s="179">
        <f t="shared" si="10"/>
        <v>0</v>
      </c>
      <c r="Y113" s="179">
        <f t="shared" si="10"/>
        <v>0</v>
      </c>
      <c r="Z113" s="179">
        <f t="shared" si="10"/>
        <v>0</v>
      </c>
      <c r="AA113" s="179">
        <f t="shared" si="10"/>
        <v>0</v>
      </c>
      <c r="AB113" s="180">
        <f t="shared" si="10"/>
        <v>0</v>
      </c>
      <c r="AC113" s="170"/>
    </row>
    <row r="114" spans="1:29" s="53" customFormat="1" ht="15" customHeight="1">
      <c r="B114" s="365" t="s">
        <v>813</v>
      </c>
      <c r="C114" s="366"/>
      <c r="D114" s="366"/>
      <c r="E114" s="181"/>
      <c r="F114" s="182"/>
      <c r="G114" s="182"/>
      <c r="H114" s="183"/>
      <c r="I114" s="184"/>
      <c r="J114" s="185"/>
      <c r="K114" s="185"/>
      <c r="L114" s="183"/>
      <c r="M114" s="183"/>
      <c r="N114" s="183"/>
      <c r="O114" s="186">
        <f t="shared" ref="O114:AB114" si="11">O67+O81+O92+O113</f>
        <v>317</v>
      </c>
      <c r="P114" s="187">
        <f t="shared" ca="1" si="11"/>
        <v>182.00473684210525</v>
      </c>
      <c r="Q114" s="186">
        <f t="shared" ca="1" si="11"/>
        <v>26.215263157894736</v>
      </c>
      <c r="R114" s="188">
        <f t="shared" ca="1" si="11"/>
        <v>26.263157894736842</v>
      </c>
      <c r="S114" s="188">
        <f t="shared" ca="1" si="11"/>
        <v>26.131578947368421</v>
      </c>
      <c r="T114" s="188">
        <f t="shared" ca="1" si="11"/>
        <v>26.052631578947366</v>
      </c>
      <c r="U114" s="188">
        <f t="shared" ca="1" si="11"/>
        <v>26.368421052631575</v>
      </c>
      <c r="V114" s="188">
        <f t="shared" ca="1" si="11"/>
        <v>26.236842105263158</v>
      </c>
      <c r="W114" s="188">
        <f t="shared" ca="1" si="11"/>
        <v>24.736842105263154</v>
      </c>
      <c r="X114" s="188">
        <f t="shared" si="11"/>
        <v>0</v>
      </c>
      <c r="Y114" s="188">
        <f t="shared" si="11"/>
        <v>0</v>
      </c>
      <c r="Z114" s="188">
        <f t="shared" si="11"/>
        <v>0</v>
      </c>
      <c r="AA114" s="188">
        <f t="shared" si="11"/>
        <v>0</v>
      </c>
      <c r="AB114" s="189">
        <f t="shared" si="11"/>
        <v>0</v>
      </c>
      <c r="AC114" s="190"/>
    </row>
    <row r="115" spans="1:29">
      <c r="O115" s="192"/>
      <c r="P115" s="192"/>
    </row>
    <row r="116" spans="1:29">
      <c r="A116" s="193" t="s">
        <v>814</v>
      </c>
      <c r="O116" s="192"/>
      <c r="P116" s="192"/>
      <c r="T116" s="192"/>
    </row>
    <row r="117" spans="1:29">
      <c r="O117" s="192"/>
      <c r="P117" s="192"/>
      <c r="T117" s="192"/>
      <c r="Y117" s="192"/>
    </row>
    <row r="118" spans="1:29">
      <c r="O118" s="192"/>
      <c r="P118" s="192"/>
      <c r="T118" s="192"/>
      <c r="Y118" s="192"/>
      <c r="AC118" s="194"/>
    </row>
    <row r="119" spans="1:29">
      <c r="O119" s="192"/>
      <c r="P119" s="192"/>
      <c r="T119" s="192"/>
      <c r="Y119" s="192"/>
    </row>
    <row r="120" spans="1:29">
      <c r="O120" s="192"/>
      <c r="P120" s="192"/>
      <c r="Q120" s="192"/>
    </row>
    <row r="121" spans="1:29">
      <c r="O121" s="192"/>
      <c r="Q121" s="192"/>
    </row>
    <row r="122" spans="1:29">
      <c r="O122" s="192"/>
    </row>
    <row r="123" spans="1:29">
      <c r="O123" s="192"/>
    </row>
    <row r="124" spans="1:29">
      <c r="O124" s="192"/>
    </row>
    <row r="125" spans="1:29">
      <c r="O125" s="192"/>
    </row>
    <row r="126" spans="1:29">
      <c r="O126" s="192"/>
    </row>
    <row r="127" spans="1:29">
      <c r="O127" s="192"/>
    </row>
    <row r="128" spans="1:29">
      <c r="O128" s="192"/>
    </row>
    <row r="129" spans="15:15">
      <c r="O129" s="192"/>
    </row>
    <row r="130" spans="15:15">
      <c r="O130" s="192"/>
    </row>
    <row r="131" spans="15:15">
      <c r="O131" s="192"/>
    </row>
    <row r="132" spans="15:15">
      <c r="O132" s="192"/>
    </row>
    <row r="133" spans="15:15">
      <c r="O133" s="192"/>
    </row>
    <row r="134" spans="15:15">
      <c r="O134" s="192"/>
    </row>
    <row r="135" spans="15:15">
      <c r="O135" s="192"/>
    </row>
    <row r="136" spans="15:15">
      <c r="O136" s="192"/>
    </row>
    <row r="137" spans="15:15">
      <c r="O137" s="192"/>
    </row>
    <row r="138" spans="15:15">
      <c r="O138" s="192"/>
    </row>
    <row r="139" spans="15:15">
      <c r="O139" s="192"/>
    </row>
    <row r="140" spans="15:15">
      <c r="O140" s="192"/>
    </row>
    <row r="141" spans="15:15">
      <c r="O141" s="192"/>
    </row>
    <row r="142" spans="15:15">
      <c r="O142" s="192"/>
    </row>
    <row r="143" spans="15:15">
      <c r="O143" s="192"/>
    </row>
  </sheetData>
  <autoFilter ref="A10:AC114" xr:uid="{00000000-0009-0000-0000-000000000000}"/>
  <mergeCells count="4">
    <mergeCell ref="H9:K9"/>
    <mergeCell ref="L9:N9"/>
    <mergeCell ref="B113:D113"/>
    <mergeCell ref="B114:D114"/>
  </mergeCells>
  <phoneticPr fontId="12" type="noConversion"/>
  <pageMargins left="0.7" right="0.7" top="0.75" bottom="0.75" header="0.3" footer="0.3"/>
  <pageSetup paperSize="9"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285"/>
  <sheetViews>
    <sheetView tabSelected="1" topLeftCell="A208" zoomScale="85" zoomScaleNormal="85" workbookViewId="0">
      <selection activeCell="J227" sqref="J227"/>
    </sheetView>
  </sheetViews>
  <sheetFormatPr baseColWidth="10" defaultColWidth="9" defaultRowHeight="15"/>
  <cols>
    <col min="1" max="1" width="6.6640625" style="21" bestFit="1" customWidth="1"/>
    <col min="2" max="2" width="14.1640625" style="19" bestFit="1" customWidth="1"/>
    <col min="3" max="3" width="22" style="19" customWidth="1"/>
    <col min="4" max="4" width="55.5" style="19" bestFit="1" customWidth="1"/>
    <col min="5" max="5" width="113.6640625" style="19" bestFit="1" customWidth="1"/>
    <col min="6" max="6" width="10.5" style="19" bestFit="1" customWidth="1"/>
    <col min="7" max="7" width="9.6640625" style="21" customWidth="1"/>
    <col min="8" max="8" width="9.6640625" style="19" customWidth="1"/>
    <col min="9" max="9" width="9.6640625" style="222" customWidth="1"/>
    <col min="10" max="10" width="17.83203125" style="21" customWidth="1"/>
    <col min="11" max="11" width="9.6640625" style="19" customWidth="1"/>
    <col min="12" max="12" width="12.5" style="197" customWidth="1"/>
    <col min="13" max="13" width="66.33203125" style="197" bestFit="1" customWidth="1"/>
    <col min="14" max="16384" width="9" style="197"/>
  </cols>
  <sheetData>
    <row r="1" spans="1:13" ht="16">
      <c r="A1" s="195" t="s">
        <v>2</v>
      </c>
      <c r="B1" s="195" t="s">
        <v>3</v>
      </c>
      <c r="C1" s="195" t="s">
        <v>4</v>
      </c>
      <c r="D1" s="195" t="s">
        <v>5</v>
      </c>
      <c r="E1" s="195" t="s">
        <v>6</v>
      </c>
      <c r="F1" s="195" t="s">
        <v>7</v>
      </c>
      <c r="G1" s="195" t="s">
        <v>8</v>
      </c>
      <c r="H1" s="195" t="s">
        <v>9</v>
      </c>
      <c r="I1" s="195" t="s">
        <v>10</v>
      </c>
      <c r="J1" s="195" t="s">
        <v>11</v>
      </c>
      <c r="K1" s="195" t="s">
        <v>12</v>
      </c>
      <c r="L1" s="196" t="s">
        <v>13</v>
      </c>
      <c r="M1" s="196" t="s">
        <v>14</v>
      </c>
    </row>
    <row r="2" spans="1:13" ht="32">
      <c r="A2" s="198" t="s">
        <v>822</v>
      </c>
      <c r="B2" s="198" t="s">
        <v>31</v>
      </c>
      <c r="C2" s="198" t="s">
        <v>32</v>
      </c>
      <c r="D2" s="200" t="s">
        <v>157</v>
      </c>
      <c r="E2" s="210" t="s">
        <v>842</v>
      </c>
      <c r="F2" s="202" t="str">
        <f>VLOOKUP(D2,CSR!$D$4:$E$1180,2,FALSE)</f>
        <v>CSR_30600</v>
      </c>
      <c r="G2" s="203">
        <v>46171</v>
      </c>
      <c r="H2" s="204">
        <v>5</v>
      </c>
      <c r="I2" s="205">
        <f t="shared" ref="I2:I64" si="0">H2*10/190</f>
        <v>0.26315789473684209</v>
      </c>
      <c r="J2" s="206" t="s">
        <v>160</v>
      </c>
      <c r="K2" s="201"/>
      <c r="L2" s="206" t="s">
        <v>2420</v>
      </c>
      <c r="M2" s="201" t="s">
        <v>2430</v>
      </c>
    </row>
    <row r="3" spans="1:13" ht="32">
      <c r="A3" s="198" t="s">
        <v>2095</v>
      </c>
      <c r="B3" s="198" t="s">
        <v>31</v>
      </c>
      <c r="C3" s="198" t="s">
        <v>32</v>
      </c>
      <c r="D3" s="200" t="s">
        <v>157</v>
      </c>
      <c r="E3" s="210" t="s">
        <v>842</v>
      </c>
      <c r="F3" s="202" t="str">
        <f>VLOOKUP(D3,CSR!$D$4:$E$1180,2,FALSE)</f>
        <v>CSR_30600</v>
      </c>
      <c r="G3" s="203">
        <v>46178</v>
      </c>
      <c r="H3" s="204">
        <v>5</v>
      </c>
      <c r="I3" s="205">
        <f t="shared" si="0"/>
        <v>0.26315789473684209</v>
      </c>
      <c r="J3" s="206" t="s">
        <v>160</v>
      </c>
      <c r="K3" s="201"/>
      <c r="L3" s="206" t="s">
        <v>2420</v>
      </c>
      <c r="M3" s="201" t="s">
        <v>2430</v>
      </c>
    </row>
    <row r="4" spans="1:13" ht="32">
      <c r="A4" s="198" t="s">
        <v>2095</v>
      </c>
      <c r="B4" s="198" t="s">
        <v>31</v>
      </c>
      <c r="C4" s="198" t="s">
        <v>32</v>
      </c>
      <c r="D4" s="200" t="s">
        <v>157</v>
      </c>
      <c r="E4" s="210" t="s">
        <v>842</v>
      </c>
      <c r="F4" s="202" t="str">
        <f>VLOOKUP(D4,CSR!$D$4:$E$1180,2,FALSE)</f>
        <v>CSR_30600</v>
      </c>
      <c r="G4" s="203">
        <v>46185</v>
      </c>
      <c r="H4" s="204">
        <v>5</v>
      </c>
      <c r="I4" s="205">
        <f t="shared" si="0"/>
        <v>0.26315789473684209</v>
      </c>
      <c r="J4" s="206" t="s">
        <v>160</v>
      </c>
      <c r="K4" s="201"/>
      <c r="L4" s="206" t="s">
        <v>2420</v>
      </c>
      <c r="M4" s="201" t="s">
        <v>2430</v>
      </c>
    </row>
    <row r="5" spans="1:13" ht="32">
      <c r="A5" s="198" t="s">
        <v>2095</v>
      </c>
      <c r="B5" s="198" t="s">
        <v>31</v>
      </c>
      <c r="C5" s="198" t="s">
        <v>32</v>
      </c>
      <c r="D5" s="200" t="s">
        <v>157</v>
      </c>
      <c r="E5" s="210" t="s">
        <v>842</v>
      </c>
      <c r="F5" s="202" t="str">
        <f>VLOOKUP(D5,CSR!$D$4:$E$1180,2,FALSE)</f>
        <v>CSR_30600</v>
      </c>
      <c r="G5" s="203">
        <v>46192</v>
      </c>
      <c r="H5" s="204">
        <v>4</v>
      </c>
      <c r="I5" s="205">
        <f t="shared" si="0"/>
        <v>0.21052631578947367</v>
      </c>
      <c r="J5" s="206" t="s">
        <v>160</v>
      </c>
      <c r="K5" s="201"/>
      <c r="L5" s="206" t="s">
        <v>2420</v>
      </c>
      <c r="M5" s="201" t="s">
        <v>2430</v>
      </c>
    </row>
    <row r="6" spans="1:13" ht="32" customHeight="1">
      <c r="A6" s="198" t="s">
        <v>822</v>
      </c>
      <c r="B6" s="199" t="s">
        <v>2419</v>
      </c>
      <c r="C6" s="199" t="s">
        <v>2418</v>
      </c>
      <c r="D6" s="200" t="s">
        <v>2417</v>
      </c>
      <c r="E6" s="200" t="s">
        <v>2111</v>
      </c>
      <c r="F6" s="202" t="str">
        <f>VLOOKUP(D6,CSR!$D$4:$E$1180,2,FALSE)</f>
        <v>CSR_11500</v>
      </c>
      <c r="G6" s="203">
        <v>46171</v>
      </c>
      <c r="H6" s="204">
        <v>1</v>
      </c>
      <c r="I6" s="205">
        <f t="shared" si="0"/>
        <v>5.2631578947368418E-2</v>
      </c>
      <c r="J6" s="206" t="s">
        <v>54</v>
      </c>
      <c r="K6" s="206"/>
      <c r="L6" s="206" t="s">
        <v>23</v>
      </c>
      <c r="M6" s="201" t="s">
        <v>2112</v>
      </c>
    </row>
    <row r="7" spans="1:13" ht="32" customHeight="1">
      <c r="A7" s="198" t="s">
        <v>822</v>
      </c>
      <c r="B7" s="199" t="s">
        <v>2419</v>
      </c>
      <c r="C7" s="199" t="s">
        <v>2418</v>
      </c>
      <c r="D7" s="200" t="s">
        <v>2096</v>
      </c>
      <c r="E7" s="200" t="s">
        <v>2113</v>
      </c>
      <c r="F7" s="202" t="str">
        <f>VLOOKUP(D7,CSR!$D$4:$E$1180,2,FALSE)</f>
        <v>CSR_11501</v>
      </c>
      <c r="G7" s="203">
        <v>46171</v>
      </c>
      <c r="H7" s="204">
        <v>1</v>
      </c>
      <c r="I7" s="205">
        <f t="shared" si="0"/>
        <v>5.2631578947368418E-2</v>
      </c>
      <c r="J7" s="206" t="s">
        <v>54</v>
      </c>
      <c r="K7" s="206"/>
      <c r="L7" s="206" t="s">
        <v>23</v>
      </c>
      <c r="M7" s="201" t="s">
        <v>2114</v>
      </c>
    </row>
    <row r="8" spans="1:13" ht="32" customHeight="1">
      <c r="A8" s="198" t="s">
        <v>822</v>
      </c>
      <c r="B8" s="199" t="s">
        <v>2419</v>
      </c>
      <c r="C8" s="199" t="s">
        <v>2418</v>
      </c>
      <c r="D8" s="200" t="s">
        <v>131</v>
      </c>
      <c r="E8" s="200" t="s">
        <v>2115</v>
      </c>
      <c r="F8" s="202" t="str">
        <f>VLOOKUP(D8,CSR!$D$4:$E$1180,2,FALSE)</f>
        <v>CSR_10400</v>
      </c>
      <c r="G8" s="203">
        <v>46171</v>
      </c>
      <c r="H8" s="204">
        <v>1</v>
      </c>
      <c r="I8" s="205">
        <f t="shared" si="0"/>
        <v>5.2631578947368418E-2</v>
      </c>
      <c r="J8" s="206" t="s">
        <v>54</v>
      </c>
      <c r="K8" s="206"/>
      <c r="L8" s="206" t="s">
        <v>23</v>
      </c>
      <c r="M8" s="201" t="s">
        <v>2116</v>
      </c>
    </row>
    <row r="9" spans="1:13" ht="32" customHeight="1">
      <c r="A9" s="198" t="s">
        <v>822</v>
      </c>
      <c r="B9" s="199" t="s">
        <v>2419</v>
      </c>
      <c r="C9" s="199" t="s">
        <v>2418</v>
      </c>
      <c r="D9" s="200" t="s">
        <v>44</v>
      </c>
      <c r="E9" s="200" t="s">
        <v>2117</v>
      </c>
      <c r="F9" s="202" t="str">
        <f>VLOOKUP(D9,CSR!$D$4:$E$1180,2,FALSE)</f>
        <v>CSR_11416</v>
      </c>
      <c r="G9" s="203">
        <v>46171</v>
      </c>
      <c r="H9" s="204">
        <v>1</v>
      </c>
      <c r="I9" s="205">
        <f t="shared" si="0"/>
        <v>5.2631578947368418E-2</v>
      </c>
      <c r="J9" s="206" t="s">
        <v>54</v>
      </c>
      <c r="K9" s="206"/>
      <c r="L9" s="206" t="s">
        <v>410</v>
      </c>
      <c r="M9" s="201" t="s">
        <v>2118</v>
      </c>
    </row>
    <row r="10" spans="1:13" ht="32" customHeight="1">
      <c r="A10" s="198" t="s">
        <v>822</v>
      </c>
      <c r="B10" s="199" t="s">
        <v>2419</v>
      </c>
      <c r="C10" s="199" t="s">
        <v>2418</v>
      </c>
      <c r="D10" s="200" t="s">
        <v>2106</v>
      </c>
      <c r="E10" s="200" t="s">
        <v>2119</v>
      </c>
      <c r="F10" s="202" t="str">
        <f>VLOOKUP(D10,CSR!$D$4:$E$1180,2,FALSE)</f>
        <v>CSR_11415</v>
      </c>
      <c r="G10" s="203">
        <v>46171</v>
      </c>
      <c r="H10" s="204">
        <v>2</v>
      </c>
      <c r="I10" s="205">
        <f t="shared" si="0"/>
        <v>0.10526315789473684</v>
      </c>
      <c r="J10" s="206" t="s">
        <v>375</v>
      </c>
      <c r="K10" s="206"/>
      <c r="L10" s="206" t="s">
        <v>410</v>
      </c>
      <c r="M10" s="201" t="s">
        <v>2120</v>
      </c>
    </row>
    <row r="11" spans="1:13" ht="32" customHeight="1">
      <c r="A11" s="198" t="s">
        <v>822</v>
      </c>
      <c r="B11" s="199" t="s">
        <v>2419</v>
      </c>
      <c r="C11" s="199" t="s">
        <v>2418</v>
      </c>
      <c r="D11" s="200" t="s">
        <v>18</v>
      </c>
      <c r="E11" s="200" t="s">
        <v>2121</v>
      </c>
      <c r="F11" s="202" t="str">
        <f>VLOOKUP(D11,CSR!$D$4:$E$1180,2,FALSE)</f>
        <v>CSR_11300</v>
      </c>
      <c r="G11" s="203">
        <v>46171</v>
      </c>
      <c r="H11" s="204">
        <v>1</v>
      </c>
      <c r="I11" s="205">
        <f t="shared" si="0"/>
        <v>5.2631578947368418E-2</v>
      </c>
      <c r="J11" s="206" t="s">
        <v>375</v>
      </c>
      <c r="K11" s="206"/>
      <c r="L11" s="206" t="s">
        <v>23</v>
      </c>
      <c r="M11" s="201" t="s">
        <v>2122</v>
      </c>
    </row>
    <row r="12" spans="1:13" ht="32" customHeight="1">
      <c r="A12" s="198" t="s">
        <v>822</v>
      </c>
      <c r="B12" s="199" t="s">
        <v>70</v>
      </c>
      <c r="C12" s="199" t="s">
        <v>245</v>
      </c>
      <c r="D12" s="200" t="s">
        <v>269</v>
      </c>
      <c r="E12" s="200" t="s">
        <v>2123</v>
      </c>
      <c r="F12" s="202" t="str">
        <f>VLOOKUP(D12,CSR!$D$4:$E$1180,2,FALSE)</f>
        <v>CSR_20006</v>
      </c>
      <c r="G12" s="203">
        <v>46171</v>
      </c>
      <c r="H12" s="204">
        <v>1</v>
      </c>
      <c r="I12" s="205">
        <f t="shared" si="0"/>
        <v>5.2631578947368418E-2</v>
      </c>
      <c r="J12" s="206" t="s">
        <v>375</v>
      </c>
      <c r="K12" s="206"/>
      <c r="L12" s="206" t="s">
        <v>409</v>
      </c>
      <c r="M12" s="201" t="s">
        <v>2124</v>
      </c>
    </row>
    <row r="13" spans="1:13" ht="32" customHeight="1">
      <c r="A13" s="198" t="s">
        <v>822</v>
      </c>
      <c r="B13" s="199" t="s">
        <v>2419</v>
      </c>
      <c r="C13" s="199" t="s">
        <v>2418</v>
      </c>
      <c r="D13" s="200" t="s">
        <v>2106</v>
      </c>
      <c r="E13" s="200" t="s">
        <v>2125</v>
      </c>
      <c r="F13" s="202" t="str">
        <f>VLOOKUP(D13,CSR!$D$4:$E$1180,2,FALSE)</f>
        <v>CSR_11415</v>
      </c>
      <c r="G13" s="203">
        <v>46171</v>
      </c>
      <c r="H13" s="204">
        <v>2</v>
      </c>
      <c r="I13" s="205">
        <f t="shared" si="0"/>
        <v>0.10526315789473684</v>
      </c>
      <c r="J13" s="206" t="s">
        <v>364</v>
      </c>
      <c r="K13" s="206"/>
      <c r="L13" s="206" t="s">
        <v>409</v>
      </c>
      <c r="M13" s="201" t="s">
        <v>2126</v>
      </c>
    </row>
    <row r="14" spans="1:13" ht="32" customHeight="1">
      <c r="A14" s="198" t="s">
        <v>822</v>
      </c>
      <c r="B14" s="199" t="s">
        <v>49</v>
      </c>
      <c r="C14" s="199" t="s">
        <v>175</v>
      </c>
      <c r="D14" s="200" t="s">
        <v>187</v>
      </c>
      <c r="E14" s="200" t="s">
        <v>2127</v>
      </c>
      <c r="F14" s="202" t="str">
        <f>VLOOKUP(D14,CSR!$D$4:$E$1180,2,FALSE)</f>
        <v>CSR_40400</v>
      </c>
      <c r="G14" s="203">
        <v>46171</v>
      </c>
      <c r="H14" s="204">
        <v>1</v>
      </c>
      <c r="I14" s="205">
        <f t="shared" si="0"/>
        <v>5.2631578947368418E-2</v>
      </c>
      <c r="J14" s="206" t="s">
        <v>364</v>
      </c>
      <c r="K14" s="206"/>
      <c r="L14" s="206" t="s">
        <v>409</v>
      </c>
      <c r="M14" s="201" t="s">
        <v>2128</v>
      </c>
    </row>
    <row r="15" spans="1:13" ht="32" customHeight="1">
      <c r="A15" s="198" t="s">
        <v>822</v>
      </c>
      <c r="B15" s="199" t="s">
        <v>31</v>
      </c>
      <c r="C15" s="199" t="s">
        <v>336</v>
      </c>
      <c r="D15" s="200" t="s">
        <v>2110</v>
      </c>
      <c r="E15" s="200" t="s">
        <v>2129</v>
      </c>
      <c r="F15" s="202" t="str">
        <f>VLOOKUP(D15,CSR!$D$4:$E$1180,2,FALSE)</f>
        <v>CSR_30800</v>
      </c>
      <c r="G15" s="203">
        <v>46171</v>
      </c>
      <c r="H15" s="204">
        <v>1</v>
      </c>
      <c r="I15" s="205">
        <f t="shared" si="0"/>
        <v>5.2631578947368418E-2</v>
      </c>
      <c r="J15" s="206" t="s">
        <v>364</v>
      </c>
      <c r="K15" s="206"/>
      <c r="L15" s="206" t="s">
        <v>409</v>
      </c>
      <c r="M15" s="201" t="s">
        <v>2130</v>
      </c>
    </row>
    <row r="16" spans="1:13" ht="32" customHeight="1">
      <c r="A16" s="198" t="s">
        <v>822</v>
      </c>
      <c r="B16" s="199" t="s">
        <v>2419</v>
      </c>
      <c r="C16" s="199" t="s">
        <v>2418</v>
      </c>
      <c r="D16" s="200" t="s">
        <v>2106</v>
      </c>
      <c r="E16" s="200" t="s">
        <v>2131</v>
      </c>
      <c r="F16" s="202" t="str">
        <f>VLOOKUP(D16,CSR!$D$4:$E$1180,2,FALSE)</f>
        <v>CSR_11415</v>
      </c>
      <c r="G16" s="203">
        <v>46171</v>
      </c>
      <c r="H16" s="204">
        <v>2</v>
      </c>
      <c r="I16" s="205">
        <f t="shared" si="0"/>
        <v>0.10526315789473684</v>
      </c>
      <c r="J16" s="206" t="s">
        <v>335</v>
      </c>
      <c r="K16" s="206"/>
      <c r="L16" s="206" t="s">
        <v>409</v>
      </c>
      <c r="M16" s="201" t="s">
        <v>2132</v>
      </c>
    </row>
    <row r="17" spans="1:13" ht="32" customHeight="1">
      <c r="A17" s="198" t="s">
        <v>822</v>
      </c>
      <c r="B17" s="199" t="s">
        <v>2419</v>
      </c>
      <c r="C17" s="199" t="s">
        <v>2418</v>
      </c>
      <c r="D17" s="200" t="s">
        <v>65</v>
      </c>
      <c r="E17" s="200" t="s">
        <v>2133</v>
      </c>
      <c r="F17" s="202" t="str">
        <f>VLOOKUP(D17,CSR!$D$4:$E$1180,2,FALSE)</f>
        <v>CSR_10800</v>
      </c>
      <c r="G17" s="203">
        <v>46171</v>
      </c>
      <c r="H17" s="204">
        <v>1</v>
      </c>
      <c r="I17" s="205">
        <f t="shared" si="0"/>
        <v>5.2631578947368418E-2</v>
      </c>
      <c r="J17" s="206" t="s">
        <v>335</v>
      </c>
      <c r="K17" s="206"/>
      <c r="L17" s="206" t="s">
        <v>409</v>
      </c>
      <c r="M17" s="201" t="s">
        <v>2134</v>
      </c>
    </row>
    <row r="18" spans="1:13" ht="32" customHeight="1">
      <c r="A18" s="198" t="s">
        <v>822</v>
      </c>
      <c r="B18" s="199" t="s">
        <v>2419</v>
      </c>
      <c r="C18" s="199" t="s">
        <v>2418</v>
      </c>
      <c r="D18" s="200" t="s">
        <v>44</v>
      </c>
      <c r="E18" s="200" t="s">
        <v>2135</v>
      </c>
      <c r="F18" s="202" t="str">
        <f>VLOOKUP(D18,CSR!$D$4:$E$1180,2,FALSE)</f>
        <v>CSR_11416</v>
      </c>
      <c r="G18" s="203">
        <v>46171</v>
      </c>
      <c r="H18" s="204">
        <v>1</v>
      </c>
      <c r="I18" s="205">
        <f t="shared" si="0"/>
        <v>5.2631578947368418E-2</v>
      </c>
      <c r="J18" s="206" t="s">
        <v>335</v>
      </c>
      <c r="K18" s="206"/>
      <c r="L18" s="206" t="s">
        <v>410</v>
      </c>
      <c r="M18" s="201" t="s">
        <v>2136</v>
      </c>
    </row>
    <row r="19" spans="1:13" ht="32" customHeight="1">
      <c r="A19" s="198" t="s">
        <v>822</v>
      </c>
      <c r="B19" s="199" t="s">
        <v>2419</v>
      </c>
      <c r="C19" s="199" t="s">
        <v>2418</v>
      </c>
      <c r="D19" s="200" t="s">
        <v>65</v>
      </c>
      <c r="E19" s="200" t="s">
        <v>2137</v>
      </c>
      <c r="F19" s="202" t="str">
        <f>VLOOKUP(D19,CSR!$D$4:$E$1180,2,FALSE)</f>
        <v>CSR_10800</v>
      </c>
      <c r="G19" s="203">
        <v>46171</v>
      </c>
      <c r="H19" s="204">
        <v>4</v>
      </c>
      <c r="I19" s="205">
        <f t="shared" si="0"/>
        <v>0.21052631578947367</v>
      </c>
      <c r="J19" s="206" t="s">
        <v>68</v>
      </c>
      <c r="K19" s="206"/>
      <c r="L19" s="206" t="s">
        <v>409</v>
      </c>
      <c r="M19" s="201" t="s">
        <v>2138</v>
      </c>
    </row>
    <row r="20" spans="1:13" ht="32" customHeight="1">
      <c r="A20" s="198" t="s">
        <v>822</v>
      </c>
      <c r="B20" s="199" t="s">
        <v>2419</v>
      </c>
      <c r="C20" s="199" t="s">
        <v>2418</v>
      </c>
      <c r="D20" s="200" t="s">
        <v>2106</v>
      </c>
      <c r="E20" s="200" t="s">
        <v>2139</v>
      </c>
      <c r="F20" s="202" t="str">
        <f>VLOOKUP(D20,CSR!$D$4:$E$1180,2,FALSE)</f>
        <v>CSR_11415</v>
      </c>
      <c r="G20" s="203">
        <v>46171</v>
      </c>
      <c r="H20" s="204">
        <v>2</v>
      </c>
      <c r="I20" s="205">
        <f t="shared" si="0"/>
        <v>0.10526315789473684</v>
      </c>
      <c r="J20" s="206" t="s">
        <v>386</v>
      </c>
      <c r="K20" s="206"/>
      <c r="L20" s="206" t="s">
        <v>409</v>
      </c>
      <c r="M20" s="201" t="s">
        <v>2140</v>
      </c>
    </row>
    <row r="21" spans="1:13" ht="32" customHeight="1">
      <c r="A21" s="198" t="s">
        <v>822</v>
      </c>
      <c r="B21" s="199" t="s">
        <v>31</v>
      </c>
      <c r="C21" s="199" t="s">
        <v>32</v>
      </c>
      <c r="D21" s="200" t="s">
        <v>33</v>
      </c>
      <c r="E21" s="200" t="s">
        <v>2141</v>
      </c>
      <c r="F21" s="202" t="str">
        <f>VLOOKUP(D21,CSR!$D$4:$E$1180,2,FALSE)</f>
        <v>CSR_30200</v>
      </c>
      <c r="G21" s="203">
        <v>46171</v>
      </c>
      <c r="H21" s="204">
        <v>2</v>
      </c>
      <c r="I21" s="205">
        <f t="shared" si="0"/>
        <v>0.10526315789473684</v>
      </c>
      <c r="J21" s="206" t="s">
        <v>386</v>
      </c>
      <c r="K21" s="206"/>
      <c r="L21" s="206" t="s">
        <v>409</v>
      </c>
      <c r="M21" s="201" t="s">
        <v>2142</v>
      </c>
    </row>
    <row r="22" spans="1:13" ht="32" customHeight="1">
      <c r="A22" s="198" t="s">
        <v>822</v>
      </c>
      <c r="B22" s="199" t="s">
        <v>70</v>
      </c>
      <c r="C22" s="199" t="s">
        <v>245</v>
      </c>
      <c r="D22" s="200" t="s">
        <v>269</v>
      </c>
      <c r="E22" s="200" t="s">
        <v>2143</v>
      </c>
      <c r="F22" s="202" t="str">
        <f>VLOOKUP(D22,CSR!$D$4:$E$1180,2,FALSE)</f>
        <v>CSR_20006</v>
      </c>
      <c r="G22" s="203">
        <v>46171</v>
      </c>
      <c r="H22" s="204">
        <v>1</v>
      </c>
      <c r="I22" s="205">
        <f t="shared" si="0"/>
        <v>5.2631578947368418E-2</v>
      </c>
      <c r="J22" s="206" t="s">
        <v>386</v>
      </c>
      <c r="K22" s="206"/>
      <c r="L22" s="206" t="s">
        <v>409</v>
      </c>
      <c r="M22" s="201" t="s">
        <v>2144</v>
      </c>
    </row>
    <row r="23" spans="1:13" ht="32" customHeight="1">
      <c r="A23" s="198" t="s">
        <v>822</v>
      </c>
      <c r="B23" s="199" t="s">
        <v>2419</v>
      </c>
      <c r="C23" s="199" t="s">
        <v>2418</v>
      </c>
      <c r="D23" s="200" t="s">
        <v>2106</v>
      </c>
      <c r="E23" s="200" t="s">
        <v>2145</v>
      </c>
      <c r="F23" s="202" t="str">
        <f>VLOOKUP(D23,CSR!$D$4:$E$1180,2,FALSE)</f>
        <v>CSR_11415</v>
      </c>
      <c r="G23" s="203">
        <v>46171</v>
      </c>
      <c r="H23" s="204">
        <v>2</v>
      </c>
      <c r="I23" s="205">
        <f t="shared" si="0"/>
        <v>0.10526315789473684</v>
      </c>
      <c r="J23" s="206" t="s">
        <v>351</v>
      </c>
      <c r="K23" s="206"/>
      <c r="L23" s="206" t="s">
        <v>409</v>
      </c>
      <c r="M23" s="201" t="s">
        <v>2146</v>
      </c>
    </row>
    <row r="24" spans="1:13" ht="32" customHeight="1">
      <c r="A24" s="198" t="s">
        <v>822</v>
      </c>
      <c r="B24" s="199" t="s">
        <v>31</v>
      </c>
      <c r="C24" s="199" t="s">
        <v>336</v>
      </c>
      <c r="D24" s="200" t="s">
        <v>357</v>
      </c>
      <c r="E24" s="200" t="s">
        <v>2422</v>
      </c>
      <c r="F24" s="202" t="str">
        <f>VLOOKUP(D24,CSR!$D$4:$E$1180,2,FALSE)</f>
        <v>CSR_30700</v>
      </c>
      <c r="G24" s="203">
        <v>46171</v>
      </c>
      <c r="H24" s="204">
        <v>3</v>
      </c>
      <c r="I24" s="205">
        <f t="shared" si="0"/>
        <v>0.15789473684210525</v>
      </c>
      <c r="J24" s="206" t="s">
        <v>351</v>
      </c>
      <c r="K24" s="206"/>
      <c r="L24" s="206" t="s">
        <v>409</v>
      </c>
      <c r="M24" s="201" t="s">
        <v>2147</v>
      </c>
    </row>
    <row r="25" spans="1:13" ht="32" customHeight="1">
      <c r="A25" s="198" t="s">
        <v>822</v>
      </c>
      <c r="B25" s="199" t="s">
        <v>2419</v>
      </c>
      <c r="C25" s="199" t="s">
        <v>2418</v>
      </c>
      <c r="D25" s="200" t="s">
        <v>65</v>
      </c>
      <c r="E25" s="200" t="s">
        <v>2148</v>
      </c>
      <c r="F25" s="202" t="str">
        <f>VLOOKUP(D25,CSR!$D$4:$E$1180,2,FALSE)</f>
        <v>CSR_10800</v>
      </c>
      <c r="G25" s="203">
        <v>46171</v>
      </c>
      <c r="H25" s="204">
        <v>1</v>
      </c>
      <c r="I25" s="205">
        <f t="shared" si="0"/>
        <v>5.2631578947368418E-2</v>
      </c>
      <c r="J25" s="206" t="s">
        <v>22</v>
      </c>
      <c r="K25" s="206"/>
      <c r="L25" s="206" t="s">
        <v>409</v>
      </c>
      <c r="M25" s="201" t="s">
        <v>2149</v>
      </c>
    </row>
    <row r="26" spans="1:13" ht="32" customHeight="1">
      <c r="A26" s="198" t="s">
        <v>822</v>
      </c>
      <c r="B26" s="199" t="s">
        <v>2419</v>
      </c>
      <c r="C26" s="199" t="s">
        <v>2418</v>
      </c>
      <c r="D26" s="200" t="s">
        <v>2096</v>
      </c>
      <c r="E26" s="200" t="s">
        <v>2150</v>
      </c>
      <c r="F26" s="202" t="str">
        <f>VLOOKUP(D26,CSR!$D$4:$E$1180,2,FALSE)</f>
        <v>CSR_11501</v>
      </c>
      <c r="G26" s="203">
        <v>46171</v>
      </c>
      <c r="H26" s="204">
        <v>1</v>
      </c>
      <c r="I26" s="205">
        <f t="shared" si="0"/>
        <v>5.2631578947368418E-2</v>
      </c>
      <c r="J26" s="206" t="s">
        <v>22</v>
      </c>
      <c r="K26" s="206"/>
      <c r="L26" s="206" t="s">
        <v>409</v>
      </c>
      <c r="M26" s="201" t="s">
        <v>2151</v>
      </c>
    </row>
    <row r="27" spans="1:13" ht="32" customHeight="1">
      <c r="A27" s="198" t="s">
        <v>822</v>
      </c>
      <c r="B27" s="199" t="s">
        <v>2419</v>
      </c>
      <c r="C27" s="199" t="s">
        <v>2418</v>
      </c>
      <c r="D27" s="200" t="s">
        <v>44</v>
      </c>
      <c r="E27" s="200" t="s">
        <v>2152</v>
      </c>
      <c r="F27" s="202" t="str">
        <f>VLOOKUP(D27,CSR!$D$4:$E$1180,2,FALSE)</f>
        <v>CSR_11416</v>
      </c>
      <c r="G27" s="203">
        <v>46171</v>
      </c>
      <c r="H27" s="204">
        <v>2</v>
      </c>
      <c r="I27" s="205">
        <f t="shared" si="0"/>
        <v>0.10526315789473684</v>
      </c>
      <c r="J27" s="206" t="s">
        <v>22</v>
      </c>
      <c r="K27" s="206"/>
      <c r="L27" s="206" t="s">
        <v>410</v>
      </c>
      <c r="M27" s="201" t="s">
        <v>2153</v>
      </c>
    </row>
    <row r="28" spans="1:13" ht="32" customHeight="1">
      <c r="A28" s="198" t="s">
        <v>822</v>
      </c>
      <c r="B28" s="199" t="s">
        <v>31</v>
      </c>
      <c r="C28" s="199" t="s">
        <v>32</v>
      </c>
      <c r="D28" s="200" t="s">
        <v>33</v>
      </c>
      <c r="E28" s="200" t="s">
        <v>2154</v>
      </c>
      <c r="F28" s="202" t="str">
        <f>VLOOKUP(D28,CSR!$D$4:$E$1180,2,FALSE)</f>
        <v>CSR_30200</v>
      </c>
      <c r="G28" s="203">
        <v>46171</v>
      </c>
      <c r="H28" s="204">
        <v>2</v>
      </c>
      <c r="I28" s="205">
        <f t="shared" si="0"/>
        <v>0.10526315789473684</v>
      </c>
      <c r="J28" s="206" t="s">
        <v>324</v>
      </c>
      <c r="K28" s="206"/>
      <c r="L28" s="206" t="s">
        <v>410</v>
      </c>
      <c r="M28" s="201" t="s">
        <v>2155</v>
      </c>
    </row>
    <row r="29" spans="1:13" ht="32" customHeight="1">
      <c r="A29" s="198" t="s">
        <v>822</v>
      </c>
      <c r="B29" s="199" t="s">
        <v>2419</v>
      </c>
      <c r="C29" s="199" t="s">
        <v>2418</v>
      </c>
      <c r="D29" s="200" t="s">
        <v>2106</v>
      </c>
      <c r="E29" s="200" t="s">
        <v>2156</v>
      </c>
      <c r="F29" s="202" t="str">
        <f>VLOOKUP(D29,CSR!$D$4:$E$1180,2,FALSE)</f>
        <v>CSR_11415</v>
      </c>
      <c r="G29" s="203">
        <v>46171</v>
      </c>
      <c r="H29" s="204">
        <v>2</v>
      </c>
      <c r="I29" s="205">
        <f t="shared" si="0"/>
        <v>0.10526315789473684</v>
      </c>
      <c r="J29" s="206" t="s">
        <v>324</v>
      </c>
      <c r="K29" s="206"/>
      <c r="L29" s="206" t="s">
        <v>409</v>
      </c>
      <c r="M29" s="201" t="s">
        <v>2157</v>
      </c>
    </row>
    <row r="30" spans="1:13" ht="32" customHeight="1">
      <c r="A30" s="198" t="s">
        <v>822</v>
      </c>
      <c r="B30" s="199" t="s">
        <v>2419</v>
      </c>
      <c r="C30" s="199" t="s">
        <v>2418</v>
      </c>
      <c r="D30" s="200" t="s">
        <v>2417</v>
      </c>
      <c r="E30" s="200" t="s">
        <v>2158</v>
      </c>
      <c r="F30" s="202" t="str">
        <f>VLOOKUP(D30,CSR!$D$4:$E$1180,2,FALSE)</f>
        <v>CSR_11500</v>
      </c>
      <c r="G30" s="203">
        <v>46171</v>
      </c>
      <c r="H30" s="204">
        <v>2</v>
      </c>
      <c r="I30" s="205">
        <f t="shared" si="0"/>
        <v>0.10526315789473684</v>
      </c>
      <c r="J30" s="206" t="s">
        <v>114</v>
      </c>
      <c r="K30" s="206"/>
      <c r="L30" s="206" t="s">
        <v>23</v>
      </c>
      <c r="M30" s="201" t="s">
        <v>2159</v>
      </c>
    </row>
    <row r="31" spans="1:13" ht="32" customHeight="1">
      <c r="A31" s="198" t="s">
        <v>822</v>
      </c>
      <c r="B31" s="199" t="s">
        <v>2419</v>
      </c>
      <c r="C31" s="199" t="s">
        <v>2418</v>
      </c>
      <c r="D31" s="200" t="s">
        <v>44</v>
      </c>
      <c r="E31" s="200" t="s">
        <v>2160</v>
      </c>
      <c r="F31" s="202" t="str">
        <f>VLOOKUP(D31,CSR!$D$4:$E$1180,2,FALSE)</f>
        <v>CSR_11416</v>
      </c>
      <c r="G31" s="203">
        <v>46171</v>
      </c>
      <c r="H31" s="204">
        <v>2</v>
      </c>
      <c r="I31" s="205">
        <f t="shared" si="0"/>
        <v>0.10526315789473684</v>
      </c>
      <c r="J31" s="206" t="s">
        <v>114</v>
      </c>
      <c r="K31" s="206"/>
      <c r="L31" s="206" t="s">
        <v>409</v>
      </c>
      <c r="M31" s="201" t="s">
        <v>2161</v>
      </c>
    </row>
    <row r="32" spans="1:13" ht="32" customHeight="1">
      <c r="A32" s="198" t="s">
        <v>822</v>
      </c>
      <c r="B32" s="199" t="s">
        <v>2419</v>
      </c>
      <c r="C32" s="199" t="s">
        <v>2418</v>
      </c>
      <c r="D32" s="200" t="s">
        <v>2417</v>
      </c>
      <c r="E32" s="200" t="s">
        <v>2162</v>
      </c>
      <c r="F32" s="202" t="str">
        <f>VLOOKUP(D32,CSR!$D$4:$E$1180,2,FALSE)</f>
        <v>CSR_11500</v>
      </c>
      <c r="G32" s="203">
        <v>46171</v>
      </c>
      <c r="H32" s="204">
        <v>1</v>
      </c>
      <c r="I32" s="205">
        <f t="shared" si="0"/>
        <v>5.2631578947368418E-2</v>
      </c>
      <c r="J32" s="206" t="s">
        <v>104</v>
      </c>
      <c r="K32" s="206"/>
      <c r="L32" s="206" t="s">
        <v>23</v>
      </c>
      <c r="M32" s="201" t="s">
        <v>2163</v>
      </c>
    </row>
    <row r="33" spans="1:13" ht="32" customHeight="1">
      <c r="A33" s="198" t="s">
        <v>822</v>
      </c>
      <c r="B33" s="199" t="s">
        <v>2419</v>
      </c>
      <c r="C33" s="199" t="s">
        <v>2418</v>
      </c>
      <c r="D33" s="200" t="s">
        <v>18</v>
      </c>
      <c r="E33" s="200" t="s">
        <v>2164</v>
      </c>
      <c r="F33" s="202" t="str">
        <f>VLOOKUP(D33,CSR!$D$4:$E$1180,2,FALSE)</f>
        <v>CSR_11300</v>
      </c>
      <c r="G33" s="203">
        <v>46171</v>
      </c>
      <c r="H33" s="204">
        <v>1</v>
      </c>
      <c r="I33" s="205">
        <f t="shared" si="0"/>
        <v>5.2631578947368418E-2</v>
      </c>
      <c r="J33" s="206" t="s">
        <v>104</v>
      </c>
      <c r="K33" s="206"/>
      <c r="L33" s="206" t="s">
        <v>23</v>
      </c>
      <c r="M33" s="201" t="s">
        <v>2165</v>
      </c>
    </row>
    <row r="34" spans="1:13" ht="32" customHeight="1">
      <c r="A34" s="198" t="s">
        <v>822</v>
      </c>
      <c r="B34" s="199" t="s">
        <v>2419</v>
      </c>
      <c r="C34" s="199" t="s">
        <v>2418</v>
      </c>
      <c r="D34" s="200" t="s">
        <v>44</v>
      </c>
      <c r="E34" s="200" t="s">
        <v>2166</v>
      </c>
      <c r="F34" s="202" t="str">
        <f>VLOOKUP(D34,CSR!$D$4:$E$1180,2,FALSE)</f>
        <v>CSR_11416</v>
      </c>
      <c r="G34" s="203">
        <v>46171</v>
      </c>
      <c r="H34" s="204">
        <v>2</v>
      </c>
      <c r="I34" s="205">
        <f t="shared" si="0"/>
        <v>0.10526315789473684</v>
      </c>
      <c r="J34" s="206" t="s">
        <v>104</v>
      </c>
      <c r="K34" s="206"/>
      <c r="L34" s="206" t="s">
        <v>410</v>
      </c>
      <c r="M34" s="201" t="s">
        <v>2167</v>
      </c>
    </row>
    <row r="35" spans="1:13" ht="32" customHeight="1">
      <c r="A35" s="198" t="s">
        <v>822</v>
      </c>
      <c r="B35" s="199" t="s">
        <v>2419</v>
      </c>
      <c r="C35" s="199" t="s">
        <v>2418</v>
      </c>
      <c r="D35" s="200" t="s">
        <v>2096</v>
      </c>
      <c r="E35" s="200" t="s">
        <v>2168</v>
      </c>
      <c r="F35" s="202" t="str">
        <f>VLOOKUP(D35,CSR!$D$4:$E$1180,2,FALSE)</f>
        <v>CSR_11501</v>
      </c>
      <c r="G35" s="203">
        <v>46171</v>
      </c>
      <c r="H35" s="204">
        <v>2</v>
      </c>
      <c r="I35" s="205">
        <f t="shared" si="0"/>
        <v>0.10526315789473684</v>
      </c>
      <c r="J35" s="206" t="s">
        <v>83</v>
      </c>
      <c r="K35" s="206"/>
      <c r="L35" s="206" t="s">
        <v>409</v>
      </c>
      <c r="M35" s="201" t="s">
        <v>2169</v>
      </c>
    </row>
    <row r="36" spans="1:13" ht="32" customHeight="1">
      <c r="A36" s="198" t="s">
        <v>822</v>
      </c>
      <c r="B36" s="199" t="s">
        <v>2419</v>
      </c>
      <c r="C36" s="199" t="s">
        <v>2418</v>
      </c>
      <c r="D36" s="200" t="s">
        <v>65</v>
      </c>
      <c r="E36" s="200" t="s">
        <v>2170</v>
      </c>
      <c r="F36" s="202" t="str">
        <f>VLOOKUP(D36,CSR!$D$4:$E$1180,2,FALSE)</f>
        <v>CSR_10800</v>
      </c>
      <c r="G36" s="203">
        <v>46171</v>
      </c>
      <c r="H36" s="204">
        <v>2</v>
      </c>
      <c r="I36" s="205">
        <f t="shared" si="0"/>
        <v>0.10526315789473684</v>
      </c>
      <c r="J36" s="206" t="s">
        <v>83</v>
      </c>
      <c r="K36" s="206"/>
      <c r="L36" s="206" t="s">
        <v>23</v>
      </c>
      <c r="M36" s="201" t="s">
        <v>2171</v>
      </c>
    </row>
    <row r="37" spans="1:13" ht="32" customHeight="1">
      <c r="A37" s="198" t="s">
        <v>822</v>
      </c>
      <c r="B37" s="199" t="s">
        <v>2419</v>
      </c>
      <c r="C37" s="199" t="s">
        <v>2418</v>
      </c>
      <c r="D37" s="200" t="s">
        <v>2417</v>
      </c>
      <c r="E37" s="200" t="s">
        <v>2172</v>
      </c>
      <c r="F37" s="202" t="str">
        <f>VLOOKUP(D37,CSR!$D$4:$E$1180,2,FALSE)</f>
        <v>CSR_11500</v>
      </c>
      <c r="G37" s="203">
        <v>46171</v>
      </c>
      <c r="H37" s="204">
        <v>2</v>
      </c>
      <c r="I37" s="205">
        <f t="shared" si="0"/>
        <v>0.10526315789473684</v>
      </c>
      <c r="J37" s="206" t="s">
        <v>90</v>
      </c>
      <c r="K37" s="206"/>
      <c r="L37" s="206" t="s">
        <v>23</v>
      </c>
      <c r="M37" s="201" t="s">
        <v>2173</v>
      </c>
    </row>
    <row r="38" spans="1:13" ht="32" customHeight="1">
      <c r="A38" s="198" t="s">
        <v>822</v>
      </c>
      <c r="B38" s="199" t="s">
        <v>2419</v>
      </c>
      <c r="C38" s="199" t="s">
        <v>2418</v>
      </c>
      <c r="D38" s="200" t="s">
        <v>18</v>
      </c>
      <c r="E38" s="200" t="s">
        <v>2174</v>
      </c>
      <c r="F38" s="202" t="str">
        <f>VLOOKUP(D38,CSR!$D$4:$E$1180,2,FALSE)</f>
        <v>CSR_11300</v>
      </c>
      <c r="G38" s="203">
        <v>46171</v>
      </c>
      <c r="H38" s="204">
        <v>2</v>
      </c>
      <c r="I38" s="205">
        <f t="shared" si="0"/>
        <v>0.10526315789473684</v>
      </c>
      <c r="J38" s="206" t="s">
        <v>90</v>
      </c>
      <c r="K38" s="206"/>
      <c r="L38" s="206" t="s">
        <v>23</v>
      </c>
      <c r="M38" s="201" t="s">
        <v>2175</v>
      </c>
    </row>
    <row r="39" spans="1:13" ht="32" customHeight="1">
      <c r="A39" s="198" t="s">
        <v>822</v>
      </c>
      <c r="B39" s="199" t="s">
        <v>2419</v>
      </c>
      <c r="C39" s="199" t="s">
        <v>2418</v>
      </c>
      <c r="D39" s="200" t="s">
        <v>2417</v>
      </c>
      <c r="E39" s="200" t="s">
        <v>2176</v>
      </c>
      <c r="F39" s="202" t="str">
        <f>VLOOKUP(D39,CSR!$D$4:$E$1180,2,FALSE)</f>
        <v>CSR_11500</v>
      </c>
      <c r="G39" s="203">
        <v>46171</v>
      </c>
      <c r="H39" s="204">
        <v>2</v>
      </c>
      <c r="I39" s="205">
        <f t="shared" si="0"/>
        <v>0.10526315789473684</v>
      </c>
      <c r="J39" s="206" t="s">
        <v>125</v>
      </c>
      <c r="K39" s="206"/>
      <c r="L39" s="206" t="s">
        <v>23</v>
      </c>
      <c r="M39" s="201" t="s">
        <v>2177</v>
      </c>
    </row>
    <row r="40" spans="1:13" ht="32" customHeight="1">
      <c r="A40" s="198" t="s">
        <v>822</v>
      </c>
      <c r="B40" s="199" t="s">
        <v>2419</v>
      </c>
      <c r="C40" s="199" t="s">
        <v>2418</v>
      </c>
      <c r="D40" s="200" t="s">
        <v>44</v>
      </c>
      <c r="E40" s="200" t="s">
        <v>2178</v>
      </c>
      <c r="F40" s="202" t="str">
        <f>VLOOKUP(D40,CSR!$D$4:$E$1180,2,FALSE)</f>
        <v>CSR_11416</v>
      </c>
      <c r="G40" s="203">
        <v>46171</v>
      </c>
      <c r="H40" s="204">
        <v>2</v>
      </c>
      <c r="I40" s="205">
        <f t="shared" si="0"/>
        <v>0.10526315789473684</v>
      </c>
      <c r="J40" s="206" t="s">
        <v>125</v>
      </c>
      <c r="K40" s="206"/>
      <c r="L40" s="206" t="s">
        <v>409</v>
      </c>
      <c r="M40" s="201" t="s">
        <v>2179</v>
      </c>
    </row>
    <row r="41" spans="1:13" ht="32" customHeight="1">
      <c r="A41" s="198" t="s">
        <v>822</v>
      </c>
      <c r="B41" s="199" t="s">
        <v>2419</v>
      </c>
      <c r="C41" s="199" t="s">
        <v>2418</v>
      </c>
      <c r="D41" s="200" t="s">
        <v>18</v>
      </c>
      <c r="E41" s="200" t="s">
        <v>2180</v>
      </c>
      <c r="F41" s="202" t="str">
        <f>VLOOKUP(D41,CSR!$D$4:$E$1180,2,FALSE)</f>
        <v>CSR_11300</v>
      </c>
      <c r="G41" s="203">
        <v>46171</v>
      </c>
      <c r="H41" s="204">
        <v>2</v>
      </c>
      <c r="I41" s="205">
        <f t="shared" si="0"/>
        <v>0.10526315789473684</v>
      </c>
      <c r="J41" s="206" t="s">
        <v>134</v>
      </c>
      <c r="K41" s="206"/>
      <c r="L41" s="206" t="s">
        <v>23</v>
      </c>
      <c r="M41" s="201" t="s">
        <v>2181</v>
      </c>
    </row>
    <row r="42" spans="1:13" ht="32" customHeight="1">
      <c r="A42" s="198" t="s">
        <v>822</v>
      </c>
      <c r="B42" s="199" t="s">
        <v>2419</v>
      </c>
      <c r="C42" s="199" t="s">
        <v>2418</v>
      </c>
      <c r="D42" s="200" t="s">
        <v>131</v>
      </c>
      <c r="E42" s="200" t="s">
        <v>2182</v>
      </c>
      <c r="F42" s="202" t="str">
        <f>VLOOKUP(D42,CSR!$D$4:$E$1180,2,FALSE)</f>
        <v>CSR_10400</v>
      </c>
      <c r="G42" s="203">
        <v>46171</v>
      </c>
      <c r="H42" s="204">
        <v>2</v>
      </c>
      <c r="I42" s="205">
        <f t="shared" si="0"/>
        <v>0.10526315789473684</v>
      </c>
      <c r="J42" s="206" t="s">
        <v>134</v>
      </c>
      <c r="K42" s="206"/>
      <c r="L42" s="206" t="s">
        <v>23</v>
      </c>
      <c r="M42" s="201" t="s">
        <v>2183</v>
      </c>
    </row>
    <row r="43" spans="1:13" ht="32" customHeight="1">
      <c r="A43" s="198" t="s">
        <v>822</v>
      </c>
      <c r="B43" s="199" t="s">
        <v>2419</v>
      </c>
      <c r="C43" s="199" t="s">
        <v>2418</v>
      </c>
      <c r="D43" s="200" t="s">
        <v>18</v>
      </c>
      <c r="E43" s="200" t="s">
        <v>2184</v>
      </c>
      <c r="F43" s="202" t="str">
        <f>VLOOKUP(D43,CSR!$D$4:$E$1180,2,FALSE)</f>
        <v>CSR_11300</v>
      </c>
      <c r="G43" s="203">
        <v>46171</v>
      </c>
      <c r="H43" s="204">
        <v>2</v>
      </c>
      <c r="I43" s="205">
        <f t="shared" si="0"/>
        <v>0.10526315789473684</v>
      </c>
      <c r="J43" s="206" t="s">
        <v>395</v>
      </c>
      <c r="K43" s="206"/>
      <c r="L43" s="206" t="s">
        <v>23</v>
      </c>
      <c r="M43" s="201" t="s">
        <v>2185</v>
      </c>
    </row>
    <row r="44" spans="1:13" ht="32" customHeight="1">
      <c r="A44" s="198" t="s">
        <v>822</v>
      </c>
      <c r="B44" s="199" t="s">
        <v>49</v>
      </c>
      <c r="C44" s="199" t="s">
        <v>175</v>
      </c>
      <c r="D44" s="200" t="s">
        <v>187</v>
      </c>
      <c r="E44" s="200" t="s">
        <v>2186</v>
      </c>
      <c r="F44" s="202" t="str">
        <f>VLOOKUP(D44,CSR!$D$4:$E$1180,2,FALSE)</f>
        <v>CSR_40400</v>
      </c>
      <c r="G44" s="203">
        <v>46171</v>
      </c>
      <c r="H44" s="204">
        <v>2</v>
      </c>
      <c r="I44" s="205">
        <f t="shared" si="0"/>
        <v>0.10526315789473684</v>
      </c>
      <c r="J44" s="206" t="s">
        <v>395</v>
      </c>
      <c r="K44" s="206"/>
      <c r="L44" s="206" t="s">
        <v>409</v>
      </c>
      <c r="M44" s="201" t="s">
        <v>2187</v>
      </c>
    </row>
    <row r="45" spans="1:13" ht="32" customHeight="1">
      <c r="A45" s="198" t="s">
        <v>2095</v>
      </c>
      <c r="B45" s="199" t="s">
        <v>49</v>
      </c>
      <c r="C45" s="199" t="s">
        <v>50</v>
      </c>
      <c r="D45" s="200" t="s">
        <v>51</v>
      </c>
      <c r="E45" s="200" t="s">
        <v>2188</v>
      </c>
      <c r="F45" s="202" t="str">
        <f>VLOOKUP(D45,CSR!$D$4:$E$1180,2,FALSE)</f>
        <v>CSR_41103</v>
      </c>
      <c r="G45" s="203">
        <v>46178</v>
      </c>
      <c r="H45" s="204">
        <v>2</v>
      </c>
      <c r="I45" s="205">
        <f t="shared" si="0"/>
        <v>0.10526315789473684</v>
      </c>
      <c r="J45" s="206" t="s">
        <v>54</v>
      </c>
      <c r="K45" s="206"/>
      <c r="L45" s="206" t="s">
        <v>409</v>
      </c>
      <c r="M45" s="201" t="s">
        <v>2189</v>
      </c>
    </row>
    <row r="46" spans="1:13" ht="32" customHeight="1">
      <c r="A46" s="198" t="s">
        <v>2095</v>
      </c>
      <c r="B46" s="199" t="s">
        <v>2419</v>
      </c>
      <c r="C46" s="199" t="s">
        <v>2418</v>
      </c>
      <c r="D46" s="200" t="s">
        <v>18</v>
      </c>
      <c r="E46" s="200" t="s">
        <v>2190</v>
      </c>
      <c r="F46" s="202" t="str">
        <f>VLOOKUP(D46,CSR!$D$4:$E$1180,2,FALSE)</f>
        <v>CSR_11300</v>
      </c>
      <c r="G46" s="203">
        <v>46178</v>
      </c>
      <c r="H46" s="204">
        <v>2</v>
      </c>
      <c r="I46" s="205">
        <f t="shared" si="0"/>
        <v>0.10526315789473684</v>
      </c>
      <c r="J46" s="206" t="s">
        <v>54</v>
      </c>
      <c r="K46" s="206"/>
      <c r="L46" s="206" t="s">
        <v>23</v>
      </c>
      <c r="M46" s="201" t="s">
        <v>2191</v>
      </c>
    </row>
    <row r="47" spans="1:13" ht="32" customHeight="1">
      <c r="A47" s="198" t="s">
        <v>2095</v>
      </c>
      <c r="B47" s="199" t="s">
        <v>2419</v>
      </c>
      <c r="C47" s="199" t="s">
        <v>2418</v>
      </c>
      <c r="D47" s="200" t="s">
        <v>44</v>
      </c>
      <c r="E47" s="200" t="s">
        <v>2192</v>
      </c>
      <c r="F47" s="202" t="str">
        <f>VLOOKUP(D47,CSR!$D$4:$E$1180,2,FALSE)</f>
        <v>CSR_11416</v>
      </c>
      <c r="G47" s="203">
        <v>46178</v>
      </c>
      <c r="H47" s="204">
        <v>1</v>
      </c>
      <c r="I47" s="205">
        <f t="shared" si="0"/>
        <v>5.2631578947368418E-2</v>
      </c>
      <c r="J47" s="206" t="s">
        <v>54</v>
      </c>
      <c r="K47" s="206"/>
      <c r="L47" s="206" t="s">
        <v>410</v>
      </c>
      <c r="M47" s="201" t="s">
        <v>2193</v>
      </c>
    </row>
    <row r="48" spans="1:13" ht="32" customHeight="1">
      <c r="A48" s="198" t="s">
        <v>2095</v>
      </c>
      <c r="B48" s="199" t="s">
        <v>2419</v>
      </c>
      <c r="C48" s="199" t="s">
        <v>2418</v>
      </c>
      <c r="D48" s="200" t="s">
        <v>131</v>
      </c>
      <c r="E48" s="200" t="s">
        <v>2194</v>
      </c>
      <c r="F48" s="202" t="str">
        <f>VLOOKUP(D48,CSR!$D$4:$E$1180,2,FALSE)</f>
        <v>CSR_10400</v>
      </c>
      <c r="G48" s="203">
        <v>46178</v>
      </c>
      <c r="H48" s="204">
        <v>1</v>
      </c>
      <c r="I48" s="205">
        <f t="shared" si="0"/>
        <v>5.2631578947368418E-2</v>
      </c>
      <c r="J48" s="206" t="s">
        <v>375</v>
      </c>
      <c r="K48" s="206"/>
      <c r="L48" s="206" t="s">
        <v>23</v>
      </c>
      <c r="M48" s="201" t="s">
        <v>2195</v>
      </c>
    </row>
    <row r="49" spans="1:13" ht="32" customHeight="1">
      <c r="A49" s="198" t="s">
        <v>2095</v>
      </c>
      <c r="B49" s="199" t="s">
        <v>2419</v>
      </c>
      <c r="C49" s="199" t="s">
        <v>2418</v>
      </c>
      <c r="D49" s="200" t="s">
        <v>65</v>
      </c>
      <c r="E49" s="200" t="s">
        <v>2196</v>
      </c>
      <c r="F49" s="202" t="str">
        <f>VLOOKUP(D49,CSR!$D$4:$E$1180,2,FALSE)</f>
        <v>CSR_10800</v>
      </c>
      <c r="G49" s="203">
        <v>46178</v>
      </c>
      <c r="H49" s="204">
        <v>1</v>
      </c>
      <c r="I49" s="205">
        <f t="shared" si="0"/>
        <v>5.2631578947368418E-2</v>
      </c>
      <c r="J49" s="206" t="s">
        <v>375</v>
      </c>
      <c r="K49" s="206"/>
      <c r="L49" s="206" t="s">
        <v>409</v>
      </c>
      <c r="M49" s="201" t="s">
        <v>2197</v>
      </c>
    </row>
    <row r="50" spans="1:13" ht="32" customHeight="1">
      <c r="A50" s="198" t="s">
        <v>2095</v>
      </c>
      <c r="B50" s="199" t="s">
        <v>2419</v>
      </c>
      <c r="C50" s="199" t="s">
        <v>2418</v>
      </c>
      <c r="D50" s="200" t="s">
        <v>2101</v>
      </c>
      <c r="E50" s="200" t="s">
        <v>2198</v>
      </c>
      <c r="F50" s="202" t="str">
        <f>VLOOKUP(D50,CSR!$D$4:$E$1180,2,FALSE)</f>
        <v>CSR_11417</v>
      </c>
      <c r="G50" s="203">
        <v>46178</v>
      </c>
      <c r="H50" s="204">
        <v>2</v>
      </c>
      <c r="I50" s="205">
        <f t="shared" si="0"/>
        <v>0.10526315789473684</v>
      </c>
      <c r="J50" s="206" t="s">
        <v>375</v>
      </c>
      <c r="K50" s="206"/>
      <c r="L50" s="206" t="s">
        <v>410</v>
      </c>
      <c r="M50" s="201" t="s">
        <v>2199</v>
      </c>
    </row>
    <row r="51" spans="1:13" ht="32" customHeight="1">
      <c r="A51" s="198" t="s">
        <v>2095</v>
      </c>
      <c r="B51" s="199" t="s">
        <v>70</v>
      </c>
      <c r="C51" s="199" t="s">
        <v>245</v>
      </c>
      <c r="D51" s="200" t="s">
        <v>269</v>
      </c>
      <c r="E51" s="200" t="s">
        <v>2200</v>
      </c>
      <c r="F51" s="202" t="str">
        <f>VLOOKUP(D51,CSR!$D$4:$E$1180,2,FALSE)</f>
        <v>CSR_20006</v>
      </c>
      <c r="G51" s="203">
        <v>46178</v>
      </c>
      <c r="H51" s="204">
        <v>1</v>
      </c>
      <c r="I51" s="205">
        <f t="shared" si="0"/>
        <v>5.2631578947368418E-2</v>
      </c>
      <c r="J51" s="206" t="s">
        <v>375</v>
      </c>
      <c r="K51" s="206"/>
      <c r="L51" s="206" t="s">
        <v>409</v>
      </c>
      <c r="M51" s="201" t="s">
        <v>2201</v>
      </c>
    </row>
    <row r="52" spans="1:13" ht="32" customHeight="1">
      <c r="A52" s="198" t="s">
        <v>2095</v>
      </c>
      <c r="B52" s="199" t="s">
        <v>2419</v>
      </c>
      <c r="C52" s="199" t="s">
        <v>2418</v>
      </c>
      <c r="D52" s="200" t="s">
        <v>2101</v>
      </c>
      <c r="E52" s="200" t="s">
        <v>2202</v>
      </c>
      <c r="F52" s="202" t="str">
        <f>VLOOKUP(D52,CSR!$D$4:$E$1180,2,FALSE)</f>
        <v>CSR_11417</v>
      </c>
      <c r="G52" s="203">
        <v>46178</v>
      </c>
      <c r="H52" s="204">
        <v>2</v>
      </c>
      <c r="I52" s="205">
        <f t="shared" si="0"/>
        <v>0.10526315789473684</v>
      </c>
      <c r="J52" s="206" t="s">
        <v>386</v>
      </c>
      <c r="K52" s="206"/>
      <c r="L52" s="206" t="s">
        <v>409</v>
      </c>
      <c r="M52" s="201" t="s">
        <v>2203</v>
      </c>
    </row>
    <row r="53" spans="1:13" ht="32" customHeight="1">
      <c r="A53" s="198" t="s">
        <v>2095</v>
      </c>
      <c r="B53" s="199" t="s">
        <v>2419</v>
      </c>
      <c r="C53" s="199" t="s">
        <v>2418</v>
      </c>
      <c r="D53" s="200" t="s">
        <v>18</v>
      </c>
      <c r="E53" s="200" t="s">
        <v>2204</v>
      </c>
      <c r="F53" s="202" t="str">
        <f>VLOOKUP(D53,CSR!$D$4:$E$1180,2,FALSE)</f>
        <v>CSR_11300</v>
      </c>
      <c r="G53" s="203">
        <v>46178</v>
      </c>
      <c r="H53" s="204">
        <v>2</v>
      </c>
      <c r="I53" s="205">
        <f t="shared" si="0"/>
        <v>0.10526315789473684</v>
      </c>
      <c r="J53" s="206" t="s">
        <v>386</v>
      </c>
      <c r="K53" s="206"/>
      <c r="L53" s="206" t="s">
        <v>23</v>
      </c>
      <c r="M53" s="201" t="s">
        <v>2205</v>
      </c>
    </row>
    <row r="54" spans="1:13" ht="32" customHeight="1">
      <c r="A54" s="198" t="s">
        <v>2095</v>
      </c>
      <c r="B54" s="199" t="s">
        <v>70</v>
      </c>
      <c r="C54" s="199" t="s">
        <v>245</v>
      </c>
      <c r="D54" s="200" t="s">
        <v>269</v>
      </c>
      <c r="E54" s="200" t="s">
        <v>2206</v>
      </c>
      <c r="F54" s="202" t="str">
        <f>VLOOKUP(D54,CSR!$D$4:$E$1180,2,FALSE)</f>
        <v>CSR_20006</v>
      </c>
      <c r="G54" s="203">
        <v>46178</v>
      </c>
      <c r="H54" s="204">
        <v>1</v>
      </c>
      <c r="I54" s="205">
        <f t="shared" si="0"/>
        <v>5.2631578947368418E-2</v>
      </c>
      <c r="J54" s="206" t="s">
        <v>386</v>
      </c>
      <c r="K54" s="206"/>
      <c r="L54" s="206" t="s">
        <v>409</v>
      </c>
      <c r="M54" s="201" t="s">
        <v>2207</v>
      </c>
    </row>
    <row r="55" spans="1:13" ht="32" customHeight="1">
      <c r="A55" s="198" t="s">
        <v>2095</v>
      </c>
      <c r="B55" s="199" t="s">
        <v>2419</v>
      </c>
      <c r="C55" s="199" t="s">
        <v>2418</v>
      </c>
      <c r="D55" s="200" t="s">
        <v>65</v>
      </c>
      <c r="E55" s="200" t="s">
        <v>2208</v>
      </c>
      <c r="F55" s="202" t="str">
        <f>VLOOKUP(D55,CSR!$D$4:$E$1180,2,FALSE)</f>
        <v>CSR_10800</v>
      </c>
      <c r="G55" s="203">
        <v>46178</v>
      </c>
      <c r="H55" s="204">
        <v>3</v>
      </c>
      <c r="I55" s="205">
        <f t="shared" si="0"/>
        <v>0.15789473684210525</v>
      </c>
      <c r="J55" s="206" t="s">
        <v>68</v>
      </c>
      <c r="K55" s="206"/>
      <c r="L55" s="206" t="s">
        <v>23</v>
      </c>
      <c r="M55" s="201" t="s">
        <v>2209</v>
      </c>
    </row>
    <row r="56" spans="1:13" ht="32" customHeight="1">
      <c r="A56" s="198" t="s">
        <v>2095</v>
      </c>
      <c r="B56" s="199" t="s">
        <v>49</v>
      </c>
      <c r="C56" s="199" t="s">
        <v>175</v>
      </c>
      <c r="D56" s="200" t="s">
        <v>187</v>
      </c>
      <c r="E56" s="200" t="s">
        <v>2421</v>
      </c>
      <c r="F56" s="202" t="str">
        <f>VLOOKUP(D56,CSR!$D$4:$E$1180,2,FALSE)</f>
        <v>CSR_40400</v>
      </c>
      <c r="G56" s="203">
        <v>46178</v>
      </c>
      <c r="H56" s="204">
        <v>2</v>
      </c>
      <c r="I56" s="205">
        <f t="shared" ref="I56" si="1">H56*10/190</f>
        <v>0.10526315789473684</v>
      </c>
      <c r="J56" s="206" t="s">
        <v>68</v>
      </c>
      <c r="K56" s="206"/>
      <c r="L56" s="206" t="s">
        <v>23</v>
      </c>
      <c r="M56" s="201" t="s">
        <v>2221</v>
      </c>
    </row>
    <row r="57" spans="1:13" ht="32" customHeight="1">
      <c r="A57" s="198" t="s">
        <v>2095</v>
      </c>
      <c r="B57" s="199" t="s">
        <v>31</v>
      </c>
      <c r="C57" s="199" t="s">
        <v>336</v>
      </c>
      <c r="D57" s="200" t="s">
        <v>357</v>
      </c>
      <c r="E57" s="200" t="s">
        <v>2210</v>
      </c>
      <c r="F57" s="202" t="str">
        <f>VLOOKUP(D57,CSR!$D$4:$E$1180,2,FALSE)</f>
        <v>CSR_30700</v>
      </c>
      <c r="G57" s="203">
        <v>46178</v>
      </c>
      <c r="H57" s="204">
        <v>3</v>
      </c>
      <c r="I57" s="205">
        <f t="shared" si="0"/>
        <v>0.15789473684210525</v>
      </c>
      <c r="J57" s="206" t="s">
        <v>351</v>
      </c>
      <c r="K57" s="206"/>
      <c r="L57" s="206" t="s">
        <v>409</v>
      </c>
      <c r="M57" s="201" t="s">
        <v>2211</v>
      </c>
    </row>
    <row r="58" spans="1:13" ht="32" customHeight="1">
      <c r="A58" s="198" t="s">
        <v>2095</v>
      </c>
      <c r="B58" s="199" t="s">
        <v>31</v>
      </c>
      <c r="C58" s="199" t="s">
        <v>32</v>
      </c>
      <c r="D58" s="200" t="s">
        <v>33</v>
      </c>
      <c r="E58" s="200" t="s">
        <v>2212</v>
      </c>
      <c r="F58" s="202" t="str">
        <f>VLOOKUP(D58,CSR!$D$4:$E$1180,2,FALSE)</f>
        <v>CSR_30200</v>
      </c>
      <c r="G58" s="203">
        <v>46178</v>
      </c>
      <c r="H58" s="204">
        <v>2</v>
      </c>
      <c r="I58" s="205">
        <f t="shared" si="0"/>
        <v>0.10526315789473684</v>
      </c>
      <c r="J58" s="206" t="s">
        <v>351</v>
      </c>
      <c r="K58" s="206"/>
      <c r="L58" s="206" t="s">
        <v>410</v>
      </c>
      <c r="M58" s="201" t="s">
        <v>2213</v>
      </c>
    </row>
    <row r="59" spans="1:13" ht="32" customHeight="1">
      <c r="A59" s="198" t="s">
        <v>2095</v>
      </c>
      <c r="B59" s="199" t="s">
        <v>2419</v>
      </c>
      <c r="C59" s="199" t="s">
        <v>2418</v>
      </c>
      <c r="D59" s="200" t="s">
        <v>18</v>
      </c>
      <c r="E59" s="200" t="s">
        <v>2214</v>
      </c>
      <c r="F59" s="202" t="str">
        <f>VLOOKUP(D59,CSR!$D$4:$E$1180,2,FALSE)</f>
        <v>CSR_11300</v>
      </c>
      <c r="G59" s="203">
        <v>46178</v>
      </c>
      <c r="H59" s="204">
        <v>3</v>
      </c>
      <c r="I59" s="205">
        <f t="shared" si="0"/>
        <v>0.15789473684210525</v>
      </c>
      <c r="J59" s="206" t="s">
        <v>104</v>
      </c>
      <c r="K59" s="206"/>
      <c r="L59" s="206" t="s">
        <v>23</v>
      </c>
      <c r="M59" s="201" t="s">
        <v>2215</v>
      </c>
    </row>
    <row r="60" spans="1:13" ht="32" customHeight="1">
      <c r="A60" s="198" t="s">
        <v>2095</v>
      </c>
      <c r="B60" s="199" t="s">
        <v>2419</v>
      </c>
      <c r="C60" s="199" t="s">
        <v>2418</v>
      </c>
      <c r="D60" s="200" t="s">
        <v>44</v>
      </c>
      <c r="E60" s="200" t="s">
        <v>2216</v>
      </c>
      <c r="F60" s="202" t="str">
        <f>VLOOKUP(D60,CSR!$D$4:$E$1180,2,FALSE)</f>
        <v>CSR_11416</v>
      </c>
      <c r="G60" s="203">
        <v>46178</v>
      </c>
      <c r="H60" s="204">
        <v>2</v>
      </c>
      <c r="I60" s="205">
        <f t="shared" si="0"/>
        <v>0.10526315789473684</v>
      </c>
      <c r="J60" s="206" t="s">
        <v>104</v>
      </c>
      <c r="K60" s="206"/>
      <c r="L60" s="206" t="s">
        <v>410</v>
      </c>
      <c r="M60" s="201" t="s">
        <v>2217</v>
      </c>
    </row>
    <row r="61" spans="1:13" ht="32" customHeight="1">
      <c r="A61" s="198" t="s">
        <v>2095</v>
      </c>
      <c r="B61" s="199" t="s">
        <v>2419</v>
      </c>
      <c r="C61" s="199" t="s">
        <v>2418</v>
      </c>
      <c r="D61" s="200" t="s">
        <v>131</v>
      </c>
      <c r="E61" s="200" t="s">
        <v>2218</v>
      </c>
      <c r="F61" s="202" t="str">
        <f>VLOOKUP(D61,CSR!$D$4:$E$1180,2,FALSE)</f>
        <v>CSR_10400</v>
      </c>
      <c r="G61" s="203">
        <v>46178</v>
      </c>
      <c r="H61" s="204">
        <v>1</v>
      </c>
      <c r="I61" s="205">
        <f t="shared" si="0"/>
        <v>5.2631578947368418E-2</v>
      </c>
      <c r="J61" s="206" t="s">
        <v>114</v>
      </c>
      <c r="K61" s="206"/>
      <c r="L61" s="206" t="s">
        <v>23</v>
      </c>
      <c r="M61" s="201" t="s">
        <v>2219</v>
      </c>
    </row>
    <row r="62" spans="1:13" ht="32" customHeight="1">
      <c r="A62" s="198" t="s">
        <v>2095</v>
      </c>
      <c r="B62" s="199" t="s">
        <v>49</v>
      </c>
      <c r="C62" s="199" t="s">
        <v>175</v>
      </c>
      <c r="D62" s="200" t="s">
        <v>187</v>
      </c>
      <c r="E62" s="200" t="s">
        <v>2220</v>
      </c>
      <c r="F62" s="202" t="str">
        <f>VLOOKUP(D62,CSR!$D$4:$E$1180,2,FALSE)</f>
        <v>CSR_40400</v>
      </c>
      <c r="G62" s="203">
        <v>46178</v>
      </c>
      <c r="H62" s="204">
        <v>2</v>
      </c>
      <c r="I62" s="205">
        <f t="shared" si="0"/>
        <v>0.10526315789473684</v>
      </c>
      <c r="J62" s="206" t="s">
        <v>114</v>
      </c>
      <c r="K62" s="206"/>
      <c r="L62" s="206" t="s">
        <v>23</v>
      </c>
      <c r="M62" s="201" t="s">
        <v>2221</v>
      </c>
    </row>
    <row r="63" spans="1:13" ht="32" customHeight="1">
      <c r="A63" s="198" t="s">
        <v>2095</v>
      </c>
      <c r="B63" s="199" t="s">
        <v>2419</v>
      </c>
      <c r="C63" s="199" t="s">
        <v>2418</v>
      </c>
      <c r="D63" s="200" t="s">
        <v>180</v>
      </c>
      <c r="E63" s="200" t="s">
        <v>2222</v>
      </c>
      <c r="F63" s="202" t="str">
        <f>VLOOKUP(D63,CSR!$D$4:$E$1180,2,FALSE)</f>
        <v>CSR_11317</v>
      </c>
      <c r="G63" s="203">
        <v>46178</v>
      </c>
      <c r="H63" s="204">
        <v>2</v>
      </c>
      <c r="I63" s="205">
        <f t="shared" si="0"/>
        <v>0.10526315789473684</v>
      </c>
      <c r="J63" s="206" t="s">
        <v>114</v>
      </c>
      <c r="K63" s="206"/>
      <c r="L63" s="206" t="s">
        <v>23</v>
      </c>
      <c r="M63" s="201" t="s">
        <v>2223</v>
      </c>
    </row>
    <row r="64" spans="1:13" ht="32" customHeight="1">
      <c r="A64" s="198" t="s">
        <v>2095</v>
      </c>
      <c r="B64" s="199" t="s">
        <v>2419</v>
      </c>
      <c r="C64" s="199" t="s">
        <v>2418</v>
      </c>
      <c r="D64" s="200" t="s">
        <v>2101</v>
      </c>
      <c r="E64" s="200" t="s">
        <v>2224</v>
      </c>
      <c r="F64" s="202" t="str">
        <f>VLOOKUP(D64,CSR!$D$4:$E$1180,2,FALSE)</f>
        <v>CSR_11417</v>
      </c>
      <c r="G64" s="203">
        <v>46178</v>
      </c>
      <c r="H64" s="204">
        <v>1</v>
      </c>
      <c r="I64" s="205">
        <f t="shared" si="0"/>
        <v>5.2631578947368418E-2</v>
      </c>
      <c r="J64" s="206" t="s">
        <v>364</v>
      </c>
      <c r="K64" s="206"/>
      <c r="L64" s="206" t="s">
        <v>410</v>
      </c>
      <c r="M64" s="201" t="s">
        <v>2225</v>
      </c>
    </row>
    <row r="65" spans="1:13" ht="32" customHeight="1">
      <c r="A65" s="198" t="s">
        <v>2095</v>
      </c>
      <c r="B65" s="199" t="s">
        <v>49</v>
      </c>
      <c r="C65" s="199" t="s">
        <v>175</v>
      </c>
      <c r="D65" s="200" t="s">
        <v>187</v>
      </c>
      <c r="E65" s="200" t="s">
        <v>2226</v>
      </c>
      <c r="F65" s="202" t="str">
        <f>VLOOKUP(D65,CSR!$D$4:$E$1180,2,FALSE)</f>
        <v>CSR_40400</v>
      </c>
      <c r="G65" s="203">
        <v>46178</v>
      </c>
      <c r="H65" s="204">
        <v>2</v>
      </c>
      <c r="I65" s="205">
        <f t="shared" ref="I65:I124" si="2">H65*10/190</f>
        <v>0.10526315789473684</v>
      </c>
      <c r="J65" s="206" t="s">
        <v>364</v>
      </c>
      <c r="K65" s="206"/>
      <c r="L65" s="206" t="s">
        <v>409</v>
      </c>
      <c r="M65" s="201" t="s">
        <v>2227</v>
      </c>
    </row>
    <row r="66" spans="1:13" ht="32" customHeight="1">
      <c r="A66" s="198" t="s">
        <v>2095</v>
      </c>
      <c r="B66" s="199" t="s">
        <v>2419</v>
      </c>
      <c r="C66" s="199" t="s">
        <v>2418</v>
      </c>
      <c r="D66" s="200" t="s">
        <v>18</v>
      </c>
      <c r="E66" s="200" t="s">
        <v>2228</v>
      </c>
      <c r="F66" s="202" t="str">
        <f>VLOOKUP(D66,CSR!$D$4:$E$1180,2,FALSE)</f>
        <v>CSR_11300</v>
      </c>
      <c r="G66" s="203">
        <v>46178</v>
      </c>
      <c r="H66" s="204">
        <v>2</v>
      </c>
      <c r="I66" s="205">
        <f t="shared" si="2"/>
        <v>0.10526315789473684</v>
      </c>
      <c r="J66" s="206" t="s">
        <v>364</v>
      </c>
      <c r="K66" s="206"/>
      <c r="L66" s="206" t="s">
        <v>23</v>
      </c>
      <c r="M66" s="201" t="s">
        <v>2229</v>
      </c>
    </row>
    <row r="67" spans="1:13" ht="32" customHeight="1">
      <c r="A67" s="198" t="s">
        <v>2095</v>
      </c>
      <c r="B67" s="199" t="s">
        <v>2419</v>
      </c>
      <c r="C67" s="199" t="s">
        <v>2418</v>
      </c>
      <c r="D67" s="200" t="s">
        <v>18</v>
      </c>
      <c r="E67" s="200" t="s">
        <v>2230</v>
      </c>
      <c r="F67" s="202" t="str">
        <f>VLOOKUP(D67,CSR!$D$4:$E$1180,2,FALSE)</f>
        <v>CSR_11300</v>
      </c>
      <c r="G67" s="203">
        <v>46178</v>
      </c>
      <c r="H67" s="204">
        <v>2</v>
      </c>
      <c r="I67" s="205">
        <f t="shared" si="2"/>
        <v>0.10526315789473684</v>
      </c>
      <c r="J67" s="206" t="s">
        <v>22</v>
      </c>
      <c r="K67" s="206"/>
      <c r="L67" s="206" t="s">
        <v>409</v>
      </c>
      <c r="M67" s="201" t="s">
        <v>2231</v>
      </c>
    </row>
    <row r="68" spans="1:13" ht="32" customHeight="1">
      <c r="A68" s="198" t="s">
        <v>2095</v>
      </c>
      <c r="B68" s="199" t="s">
        <v>31</v>
      </c>
      <c r="C68" s="199" t="s">
        <v>32</v>
      </c>
      <c r="D68" s="200" t="s">
        <v>33</v>
      </c>
      <c r="E68" s="200" t="s">
        <v>2232</v>
      </c>
      <c r="F68" s="202" t="str">
        <f>VLOOKUP(D68,CSR!$D$4:$E$1180,2,FALSE)</f>
        <v>CSR_30200</v>
      </c>
      <c r="G68" s="203">
        <v>46178</v>
      </c>
      <c r="H68" s="204">
        <v>1</v>
      </c>
      <c r="I68" s="205">
        <f t="shared" si="2"/>
        <v>5.2631578947368418E-2</v>
      </c>
      <c r="J68" s="206" t="s">
        <v>22</v>
      </c>
      <c r="K68" s="206"/>
      <c r="L68" s="206" t="s">
        <v>409</v>
      </c>
      <c r="M68" s="201" t="s">
        <v>2233</v>
      </c>
    </row>
    <row r="69" spans="1:13" ht="32" customHeight="1">
      <c r="A69" s="198" t="s">
        <v>2095</v>
      </c>
      <c r="B69" s="199" t="s">
        <v>2419</v>
      </c>
      <c r="C69" s="199" t="s">
        <v>2418</v>
      </c>
      <c r="D69" s="200" t="s">
        <v>44</v>
      </c>
      <c r="E69" s="200" t="s">
        <v>2234</v>
      </c>
      <c r="F69" s="202" t="str">
        <f>VLOOKUP(D69,CSR!$D$4:$E$1180,2,FALSE)</f>
        <v>CSR_11416</v>
      </c>
      <c r="G69" s="203">
        <v>46178</v>
      </c>
      <c r="H69" s="204">
        <v>2</v>
      </c>
      <c r="I69" s="205">
        <f t="shared" si="2"/>
        <v>0.10526315789473684</v>
      </c>
      <c r="J69" s="206" t="s">
        <v>22</v>
      </c>
      <c r="K69" s="206"/>
      <c r="L69" s="206" t="s">
        <v>410</v>
      </c>
      <c r="M69" s="201" t="s">
        <v>2235</v>
      </c>
    </row>
    <row r="70" spans="1:13" ht="32" customHeight="1">
      <c r="A70" s="198" t="s">
        <v>2095</v>
      </c>
      <c r="B70" s="199" t="s">
        <v>2419</v>
      </c>
      <c r="C70" s="199" t="s">
        <v>2418</v>
      </c>
      <c r="D70" s="200" t="s">
        <v>2101</v>
      </c>
      <c r="E70" s="200" t="s">
        <v>2236</v>
      </c>
      <c r="F70" s="202" t="str">
        <f>VLOOKUP(D70,CSR!$D$4:$E$1180,2,FALSE)</f>
        <v>CSR_11417</v>
      </c>
      <c r="G70" s="203">
        <v>46178</v>
      </c>
      <c r="H70" s="204">
        <v>2</v>
      </c>
      <c r="I70" s="205">
        <f t="shared" si="2"/>
        <v>0.10526315789473684</v>
      </c>
      <c r="J70" s="206" t="s">
        <v>335</v>
      </c>
      <c r="K70" s="206"/>
      <c r="L70" s="206" t="s">
        <v>410</v>
      </c>
      <c r="M70" s="201" t="s">
        <v>2237</v>
      </c>
    </row>
    <row r="71" spans="1:13" ht="32" customHeight="1">
      <c r="A71" s="198" t="s">
        <v>2095</v>
      </c>
      <c r="B71" s="199" t="s">
        <v>31</v>
      </c>
      <c r="C71" s="199" t="s">
        <v>32</v>
      </c>
      <c r="D71" s="200" t="s">
        <v>33</v>
      </c>
      <c r="E71" s="200" t="s">
        <v>2238</v>
      </c>
      <c r="F71" s="202" t="str">
        <f>VLOOKUP(D71,CSR!$D$4:$E$1180,2,FALSE)</f>
        <v>CSR_30200</v>
      </c>
      <c r="G71" s="203">
        <v>46178</v>
      </c>
      <c r="H71" s="204">
        <v>2</v>
      </c>
      <c r="I71" s="205">
        <f t="shared" si="2"/>
        <v>0.10526315789473684</v>
      </c>
      <c r="J71" s="206" t="s">
        <v>335</v>
      </c>
      <c r="K71" s="206"/>
      <c r="L71" s="206" t="s">
        <v>409</v>
      </c>
      <c r="M71" s="201" t="s">
        <v>2239</v>
      </c>
    </row>
    <row r="72" spans="1:13" ht="32" customHeight="1">
      <c r="A72" s="198" t="s">
        <v>2095</v>
      </c>
      <c r="B72" s="199" t="s">
        <v>31</v>
      </c>
      <c r="C72" s="199" t="s">
        <v>336</v>
      </c>
      <c r="D72" s="200" t="s">
        <v>357</v>
      </c>
      <c r="E72" s="200" t="s">
        <v>2240</v>
      </c>
      <c r="F72" s="202" t="str">
        <f>VLOOKUP(D72,CSR!$D$4:$E$1180,2,FALSE)</f>
        <v>CSR_30700</v>
      </c>
      <c r="G72" s="203">
        <v>46178</v>
      </c>
      <c r="H72" s="204">
        <v>1</v>
      </c>
      <c r="I72" s="205">
        <f t="shared" si="2"/>
        <v>5.2631578947368418E-2</v>
      </c>
      <c r="J72" s="206" t="s">
        <v>335</v>
      </c>
      <c r="K72" s="206"/>
      <c r="L72" s="206" t="s">
        <v>409</v>
      </c>
      <c r="M72" s="201" t="s">
        <v>2241</v>
      </c>
    </row>
    <row r="73" spans="1:13" ht="32" customHeight="1">
      <c r="A73" s="198" t="s">
        <v>2095</v>
      </c>
      <c r="B73" s="199" t="s">
        <v>31</v>
      </c>
      <c r="C73" s="199" t="s">
        <v>32</v>
      </c>
      <c r="D73" s="200" t="s">
        <v>33</v>
      </c>
      <c r="E73" s="200" t="s">
        <v>2434</v>
      </c>
      <c r="F73" s="202" t="str">
        <f>VLOOKUP(D73,CSR!$D$4:$E$1180,2,FALSE)</f>
        <v>CSR_30200</v>
      </c>
      <c r="G73" s="203">
        <v>46178</v>
      </c>
      <c r="H73" s="204">
        <v>2</v>
      </c>
      <c r="I73" s="205">
        <f t="shared" si="2"/>
        <v>0.10526315789473684</v>
      </c>
      <c r="J73" s="206" t="s">
        <v>324</v>
      </c>
      <c r="K73" s="206"/>
      <c r="L73" s="206" t="s">
        <v>410</v>
      </c>
      <c r="M73" s="201" t="s">
        <v>2242</v>
      </c>
    </row>
    <row r="74" spans="1:13" ht="32" customHeight="1">
      <c r="A74" s="198" t="s">
        <v>2095</v>
      </c>
      <c r="B74" s="199" t="s">
        <v>2419</v>
      </c>
      <c r="C74" s="199" t="s">
        <v>2418</v>
      </c>
      <c r="D74" s="200" t="s">
        <v>2107</v>
      </c>
      <c r="E74" s="200" t="s">
        <v>2243</v>
      </c>
      <c r="F74" s="202" t="str">
        <f>VLOOKUP(D74,CSR!$D$4:$E$1180,2,FALSE)</f>
        <v>CSR_11319</v>
      </c>
      <c r="G74" s="203">
        <v>46178</v>
      </c>
      <c r="H74" s="204">
        <v>2</v>
      </c>
      <c r="I74" s="205">
        <f t="shared" si="2"/>
        <v>0.10526315789473684</v>
      </c>
      <c r="J74" s="206" t="s">
        <v>324</v>
      </c>
      <c r="K74" s="206"/>
      <c r="L74" s="206" t="s">
        <v>409</v>
      </c>
      <c r="M74" s="201" t="s">
        <v>2244</v>
      </c>
    </row>
    <row r="75" spans="1:13" ht="32" customHeight="1">
      <c r="A75" s="198" t="s">
        <v>2095</v>
      </c>
      <c r="B75" s="199" t="s">
        <v>31</v>
      </c>
      <c r="C75" s="199" t="s">
        <v>336</v>
      </c>
      <c r="D75" s="200" t="s">
        <v>357</v>
      </c>
      <c r="E75" s="200" t="s">
        <v>2245</v>
      </c>
      <c r="F75" s="202" t="str">
        <f>VLOOKUP(D75,CSR!$D$4:$E$1180,2,FALSE)</f>
        <v>CSR_30700</v>
      </c>
      <c r="G75" s="203">
        <v>46178</v>
      </c>
      <c r="H75" s="204">
        <v>1</v>
      </c>
      <c r="I75" s="205">
        <f t="shared" si="2"/>
        <v>5.2631578947368418E-2</v>
      </c>
      <c r="J75" s="206" t="s">
        <v>324</v>
      </c>
      <c r="K75" s="206"/>
      <c r="L75" s="206" t="s">
        <v>410</v>
      </c>
      <c r="M75" s="201" t="s">
        <v>2246</v>
      </c>
    </row>
    <row r="76" spans="1:13" ht="32" customHeight="1">
      <c r="A76" s="198" t="s">
        <v>2095</v>
      </c>
      <c r="B76" s="199" t="s">
        <v>2419</v>
      </c>
      <c r="C76" s="199" t="s">
        <v>2418</v>
      </c>
      <c r="D76" s="200" t="s">
        <v>18</v>
      </c>
      <c r="E76" s="200" t="s">
        <v>2247</v>
      </c>
      <c r="F76" s="202" t="str">
        <f>VLOOKUP(D76,CSR!$D$4:$E$1180,2,FALSE)</f>
        <v>CSR_11300</v>
      </c>
      <c r="G76" s="203">
        <v>46178</v>
      </c>
      <c r="H76" s="204">
        <v>3</v>
      </c>
      <c r="I76" s="205">
        <f t="shared" si="2"/>
        <v>0.15789473684210525</v>
      </c>
      <c r="J76" s="206" t="s">
        <v>83</v>
      </c>
      <c r="K76" s="206"/>
      <c r="L76" s="206" t="s">
        <v>23</v>
      </c>
      <c r="M76" s="201" t="s">
        <v>2248</v>
      </c>
    </row>
    <row r="77" spans="1:13" ht="32" customHeight="1">
      <c r="A77" s="198" t="s">
        <v>2095</v>
      </c>
      <c r="B77" s="199" t="s">
        <v>2419</v>
      </c>
      <c r="C77" s="199" t="s">
        <v>2418</v>
      </c>
      <c r="D77" s="200" t="s">
        <v>44</v>
      </c>
      <c r="E77" s="200" t="s">
        <v>2249</v>
      </c>
      <c r="F77" s="202" t="str">
        <f>VLOOKUP(D77,CSR!$D$4:$E$1180,2,FALSE)</f>
        <v>CSR_11416</v>
      </c>
      <c r="G77" s="203">
        <v>46178</v>
      </c>
      <c r="H77" s="204">
        <v>2</v>
      </c>
      <c r="I77" s="205">
        <f t="shared" si="2"/>
        <v>0.10526315789473684</v>
      </c>
      <c r="J77" s="206" t="s">
        <v>83</v>
      </c>
      <c r="K77" s="206"/>
      <c r="L77" s="206" t="s">
        <v>410</v>
      </c>
      <c r="M77" s="201" t="s">
        <v>2250</v>
      </c>
    </row>
    <row r="78" spans="1:13" ht="32" customHeight="1">
      <c r="A78" s="198" t="s">
        <v>2095</v>
      </c>
      <c r="B78" s="199" t="s">
        <v>49</v>
      </c>
      <c r="C78" s="199" t="s">
        <v>175</v>
      </c>
      <c r="D78" s="200" t="s">
        <v>187</v>
      </c>
      <c r="E78" s="200" t="s">
        <v>2251</v>
      </c>
      <c r="F78" s="202" t="str">
        <f>VLOOKUP(D78,CSR!$D$4:$E$1180,2,FALSE)</f>
        <v>CSR_40400</v>
      </c>
      <c r="G78" s="203">
        <v>46178</v>
      </c>
      <c r="H78" s="204">
        <v>2</v>
      </c>
      <c r="I78" s="205">
        <f t="shared" si="2"/>
        <v>0.10526315789473684</v>
      </c>
      <c r="J78" s="206" t="s">
        <v>90</v>
      </c>
      <c r="K78" s="206"/>
      <c r="L78" s="206" t="s">
        <v>23</v>
      </c>
      <c r="M78" s="201" t="s">
        <v>2252</v>
      </c>
    </row>
    <row r="79" spans="1:13" ht="32" customHeight="1">
      <c r="A79" s="198" t="s">
        <v>2095</v>
      </c>
      <c r="B79" s="199" t="s">
        <v>2419</v>
      </c>
      <c r="C79" s="199" t="s">
        <v>2418</v>
      </c>
      <c r="D79" s="200" t="s">
        <v>180</v>
      </c>
      <c r="E79" s="200" t="s">
        <v>2253</v>
      </c>
      <c r="F79" s="202" t="str">
        <f>VLOOKUP(D79,CSR!$D$4:$E$1180,2,FALSE)</f>
        <v>CSR_11317</v>
      </c>
      <c r="G79" s="203">
        <v>46178</v>
      </c>
      <c r="H79" s="204">
        <v>3</v>
      </c>
      <c r="I79" s="205">
        <f t="shared" si="2"/>
        <v>0.15789473684210525</v>
      </c>
      <c r="J79" s="206" t="s">
        <v>90</v>
      </c>
      <c r="K79" s="206"/>
      <c r="L79" s="206" t="s">
        <v>23</v>
      </c>
      <c r="M79" s="201" t="s">
        <v>2254</v>
      </c>
    </row>
    <row r="80" spans="1:13" ht="32" customHeight="1">
      <c r="A80" s="198" t="s">
        <v>2095</v>
      </c>
      <c r="B80" s="199" t="s">
        <v>2419</v>
      </c>
      <c r="C80" s="199" t="s">
        <v>2418</v>
      </c>
      <c r="D80" s="200" t="s">
        <v>18</v>
      </c>
      <c r="E80" s="200" t="s">
        <v>2255</v>
      </c>
      <c r="F80" s="202" t="str">
        <f>VLOOKUP(D80,CSR!$D$4:$E$1180,2,FALSE)</f>
        <v>CSR_11300</v>
      </c>
      <c r="G80" s="203">
        <v>46178</v>
      </c>
      <c r="H80" s="204">
        <v>3</v>
      </c>
      <c r="I80" s="205">
        <f t="shared" si="2"/>
        <v>0.15789473684210525</v>
      </c>
      <c r="J80" s="206" t="s">
        <v>125</v>
      </c>
      <c r="K80" s="206"/>
      <c r="L80" s="206" t="s">
        <v>23</v>
      </c>
      <c r="M80" s="201" t="s">
        <v>2256</v>
      </c>
    </row>
    <row r="81" spans="1:13" ht="32" customHeight="1">
      <c r="A81" s="198" t="s">
        <v>2095</v>
      </c>
      <c r="B81" s="199" t="s">
        <v>2419</v>
      </c>
      <c r="C81" s="199" t="s">
        <v>2418</v>
      </c>
      <c r="D81" s="200" t="s">
        <v>44</v>
      </c>
      <c r="E81" s="200" t="s">
        <v>2435</v>
      </c>
      <c r="F81" s="202" t="str">
        <f>VLOOKUP(D81,CSR!$D$4:$E$1180,2,FALSE)</f>
        <v>CSR_11416</v>
      </c>
      <c r="G81" s="203">
        <v>46178</v>
      </c>
      <c r="H81" s="204">
        <v>2</v>
      </c>
      <c r="I81" s="205">
        <f t="shared" si="2"/>
        <v>0.10526315789473684</v>
      </c>
      <c r="J81" s="206" t="s">
        <v>125</v>
      </c>
      <c r="K81" s="206"/>
      <c r="L81" s="206" t="s">
        <v>409</v>
      </c>
      <c r="M81" s="201" t="s">
        <v>2257</v>
      </c>
    </row>
    <row r="82" spans="1:13" ht="32" customHeight="1">
      <c r="A82" s="198" t="s">
        <v>2095</v>
      </c>
      <c r="B82" s="199" t="s">
        <v>2419</v>
      </c>
      <c r="C82" s="199" t="s">
        <v>2418</v>
      </c>
      <c r="D82" s="200" t="s">
        <v>131</v>
      </c>
      <c r="E82" s="200" t="s">
        <v>2258</v>
      </c>
      <c r="F82" s="202" t="str">
        <f>VLOOKUP(D82,CSR!$D$4:$E$1180,2,FALSE)</f>
        <v>CSR_10400</v>
      </c>
      <c r="G82" s="203">
        <v>46178</v>
      </c>
      <c r="H82" s="204">
        <v>2</v>
      </c>
      <c r="I82" s="205">
        <f t="shared" si="2"/>
        <v>0.10526315789473684</v>
      </c>
      <c r="J82" s="206" t="s">
        <v>134</v>
      </c>
      <c r="K82" s="206"/>
      <c r="L82" s="206" t="s">
        <v>23</v>
      </c>
      <c r="M82" s="201" t="s">
        <v>2259</v>
      </c>
    </row>
    <row r="83" spans="1:13" ht="32" customHeight="1">
      <c r="A83" s="198" t="s">
        <v>2095</v>
      </c>
      <c r="B83" s="199" t="s">
        <v>49</v>
      </c>
      <c r="C83" s="199" t="s">
        <v>175</v>
      </c>
      <c r="D83" s="200" t="s">
        <v>187</v>
      </c>
      <c r="E83" s="200" t="s">
        <v>2260</v>
      </c>
      <c r="F83" s="202" t="str">
        <f>VLOOKUP(D83,CSR!$D$4:$E$1180,2,FALSE)</f>
        <v>CSR_40400</v>
      </c>
      <c r="G83" s="203">
        <v>46178</v>
      </c>
      <c r="H83" s="204">
        <v>3</v>
      </c>
      <c r="I83" s="205">
        <f t="shared" si="2"/>
        <v>0.15789473684210525</v>
      </c>
      <c r="J83" s="206" t="s">
        <v>134</v>
      </c>
      <c r="K83" s="206"/>
      <c r="L83" s="206" t="s">
        <v>23</v>
      </c>
      <c r="M83" s="201" t="s">
        <v>2261</v>
      </c>
    </row>
    <row r="84" spans="1:13" ht="32" customHeight="1">
      <c r="A84" s="198" t="s">
        <v>2095</v>
      </c>
      <c r="B84" s="199" t="s">
        <v>2419</v>
      </c>
      <c r="C84" s="199" t="s">
        <v>2418</v>
      </c>
      <c r="D84" s="200" t="s">
        <v>18</v>
      </c>
      <c r="E84" s="200" t="s">
        <v>2262</v>
      </c>
      <c r="F84" s="202" t="str">
        <f>VLOOKUP(D84,CSR!$D$4:$E$1180,2,FALSE)</f>
        <v>CSR_11300</v>
      </c>
      <c r="G84" s="203">
        <v>46178</v>
      </c>
      <c r="H84" s="204">
        <v>3</v>
      </c>
      <c r="I84" s="205">
        <f t="shared" si="2"/>
        <v>0.15789473684210525</v>
      </c>
      <c r="J84" s="206" t="s">
        <v>395</v>
      </c>
      <c r="K84" s="206"/>
      <c r="L84" s="206" t="s">
        <v>23</v>
      </c>
      <c r="M84" s="201" t="s">
        <v>2263</v>
      </c>
    </row>
    <row r="85" spans="1:13" ht="32" customHeight="1">
      <c r="A85" s="198" t="s">
        <v>2095</v>
      </c>
      <c r="B85" s="199" t="s">
        <v>49</v>
      </c>
      <c r="C85" s="199" t="s">
        <v>175</v>
      </c>
      <c r="D85" s="200" t="s">
        <v>187</v>
      </c>
      <c r="E85" s="200" t="s">
        <v>2264</v>
      </c>
      <c r="F85" s="202" t="str">
        <f>VLOOKUP(D85,CSR!$D$4:$E$1180,2,FALSE)</f>
        <v>CSR_40400</v>
      </c>
      <c r="G85" s="203">
        <v>46178</v>
      </c>
      <c r="H85" s="204">
        <v>2</v>
      </c>
      <c r="I85" s="205">
        <f t="shared" si="2"/>
        <v>0.10526315789473684</v>
      </c>
      <c r="J85" s="206" t="s">
        <v>395</v>
      </c>
      <c r="K85" s="206"/>
      <c r="L85" s="206" t="s">
        <v>409</v>
      </c>
      <c r="M85" s="201" t="s">
        <v>2265</v>
      </c>
    </row>
    <row r="86" spans="1:13" ht="32" customHeight="1">
      <c r="A86" s="198" t="s">
        <v>2095</v>
      </c>
      <c r="B86" s="199" t="s">
        <v>2419</v>
      </c>
      <c r="C86" s="199" t="s">
        <v>2418</v>
      </c>
      <c r="D86" s="200" t="s">
        <v>18</v>
      </c>
      <c r="E86" s="200" t="s">
        <v>2266</v>
      </c>
      <c r="F86" s="202" t="str">
        <f>VLOOKUP(D86,CSR!$D$4:$E$1180,2,FALSE)</f>
        <v>CSR_11300</v>
      </c>
      <c r="G86" s="203">
        <v>46185</v>
      </c>
      <c r="H86" s="204">
        <v>2</v>
      </c>
      <c r="I86" s="205">
        <f t="shared" si="2"/>
        <v>0.10526315789473684</v>
      </c>
      <c r="J86" s="206" t="s">
        <v>54</v>
      </c>
      <c r="K86" s="206"/>
      <c r="L86" s="206" t="s">
        <v>23</v>
      </c>
      <c r="M86" s="201" t="s">
        <v>2267</v>
      </c>
    </row>
    <row r="87" spans="1:13" ht="32" customHeight="1">
      <c r="A87" s="198" t="s">
        <v>2095</v>
      </c>
      <c r="B87" s="199" t="s">
        <v>2419</v>
      </c>
      <c r="C87" s="199" t="s">
        <v>2418</v>
      </c>
      <c r="D87" s="200" t="s">
        <v>44</v>
      </c>
      <c r="E87" s="200" t="s">
        <v>2268</v>
      </c>
      <c r="F87" s="202" t="str">
        <f>VLOOKUP(D87,CSR!$D$4:$E$1180,2,FALSE)</f>
        <v>CSR_11416</v>
      </c>
      <c r="G87" s="203">
        <v>46185</v>
      </c>
      <c r="H87" s="204">
        <v>1</v>
      </c>
      <c r="I87" s="205">
        <f t="shared" si="2"/>
        <v>5.2631578947368418E-2</v>
      </c>
      <c r="J87" s="206" t="s">
        <v>54</v>
      </c>
      <c r="K87" s="206"/>
      <c r="L87" s="206" t="s">
        <v>410</v>
      </c>
      <c r="M87" s="201" t="s">
        <v>2269</v>
      </c>
    </row>
    <row r="88" spans="1:13" ht="32" customHeight="1">
      <c r="A88" s="198" t="s">
        <v>2095</v>
      </c>
      <c r="B88" s="199" t="s">
        <v>2419</v>
      </c>
      <c r="C88" s="199" t="s">
        <v>2418</v>
      </c>
      <c r="D88" s="200" t="s">
        <v>18</v>
      </c>
      <c r="E88" s="200" t="s">
        <v>2270</v>
      </c>
      <c r="F88" s="202" t="str">
        <f>VLOOKUP(D88,CSR!$D$4:$E$1180,2,FALSE)</f>
        <v>CSR_11300</v>
      </c>
      <c r="G88" s="203">
        <v>46185</v>
      </c>
      <c r="H88" s="204">
        <v>2</v>
      </c>
      <c r="I88" s="205">
        <f t="shared" si="2"/>
        <v>0.10526315789473684</v>
      </c>
      <c r="J88" s="206" t="s">
        <v>54</v>
      </c>
      <c r="K88" s="206"/>
      <c r="L88" s="206" t="s">
        <v>23</v>
      </c>
      <c r="M88" s="201" t="s">
        <v>2271</v>
      </c>
    </row>
    <row r="89" spans="1:13" ht="32" customHeight="1">
      <c r="A89" s="198" t="s">
        <v>2095</v>
      </c>
      <c r="B89" s="199" t="s">
        <v>2419</v>
      </c>
      <c r="C89" s="199" t="s">
        <v>2418</v>
      </c>
      <c r="D89" s="200" t="s">
        <v>65</v>
      </c>
      <c r="E89" s="200" t="s">
        <v>2272</v>
      </c>
      <c r="F89" s="202" t="str">
        <f>VLOOKUP(D89,CSR!$D$4:$E$1180,2,FALSE)</f>
        <v>CSR_10800</v>
      </c>
      <c r="G89" s="203">
        <v>46185</v>
      </c>
      <c r="H89" s="204">
        <v>3</v>
      </c>
      <c r="I89" s="205">
        <f t="shared" si="2"/>
        <v>0.15789473684210525</v>
      </c>
      <c r="J89" s="206" t="s">
        <v>104</v>
      </c>
      <c r="K89" s="206"/>
      <c r="L89" s="206" t="s">
        <v>23</v>
      </c>
      <c r="M89" s="201" t="s">
        <v>2273</v>
      </c>
    </row>
    <row r="90" spans="1:13" ht="32" customHeight="1">
      <c r="A90" s="198" t="s">
        <v>2095</v>
      </c>
      <c r="B90" s="199" t="s">
        <v>2419</v>
      </c>
      <c r="C90" s="199" t="s">
        <v>2418</v>
      </c>
      <c r="D90" s="200" t="s">
        <v>44</v>
      </c>
      <c r="E90" s="200" t="s">
        <v>2274</v>
      </c>
      <c r="F90" s="202" t="str">
        <f>VLOOKUP(D90,CSR!$D$4:$E$1180,2,FALSE)</f>
        <v>CSR_11416</v>
      </c>
      <c r="G90" s="203">
        <v>46185</v>
      </c>
      <c r="H90" s="204">
        <v>2</v>
      </c>
      <c r="I90" s="205">
        <f t="shared" si="2"/>
        <v>0.10526315789473684</v>
      </c>
      <c r="J90" s="206" t="s">
        <v>104</v>
      </c>
      <c r="K90" s="206"/>
      <c r="L90" s="206" t="s">
        <v>410</v>
      </c>
      <c r="M90" s="201" t="s">
        <v>2275</v>
      </c>
    </row>
    <row r="91" spans="1:13" ht="32" customHeight="1">
      <c r="A91" s="198" t="s">
        <v>2095</v>
      </c>
      <c r="B91" s="199" t="s">
        <v>2419</v>
      </c>
      <c r="C91" s="199" t="s">
        <v>2418</v>
      </c>
      <c r="D91" s="200" t="s">
        <v>65</v>
      </c>
      <c r="E91" s="200" t="s">
        <v>2276</v>
      </c>
      <c r="F91" s="202" t="str">
        <f>VLOOKUP(D91,CSR!$D$4:$E$1180,2,FALSE)</f>
        <v>CSR_10800</v>
      </c>
      <c r="G91" s="203">
        <v>46185</v>
      </c>
      <c r="H91" s="204">
        <v>2</v>
      </c>
      <c r="I91" s="205">
        <f t="shared" si="2"/>
        <v>0.10526315789473684</v>
      </c>
      <c r="J91" s="206" t="s">
        <v>375</v>
      </c>
      <c r="K91" s="206"/>
      <c r="L91" s="206" t="s">
        <v>409</v>
      </c>
      <c r="M91" s="201" t="s">
        <v>2277</v>
      </c>
    </row>
    <row r="92" spans="1:13" ht="32" customHeight="1">
      <c r="A92" s="198" t="s">
        <v>2095</v>
      </c>
      <c r="B92" s="199" t="s">
        <v>2419</v>
      </c>
      <c r="C92" s="199" t="s">
        <v>2418</v>
      </c>
      <c r="D92" s="200" t="s">
        <v>2101</v>
      </c>
      <c r="E92" s="200" t="s">
        <v>2278</v>
      </c>
      <c r="F92" s="202" t="str">
        <f>VLOOKUP(D92,CSR!$D$4:$E$1180,2,FALSE)</f>
        <v>CSR_11417</v>
      </c>
      <c r="G92" s="203">
        <v>46185</v>
      </c>
      <c r="H92" s="204">
        <v>2</v>
      </c>
      <c r="I92" s="205">
        <f t="shared" si="2"/>
        <v>0.10526315789473684</v>
      </c>
      <c r="J92" s="206" t="s">
        <v>375</v>
      </c>
      <c r="K92" s="206"/>
      <c r="L92" s="206" t="s">
        <v>410</v>
      </c>
      <c r="M92" s="201" t="s">
        <v>2279</v>
      </c>
    </row>
    <row r="93" spans="1:13" ht="32" customHeight="1">
      <c r="A93" s="198" t="s">
        <v>2095</v>
      </c>
      <c r="B93" s="199" t="s">
        <v>70</v>
      </c>
      <c r="C93" s="199" t="s">
        <v>245</v>
      </c>
      <c r="D93" s="200" t="s">
        <v>272</v>
      </c>
      <c r="E93" s="200" t="s">
        <v>2280</v>
      </c>
      <c r="F93" s="202" t="str">
        <f>VLOOKUP(D93,CSR!$D$4:$E$1180,2,FALSE)</f>
        <v>CSR_20007</v>
      </c>
      <c r="G93" s="203">
        <v>46185</v>
      </c>
      <c r="H93" s="204">
        <v>1</v>
      </c>
      <c r="I93" s="205">
        <f t="shared" si="2"/>
        <v>5.2631578947368418E-2</v>
      </c>
      <c r="J93" s="206" t="s">
        <v>375</v>
      </c>
      <c r="K93" s="206"/>
      <c r="L93" s="206" t="s">
        <v>409</v>
      </c>
      <c r="M93" s="201" t="s">
        <v>2281</v>
      </c>
    </row>
    <row r="94" spans="1:13" ht="32" customHeight="1">
      <c r="A94" s="198" t="s">
        <v>2095</v>
      </c>
      <c r="B94" s="199" t="s">
        <v>2419</v>
      </c>
      <c r="C94" s="199" t="s">
        <v>2418</v>
      </c>
      <c r="D94" s="200" t="s">
        <v>2101</v>
      </c>
      <c r="E94" s="200" t="s">
        <v>2282</v>
      </c>
      <c r="F94" s="202" t="str">
        <f>VLOOKUP(D94,CSR!$D$4:$E$1180,2,FALSE)</f>
        <v>CSR_11417</v>
      </c>
      <c r="G94" s="203">
        <v>46185</v>
      </c>
      <c r="H94" s="204">
        <v>1</v>
      </c>
      <c r="I94" s="205">
        <f t="shared" si="2"/>
        <v>5.2631578947368418E-2</v>
      </c>
      <c r="J94" s="206" t="s">
        <v>386</v>
      </c>
      <c r="K94" s="206"/>
      <c r="L94" s="206" t="s">
        <v>410</v>
      </c>
      <c r="M94" s="201" t="s">
        <v>2283</v>
      </c>
    </row>
    <row r="95" spans="1:13" ht="32" customHeight="1">
      <c r="A95" s="198" t="s">
        <v>2095</v>
      </c>
      <c r="B95" s="199" t="s">
        <v>2419</v>
      </c>
      <c r="C95" s="199" t="s">
        <v>2418</v>
      </c>
      <c r="D95" s="200" t="s">
        <v>2107</v>
      </c>
      <c r="E95" s="200" t="s">
        <v>2284</v>
      </c>
      <c r="F95" s="202" t="str">
        <f>VLOOKUP(D95,CSR!$D$4:$E$1180,2,FALSE)</f>
        <v>CSR_11319</v>
      </c>
      <c r="G95" s="203">
        <v>46185</v>
      </c>
      <c r="H95" s="204">
        <v>2</v>
      </c>
      <c r="I95" s="205">
        <f t="shared" si="2"/>
        <v>0.10526315789473684</v>
      </c>
      <c r="J95" s="206" t="s">
        <v>386</v>
      </c>
      <c r="K95" s="206"/>
      <c r="L95" s="206" t="s">
        <v>23</v>
      </c>
      <c r="M95" s="201" t="s">
        <v>2285</v>
      </c>
    </row>
    <row r="96" spans="1:13" ht="32" customHeight="1">
      <c r="A96" s="198" t="s">
        <v>2095</v>
      </c>
      <c r="B96" s="199" t="s">
        <v>70</v>
      </c>
      <c r="C96" s="199" t="s">
        <v>245</v>
      </c>
      <c r="D96" s="200" t="s">
        <v>272</v>
      </c>
      <c r="E96" s="200" t="s">
        <v>2286</v>
      </c>
      <c r="F96" s="202" t="str">
        <f>VLOOKUP(D96,CSR!$D$4:$E$1180,2,FALSE)</f>
        <v>CSR_20007</v>
      </c>
      <c r="G96" s="203">
        <v>46185</v>
      </c>
      <c r="H96" s="204">
        <v>2</v>
      </c>
      <c r="I96" s="205">
        <f t="shared" si="2"/>
        <v>0.10526315789473684</v>
      </c>
      <c r="J96" s="206" t="s">
        <v>386</v>
      </c>
      <c r="K96" s="206"/>
      <c r="L96" s="206" t="s">
        <v>409</v>
      </c>
      <c r="M96" s="201" t="s">
        <v>2287</v>
      </c>
    </row>
    <row r="97" spans="1:13" ht="32" customHeight="1">
      <c r="A97" s="198" t="s">
        <v>2095</v>
      </c>
      <c r="B97" s="199" t="s">
        <v>2419</v>
      </c>
      <c r="C97" s="199" t="s">
        <v>2418</v>
      </c>
      <c r="D97" s="200" t="s">
        <v>65</v>
      </c>
      <c r="E97" s="200" t="s">
        <v>2288</v>
      </c>
      <c r="F97" s="202" t="str">
        <f>VLOOKUP(D97,CSR!$D$4:$E$1180,2,FALSE)</f>
        <v>CSR_10800</v>
      </c>
      <c r="G97" s="203">
        <v>46185</v>
      </c>
      <c r="H97" s="204">
        <v>3</v>
      </c>
      <c r="I97" s="205">
        <f t="shared" si="2"/>
        <v>0.15789473684210525</v>
      </c>
      <c r="J97" s="206" t="s">
        <v>68</v>
      </c>
      <c r="K97" s="206"/>
      <c r="L97" s="206" t="s">
        <v>23</v>
      </c>
      <c r="M97" s="201" t="s">
        <v>2289</v>
      </c>
    </row>
    <row r="98" spans="1:13" ht="32" customHeight="1">
      <c r="A98" s="198" t="s">
        <v>2095</v>
      </c>
      <c r="B98" s="199" t="s">
        <v>2419</v>
      </c>
      <c r="C98" s="199" t="s">
        <v>2418</v>
      </c>
      <c r="D98" s="200" t="s">
        <v>44</v>
      </c>
      <c r="E98" s="200" t="s">
        <v>2290</v>
      </c>
      <c r="F98" s="202" t="str">
        <f>VLOOKUP(D98,CSR!$D$4:$E$1180,2,FALSE)</f>
        <v>CSR_11416</v>
      </c>
      <c r="G98" s="203">
        <v>46185</v>
      </c>
      <c r="H98" s="204">
        <v>2</v>
      </c>
      <c r="I98" s="205">
        <f t="shared" si="2"/>
        <v>0.10526315789473684</v>
      </c>
      <c r="J98" s="206" t="s">
        <v>68</v>
      </c>
      <c r="K98" s="206"/>
      <c r="L98" s="206" t="s">
        <v>409</v>
      </c>
      <c r="M98" s="201" t="s">
        <v>2291</v>
      </c>
    </row>
    <row r="99" spans="1:13" ht="32" customHeight="1">
      <c r="A99" s="198" t="s">
        <v>2095</v>
      </c>
      <c r="B99" s="199" t="s">
        <v>2419</v>
      </c>
      <c r="C99" s="199" t="s">
        <v>2418</v>
      </c>
      <c r="D99" s="200" t="s">
        <v>180</v>
      </c>
      <c r="E99" s="200" t="s">
        <v>2292</v>
      </c>
      <c r="F99" s="202" t="str">
        <f>VLOOKUP(D99,CSR!$D$4:$E$1180,2,FALSE)</f>
        <v>CSR_11317</v>
      </c>
      <c r="G99" s="203">
        <v>46185</v>
      </c>
      <c r="H99" s="204">
        <v>3</v>
      </c>
      <c r="I99" s="205">
        <f t="shared" si="2"/>
        <v>0.15789473684210525</v>
      </c>
      <c r="J99" s="206" t="s">
        <v>114</v>
      </c>
      <c r="K99" s="206"/>
      <c r="L99" s="206" t="s">
        <v>23</v>
      </c>
      <c r="M99" s="201" t="s">
        <v>2293</v>
      </c>
    </row>
    <row r="100" spans="1:13" ht="32" customHeight="1">
      <c r="A100" s="198" t="s">
        <v>2095</v>
      </c>
      <c r="B100" s="199" t="s">
        <v>49</v>
      </c>
      <c r="C100" s="199" t="s">
        <v>175</v>
      </c>
      <c r="D100" s="200" t="s">
        <v>187</v>
      </c>
      <c r="E100" s="200" t="s">
        <v>2294</v>
      </c>
      <c r="F100" s="202" t="str">
        <f>VLOOKUP(D100,CSR!$D$4:$E$1180,2,FALSE)</f>
        <v>CSR_40400</v>
      </c>
      <c r="G100" s="203">
        <v>46185</v>
      </c>
      <c r="H100" s="204">
        <v>2</v>
      </c>
      <c r="I100" s="205">
        <f t="shared" si="2"/>
        <v>0.10526315789473684</v>
      </c>
      <c r="J100" s="206" t="s">
        <v>114</v>
      </c>
      <c r="K100" s="206"/>
      <c r="L100" s="206" t="s">
        <v>23</v>
      </c>
      <c r="M100" s="201" t="s">
        <v>2295</v>
      </c>
    </row>
    <row r="101" spans="1:13" ht="32" customHeight="1">
      <c r="A101" s="198" t="s">
        <v>2095</v>
      </c>
      <c r="B101" s="199" t="s">
        <v>2419</v>
      </c>
      <c r="C101" s="199" t="s">
        <v>2418</v>
      </c>
      <c r="D101" s="200" t="s">
        <v>2101</v>
      </c>
      <c r="E101" s="200" t="s">
        <v>2296</v>
      </c>
      <c r="F101" s="202" t="str">
        <f>VLOOKUP(D101,CSR!$D$4:$E$1180,2,FALSE)</f>
        <v>CSR_11417</v>
      </c>
      <c r="G101" s="203">
        <v>46185</v>
      </c>
      <c r="H101" s="204">
        <v>2</v>
      </c>
      <c r="I101" s="205">
        <f t="shared" si="2"/>
        <v>0.10526315789473684</v>
      </c>
      <c r="J101" s="206" t="s">
        <v>335</v>
      </c>
      <c r="K101" s="206"/>
      <c r="L101" s="206" t="s">
        <v>410</v>
      </c>
      <c r="M101" s="201" t="s">
        <v>2297</v>
      </c>
    </row>
    <row r="102" spans="1:13" ht="32" customHeight="1">
      <c r="A102" s="198" t="s">
        <v>2095</v>
      </c>
      <c r="B102" s="199" t="s">
        <v>2419</v>
      </c>
      <c r="C102" s="199" t="s">
        <v>2418</v>
      </c>
      <c r="D102" s="200" t="s">
        <v>65</v>
      </c>
      <c r="E102" s="200" t="s">
        <v>2298</v>
      </c>
      <c r="F102" s="202" t="str">
        <f>VLOOKUP(D102,CSR!$D$4:$E$1180,2,FALSE)</f>
        <v>CSR_10800</v>
      </c>
      <c r="G102" s="203">
        <v>46185</v>
      </c>
      <c r="H102" s="204">
        <v>2</v>
      </c>
      <c r="I102" s="205">
        <f t="shared" si="2"/>
        <v>0.10526315789473684</v>
      </c>
      <c r="J102" s="206" t="s">
        <v>335</v>
      </c>
      <c r="K102" s="206"/>
      <c r="L102" s="206" t="s">
        <v>409</v>
      </c>
      <c r="M102" s="201" t="s">
        <v>2299</v>
      </c>
    </row>
    <row r="103" spans="1:13" ht="32" customHeight="1">
      <c r="A103" s="198" t="s">
        <v>2095</v>
      </c>
      <c r="B103" s="199" t="s">
        <v>31</v>
      </c>
      <c r="C103" s="199" t="s">
        <v>336</v>
      </c>
      <c r="D103" s="200" t="s">
        <v>357</v>
      </c>
      <c r="E103" s="200" t="s">
        <v>2300</v>
      </c>
      <c r="F103" s="202" t="str">
        <f>VLOOKUP(D103,CSR!$D$4:$E$1180,2,FALSE)</f>
        <v>CSR_30700</v>
      </c>
      <c r="G103" s="203">
        <v>46185</v>
      </c>
      <c r="H103" s="204">
        <v>1</v>
      </c>
      <c r="I103" s="205">
        <f t="shared" si="2"/>
        <v>5.2631578947368418E-2</v>
      </c>
      <c r="J103" s="206" t="s">
        <v>335</v>
      </c>
      <c r="K103" s="206"/>
      <c r="L103" s="206" t="s">
        <v>409</v>
      </c>
      <c r="M103" s="201" t="s">
        <v>2301</v>
      </c>
    </row>
    <row r="104" spans="1:13" ht="32" customHeight="1">
      <c r="A104" s="198" t="s">
        <v>2095</v>
      </c>
      <c r="B104" s="199" t="s">
        <v>31</v>
      </c>
      <c r="C104" s="199" t="s">
        <v>336</v>
      </c>
      <c r="D104" s="200" t="s">
        <v>357</v>
      </c>
      <c r="E104" s="200" t="s">
        <v>2302</v>
      </c>
      <c r="F104" s="202" t="str">
        <f>VLOOKUP(D104,CSR!$D$4:$E$1180,2,FALSE)</f>
        <v>CSR_30700</v>
      </c>
      <c r="G104" s="203">
        <v>46185</v>
      </c>
      <c r="H104" s="204">
        <v>3</v>
      </c>
      <c r="I104" s="205">
        <f t="shared" si="2"/>
        <v>0.15789473684210525</v>
      </c>
      <c r="J104" s="206" t="s">
        <v>351</v>
      </c>
      <c r="K104" s="206"/>
      <c r="L104" s="206" t="s">
        <v>409</v>
      </c>
      <c r="M104" s="201" t="s">
        <v>2303</v>
      </c>
    </row>
    <row r="105" spans="1:13" ht="32" customHeight="1">
      <c r="A105" s="198" t="s">
        <v>2095</v>
      </c>
      <c r="B105" s="199" t="s">
        <v>2419</v>
      </c>
      <c r="C105" s="199" t="s">
        <v>2418</v>
      </c>
      <c r="D105" s="200" t="s">
        <v>2107</v>
      </c>
      <c r="E105" s="200" t="s">
        <v>2304</v>
      </c>
      <c r="F105" s="202" t="str">
        <f>VLOOKUP(D105,CSR!$D$4:$E$1180,2,FALSE)</f>
        <v>CSR_11319</v>
      </c>
      <c r="G105" s="203">
        <v>46185</v>
      </c>
      <c r="H105" s="204">
        <v>2</v>
      </c>
      <c r="I105" s="205">
        <f t="shared" si="2"/>
        <v>0.10526315789473684</v>
      </c>
      <c r="J105" s="206" t="s">
        <v>351</v>
      </c>
      <c r="K105" s="206"/>
      <c r="L105" s="206" t="s">
        <v>409</v>
      </c>
      <c r="M105" s="201" t="s">
        <v>2305</v>
      </c>
    </row>
    <row r="106" spans="1:13" ht="32" customHeight="1">
      <c r="A106" s="198" t="s">
        <v>2095</v>
      </c>
      <c r="B106" s="199" t="s">
        <v>2419</v>
      </c>
      <c r="C106" s="199" t="s">
        <v>2418</v>
      </c>
      <c r="D106" s="200" t="s">
        <v>18</v>
      </c>
      <c r="E106" s="200" t="s">
        <v>2306</v>
      </c>
      <c r="F106" s="202" t="str">
        <f>VLOOKUP(D106,CSR!$D$4:$E$1180,2,FALSE)</f>
        <v>CSR_11300</v>
      </c>
      <c r="G106" s="203">
        <v>46185</v>
      </c>
      <c r="H106" s="204">
        <v>2</v>
      </c>
      <c r="I106" s="205">
        <f t="shared" si="2"/>
        <v>0.10526315789473684</v>
      </c>
      <c r="J106" s="206" t="s">
        <v>22</v>
      </c>
      <c r="K106" s="206"/>
      <c r="L106" s="206" t="s">
        <v>409</v>
      </c>
      <c r="M106" s="201" t="s">
        <v>2307</v>
      </c>
    </row>
    <row r="107" spans="1:13" ht="32" customHeight="1">
      <c r="A107" s="198" t="s">
        <v>2095</v>
      </c>
      <c r="B107" s="199" t="s">
        <v>31</v>
      </c>
      <c r="C107" s="199" t="s">
        <v>32</v>
      </c>
      <c r="D107" s="200" t="s">
        <v>33</v>
      </c>
      <c r="E107" s="200" t="s">
        <v>2308</v>
      </c>
      <c r="F107" s="202" t="str">
        <f>VLOOKUP(D107,CSR!$D$4:$E$1180,2,FALSE)</f>
        <v>CSR_30200</v>
      </c>
      <c r="G107" s="203">
        <v>46185</v>
      </c>
      <c r="H107" s="204">
        <v>1</v>
      </c>
      <c r="I107" s="205">
        <f t="shared" si="2"/>
        <v>5.2631578947368418E-2</v>
      </c>
      <c r="J107" s="206" t="s">
        <v>22</v>
      </c>
      <c r="K107" s="206"/>
      <c r="L107" s="206" t="s">
        <v>409</v>
      </c>
      <c r="M107" s="201" t="s">
        <v>2309</v>
      </c>
    </row>
    <row r="108" spans="1:13" ht="32" customHeight="1">
      <c r="A108" s="198" t="s">
        <v>2095</v>
      </c>
      <c r="B108" s="199" t="s">
        <v>2419</v>
      </c>
      <c r="C108" s="199" t="s">
        <v>2418</v>
      </c>
      <c r="D108" s="200" t="s">
        <v>44</v>
      </c>
      <c r="E108" s="200" t="s">
        <v>2310</v>
      </c>
      <c r="F108" s="202" t="str">
        <f>VLOOKUP(D108,CSR!$D$4:$E$1180,2,FALSE)</f>
        <v>CSR_11416</v>
      </c>
      <c r="G108" s="203">
        <v>46185</v>
      </c>
      <c r="H108" s="204">
        <v>2</v>
      </c>
      <c r="I108" s="205">
        <f t="shared" si="2"/>
        <v>0.10526315789473684</v>
      </c>
      <c r="J108" s="206" t="s">
        <v>22</v>
      </c>
      <c r="K108" s="206"/>
      <c r="L108" s="206" t="s">
        <v>410</v>
      </c>
      <c r="M108" s="201" t="s">
        <v>2311</v>
      </c>
    </row>
    <row r="109" spans="1:13" ht="32" customHeight="1">
      <c r="A109" s="198" t="s">
        <v>2095</v>
      </c>
      <c r="B109" s="199" t="s">
        <v>31</v>
      </c>
      <c r="C109" s="199" t="s">
        <v>32</v>
      </c>
      <c r="D109" s="200" t="s">
        <v>33</v>
      </c>
      <c r="E109" s="200" t="s">
        <v>2436</v>
      </c>
      <c r="F109" s="202" t="str">
        <f>VLOOKUP(D109,CSR!$D$4:$E$1180,2,FALSE)</f>
        <v>CSR_30200</v>
      </c>
      <c r="G109" s="203">
        <v>46185</v>
      </c>
      <c r="H109" s="204">
        <v>1</v>
      </c>
      <c r="I109" s="205">
        <f t="shared" si="2"/>
        <v>5.2631578947368418E-2</v>
      </c>
      <c r="J109" s="206" t="s">
        <v>324</v>
      </c>
      <c r="K109" s="206"/>
      <c r="L109" s="206" t="s">
        <v>410</v>
      </c>
      <c r="M109" s="201" t="s">
        <v>2312</v>
      </c>
    </row>
    <row r="110" spans="1:13" ht="32" customHeight="1">
      <c r="A110" s="198" t="s">
        <v>2095</v>
      </c>
      <c r="B110" s="199" t="s">
        <v>2419</v>
      </c>
      <c r="C110" s="199" t="s">
        <v>2418</v>
      </c>
      <c r="D110" s="200" t="s">
        <v>2107</v>
      </c>
      <c r="E110" s="200" t="s">
        <v>2313</v>
      </c>
      <c r="F110" s="202" t="str">
        <f>VLOOKUP(D110,CSR!$D$4:$E$1180,2,FALSE)</f>
        <v>CSR_11319</v>
      </c>
      <c r="G110" s="203">
        <v>46185</v>
      </c>
      <c r="H110" s="204">
        <v>2</v>
      </c>
      <c r="I110" s="205">
        <f t="shared" si="2"/>
        <v>0.10526315789473684</v>
      </c>
      <c r="J110" s="206" t="s">
        <v>324</v>
      </c>
      <c r="K110" s="206"/>
      <c r="L110" s="206" t="s">
        <v>410</v>
      </c>
      <c r="M110" s="201" t="s">
        <v>2314</v>
      </c>
    </row>
    <row r="111" spans="1:13" ht="32" customHeight="1">
      <c r="A111" s="198" t="s">
        <v>2095</v>
      </c>
      <c r="B111" s="199" t="s">
        <v>2419</v>
      </c>
      <c r="C111" s="199" t="s">
        <v>2418</v>
      </c>
      <c r="D111" s="200" t="s">
        <v>2101</v>
      </c>
      <c r="E111" s="200" t="s">
        <v>2315</v>
      </c>
      <c r="F111" s="202" t="str">
        <f>VLOOKUP(D111,CSR!$D$4:$E$1180,2,FALSE)</f>
        <v>CSR_11417</v>
      </c>
      <c r="G111" s="203">
        <v>46185</v>
      </c>
      <c r="H111" s="204">
        <v>2</v>
      </c>
      <c r="I111" s="205">
        <f t="shared" si="2"/>
        <v>0.10526315789473684</v>
      </c>
      <c r="J111" s="206" t="s">
        <v>324</v>
      </c>
      <c r="K111" s="206"/>
      <c r="L111" s="206" t="s">
        <v>409</v>
      </c>
      <c r="M111" s="201" t="s">
        <v>2316</v>
      </c>
    </row>
    <row r="112" spans="1:13" ht="32" customHeight="1">
      <c r="A112" s="198" t="s">
        <v>2095</v>
      </c>
      <c r="B112" s="199" t="s">
        <v>2419</v>
      </c>
      <c r="C112" s="199" t="s">
        <v>2418</v>
      </c>
      <c r="D112" s="200" t="s">
        <v>2101</v>
      </c>
      <c r="E112" s="200" t="s">
        <v>2317</v>
      </c>
      <c r="F112" s="202" t="str">
        <f>VLOOKUP(D112,CSR!$D$4:$E$1180,2,FALSE)</f>
        <v>CSR_11417</v>
      </c>
      <c r="G112" s="203">
        <v>46185</v>
      </c>
      <c r="H112" s="204">
        <v>2</v>
      </c>
      <c r="I112" s="205">
        <f t="shared" si="2"/>
        <v>0.10526315789473684</v>
      </c>
      <c r="J112" s="206" t="s">
        <v>364</v>
      </c>
      <c r="K112" s="206"/>
      <c r="L112" s="206" t="s">
        <v>410</v>
      </c>
      <c r="M112" s="201" t="s">
        <v>2318</v>
      </c>
    </row>
    <row r="113" spans="1:13" ht="32" customHeight="1">
      <c r="A113" s="198" t="s">
        <v>2095</v>
      </c>
      <c r="B113" s="199" t="s">
        <v>2419</v>
      </c>
      <c r="C113" s="199" t="s">
        <v>2418</v>
      </c>
      <c r="D113" s="200" t="s">
        <v>18</v>
      </c>
      <c r="E113" s="200" t="s">
        <v>2319</v>
      </c>
      <c r="F113" s="202" t="str">
        <f>VLOOKUP(D113,CSR!$D$4:$E$1180,2,FALSE)</f>
        <v>CSR_11300</v>
      </c>
      <c r="G113" s="203">
        <v>46185</v>
      </c>
      <c r="H113" s="204">
        <v>2</v>
      </c>
      <c r="I113" s="205">
        <f t="shared" si="2"/>
        <v>0.10526315789473684</v>
      </c>
      <c r="J113" s="206" t="s">
        <v>364</v>
      </c>
      <c r="K113" s="206"/>
      <c r="L113" s="206" t="s">
        <v>23</v>
      </c>
      <c r="M113" s="201" t="s">
        <v>2320</v>
      </c>
    </row>
    <row r="114" spans="1:13" ht="32" customHeight="1">
      <c r="A114" s="198" t="s">
        <v>2095</v>
      </c>
      <c r="B114" s="199" t="s">
        <v>31</v>
      </c>
      <c r="C114" s="199" t="s">
        <v>336</v>
      </c>
      <c r="D114" s="200" t="s">
        <v>2110</v>
      </c>
      <c r="E114" s="200" t="s">
        <v>2321</v>
      </c>
      <c r="F114" s="202" t="str">
        <f>VLOOKUP(D114,CSR!$D$4:$E$1180,2,FALSE)</f>
        <v>CSR_30800</v>
      </c>
      <c r="G114" s="203">
        <v>46185</v>
      </c>
      <c r="H114" s="204">
        <v>1</v>
      </c>
      <c r="I114" s="205">
        <f t="shared" si="2"/>
        <v>5.2631578947368418E-2</v>
      </c>
      <c r="J114" s="206" t="s">
        <v>364</v>
      </c>
      <c r="K114" s="206"/>
      <c r="L114" s="206" t="s">
        <v>409</v>
      </c>
      <c r="M114" s="201" t="s">
        <v>2322</v>
      </c>
    </row>
    <row r="115" spans="1:13" ht="32" customHeight="1">
      <c r="A115" s="198" t="s">
        <v>2095</v>
      </c>
      <c r="B115" s="199" t="s">
        <v>2419</v>
      </c>
      <c r="C115" s="199" t="s">
        <v>2418</v>
      </c>
      <c r="D115" s="200" t="s">
        <v>18</v>
      </c>
      <c r="E115" s="200" t="s">
        <v>2323</v>
      </c>
      <c r="F115" s="202" t="str">
        <f>VLOOKUP(D115,CSR!$D$4:$E$1180,2,FALSE)</f>
        <v>CSR_11300</v>
      </c>
      <c r="G115" s="203">
        <v>46185</v>
      </c>
      <c r="H115" s="204">
        <v>3</v>
      </c>
      <c r="I115" s="205">
        <f t="shared" si="2"/>
        <v>0.15789473684210525</v>
      </c>
      <c r="J115" s="206" t="s">
        <v>83</v>
      </c>
      <c r="K115" s="206"/>
      <c r="L115" s="206" t="s">
        <v>23</v>
      </c>
      <c r="M115" s="201" t="s">
        <v>2324</v>
      </c>
    </row>
    <row r="116" spans="1:13" ht="32" customHeight="1">
      <c r="A116" s="198" t="s">
        <v>2095</v>
      </c>
      <c r="B116" s="199" t="s">
        <v>2419</v>
      </c>
      <c r="C116" s="199" t="s">
        <v>2418</v>
      </c>
      <c r="D116" s="200" t="s">
        <v>44</v>
      </c>
      <c r="E116" s="200" t="s">
        <v>2325</v>
      </c>
      <c r="F116" s="202" t="str">
        <f>VLOOKUP(D116,CSR!$D$4:$E$1180,2,FALSE)</f>
        <v>CSR_11416</v>
      </c>
      <c r="G116" s="203">
        <v>46185</v>
      </c>
      <c r="H116" s="204">
        <v>2</v>
      </c>
      <c r="I116" s="205">
        <f t="shared" si="2"/>
        <v>0.10526315789473684</v>
      </c>
      <c r="J116" s="206" t="s">
        <v>83</v>
      </c>
      <c r="K116" s="206"/>
      <c r="L116" s="206" t="s">
        <v>410</v>
      </c>
      <c r="M116" s="201" t="s">
        <v>2326</v>
      </c>
    </row>
    <row r="117" spans="1:13" ht="32" customHeight="1">
      <c r="A117" s="198" t="s">
        <v>2095</v>
      </c>
      <c r="B117" s="199" t="s">
        <v>49</v>
      </c>
      <c r="C117" s="199" t="s">
        <v>175</v>
      </c>
      <c r="D117" s="200" t="s">
        <v>187</v>
      </c>
      <c r="E117" s="200" t="s">
        <v>2327</v>
      </c>
      <c r="F117" s="202" t="str">
        <f>VLOOKUP(D117,CSR!$D$4:$E$1180,2,FALSE)</f>
        <v>CSR_40400</v>
      </c>
      <c r="G117" s="203">
        <v>46185</v>
      </c>
      <c r="H117" s="204">
        <v>2</v>
      </c>
      <c r="I117" s="205">
        <f t="shared" si="2"/>
        <v>0.10526315789473684</v>
      </c>
      <c r="J117" s="206" t="s">
        <v>90</v>
      </c>
      <c r="K117" s="206"/>
      <c r="L117" s="206" t="s">
        <v>23</v>
      </c>
      <c r="M117" s="201" t="s">
        <v>2328</v>
      </c>
    </row>
    <row r="118" spans="1:13" ht="32" customHeight="1">
      <c r="A118" s="198" t="s">
        <v>2095</v>
      </c>
      <c r="B118" s="199" t="s">
        <v>2419</v>
      </c>
      <c r="C118" s="199" t="s">
        <v>2418</v>
      </c>
      <c r="D118" s="200" t="s">
        <v>18</v>
      </c>
      <c r="E118" s="200" t="s">
        <v>2329</v>
      </c>
      <c r="F118" s="202" t="str">
        <f>VLOOKUP(D118,CSR!$D$4:$E$1180,2,FALSE)</f>
        <v>CSR_11300</v>
      </c>
      <c r="G118" s="203">
        <v>46185</v>
      </c>
      <c r="H118" s="204">
        <v>3</v>
      </c>
      <c r="I118" s="205">
        <f t="shared" si="2"/>
        <v>0.15789473684210525</v>
      </c>
      <c r="J118" s="206" t="s">
        <v>90</v>
      </c>
      <c r="K118" s="206"/>
      <c r="L118" s="206" t="s">
        <v>23</v>
      </c>
      <c r="M118" s="201" t="s">
        <v>2330</v>
      </c>
    </row>
    <row r="119" spans="1:13" ht="32" customHeight="1">
      <c r="A119" s="198" t="s">
        <v>2095</v>
      </c>
      <c r="B119" s="199" t="s">
        <v>2419</v>
      </c>
      <c r="C119" s="199" t="s">
        <v>2418</v>
      </c>
      <c r="D119" s="200" t="s">
        <v>65</v>
      </c>
      <c r="E119" s="200" t="s">
        <v>2331</v>
      </c>
      <c r="F119" s="202" t="str">
        <f>VLOOKUP(D119,CSR!$D$4:$E$1180,2,FALSE)</f>
        <v>CSR_10800</v>
      </c>
      <c r="G119" s="203">
        <v>46185</v>
      </c>
      <c r="H119" s="204">
        <v>3</v>
      </c>
      <c r="I119" s="205">
        <f t="shared" si="2"/>
        <v>0.15789473684210525</v>
      </c>
      <c r="J119" s="206" t="s">
        <v>125</v>
      </c>
      <c r="K119" s="206"/>
      <c r="L119" s="206" t="s">
        <v>23</v>
      </c>
      <c r="M119" s="201" t="s">
        <v>2332</v>
      </c>
    </row>
    <row r="120" spans="1:13" ht="32" customHeight="1">
      <c r="A120" s="198" t="s">
        <v>2095</v>
      </c>
      <c r="B120" s="199" t="s">
        <v>2419</v>
      </c>
      <c r="C120" s="199" t="s">
        <v>2418</v>
      </c>
      <c r="D120" s="200" t="s">
        <v>44</v>
      </c>
      <c r="E120" s="200" t="s">
        <v>2333</v>
      </c>
      <c r="F120" s="202" t="str">
        <f>VLOOKUP(D120,CSR!$D$4:$E$1180,2,FALSE)</f>
        <v>CSR_11416</v>
      </c>
      <c r="G120" s="203">
        <v>46185</v>
      </c>
      <c r="H120" s="204">
        <v>2</v>
      </c>
      <c r="I120" s="205">
        <f t="shared" si="2"/>
        <v>0.10526315789473684</v>
      </c>
      <c r="J120" s="206" t="s">
        <v>125</v>
      </c>
      <c r="K120" s="206"/>
      <c r="L120" s="206" t="s">
        <v>410</v>
      </c>
      <c r="M120" s="201" t="s">
        <v>2334</v>
      </c>
    </row>
    <row r="121" spans="1:13" ht="32" customHeight="1">
      <c r="A121" s="198" t="s">
        <v>2095</v>
      </c>
      <c r="B121" s="199" t="s">
        <v>49</v>
      </c>
      <c r="C121" s="199" t="s">
        <v>175</v>
      </c>
      <c r="D121" s="200" t="s">
        <v>187</v>
      </c>
      <c r="E121" s="200" t="s">
        <v>2335</v>
      </c>
      <c r="F121" s="202" t="str">
        <f>VLOOKUP(D121,CSR!$D$4:$E$1180,2,FALSE)</f>
        <v>CSR_40400</v>
      </c>
      <c r="G121" s="203">
        <v>46185</v>
      </c>
      <c r="H121" s="204">
        <v>3</v>
      </c>
      <c r="I121" s="205">
        <f t="shared" si="2"/>
        <v>0.15789473684210525</v>
      </c>
      <c r="J121" s="206" t="s">
        <v>134</v>
      </c>
      <c r="K121" s="206"/>
      <c r="L121" s="206" t="s">
        <v>23</v>
      </c>
      <c r="M121" s="201" t="s">
        <v>2336</v>
      </c>
    </row>
    <row r="122" spans="1:13" ht="32" customHeight="1">
      <c r="A122" s="198" t="s">
        <v>2095</v>
      </c>
      <c r="B122" s="199" t="s">
        <v>2419</v>
      </c>
      <c r="C122" s="199" t="s">
        <v>2418</v>
      </c>
      <c r="D122" s="200" t="s">
        <v>180</v>
      </c>
      <c r="E122" s="200" t="s">
        <v>2337</v>
      </c>
      <c r="F122" s="202" t="str">
        <f>VLOOKUP(D122,CSR!$D$4:$E$1180,2,FALSE)</f>
        <v>CSR_11317</v>
      </c>
      <c r="G122" s="203">
        <v>46185</v>
      </c>
      <c r="H122" s="204">
        <v>2</v>
      </c>
      <c r="I122" s="205">
        <f t="shared" si="2"/>
        <v>0.10526315789473684</v>
      </c>
      <c r="J122" s="206" t="s">
        <v>134</v>
      </c>
      <c r="K122" s="206"/>
      <c r="L122" s="206" t="s">
        <v>23</v>
      </c>
      <c r="M122" s="201" t="s">
        <v>2338</v>
      </c>
    </row>
    <row r="123" spans="1:13" ht="32" customHeight="1">
      <c r="A123" s="198" t="s">
        <v>2095</v>
      </c>
      <c r="B123" s="199" t="s">
        <v>2419</v>
      </c>
      <c r="C123" s="199" t="s">
        <v>2418</v>
      </c>
      <c r="D123" s="200" t="s">
        <v>18</v>
      </c>
      <c r="E123" s="200" t="s">
        <v>2339</v>
      </c>
      <c r="F123" s="202" t="str">
        <f>VLOOKUP(D123,CSR!$D$4:$E$1180,2,FALSE)</f>
        <v>CSR_11300</v>
      </c>
      <c r="G123" s="203">
        <v>46185</v>
      </c>
      <c r="H123" s="204">
        <v>3</v>
      </c>
      <c r="I123" s="205">
        <f t="shared" si="2"/>
        <v>0.15789473684210525</v>
      </c>
      <c r="J123" s="206" t="s">
        <v>395</v>
      </c>
      <c r="K123" s="206"/>
      <c r="L123" s="206" t="s">
        <v>23</v>
      </c>
      <c r="M123" s="201" t="s">
        <v>2340</v>
      </c>
    </row>
    <row r="124" spans="1:13" ht="32" customHeight="1">
      <c r="A124" s="198" t="s">
        <v>2095</v>
      </c>
      <c r="B124" s="199" t="s">
        <v>2419</v>
      </c>
      <c r="C124" s="199" t="s">
        <v>2418</v>
      </c>
      <c r="D124" s="200" t="s">
        <v>2107</v>
      </c>
      <c r="E124" s="200" t="s">
        <v>2341</v>
      </c>
      <c r="F124" s="202" t="str">
        <f>VLOOKUP(D124,CSR!$D$4:$E$1180,2,FALSE)</f>
        <v>CSR_11319</v>
      </c>
      <c r="G124" s="203">
        <v>46185</v>
      </c>
      <c r="H124" s="204">
        <v>2</v>
      </c>
      <c r="I124" s="205">
        <f t="shared" si="2"/>
        <v>0.10526315789473684</v>
      </c>
      <c r="J124" s="206" t="s">
        <v>395</v>
      </c>
      <c r="K124" s="206"/>
      <c r="L124" s="206" t="s">
        <v>409</v>
      </c>
      <c r="M124" s="201" t="s">
        <v>2342</v>
      </c>
    </row>
    <row r="125" spans="1:13" ht="32" customHeight="1">
      <c r="A125" s="198" t="s">
        <v>2095</v>
      </c>
      <c r="B125" s="199" t="s">
        <v>2419</v>
      </c>
      <c r="C125" s="199" t="s">
        <v>2418</v>
      </c>
      <c r="D125" s="200" t="s">
        <v>65</v>
      </c>
      <c r="E125" s="200" t="s">
        <v>2343</v>
      </c>
      <c r="F125" s="202" t="str">
        <f>VLOOKUP(D125,CSR!$D$4:$E$1180,2,FALSE)</f>
        <v>CSR_10800</v>
      </c>
      <c r="G125" s="203">
        <v>46192</v>
      </c>
      <c r="H125" s="204">
        <v>3</v>
      </c>
      <c r="I125" s="205">
        <f t="shared" ref="I125:I166" si="3">H125*10/190</f>
        <v>0.15789473684210525</v>
      </c>
      <c r="J125" s="206" t="s">
        <v>68</v>
      </c>
      <c r="K125" s="206"/>
      <c r="L125" s="206" t="s">
        <v>409</v>
      </c>
      <c r="M125" s="201" t="s">
        <v>2344</v>
      </c>
    </row>
    <row r="126" spans="1:13" ht="32" customHeight="1">
      <c r="A126" s="198" t="s">
        <v>2095</v>
      </c>
      <c r="B126" s="199" t="s">
        <v>31</v>
      </c>
      <c r="C126" s="199" t="s">
        <v>32</v>
      </c>
      <c r="D126" s="200" t="s">
        <v>33</v>
      </c>
      <c r="E126" s="200" t="s">
        <v>2108</v>
      </c>
      <c r="F126" s="202" t="str">
        <f>VLOOKUP(D126,CSR!$D$4:$E$1180,2,FALSE)</f>
        <v>CSR_30200</v>
      </c>
      <c r="G126" s="203">
        <v>46192</v>
      </c>
      <c r="H126" s="204">
        <v>2</v>
      </c>
      <c r="I126" s="205">
        <f t="shared" si="3"/>
        <v>0.10526315789473684</v>
      </c>
      <c r="J126" s="206" t="s">
        <v>68</v>
      </c>
      <c r="K126" s="206"/>
      <c r="L126" s="206" t="s">
        <v>409</v>
      </c>
      <c r="M126" s="201" t="s">
        <v>2345</v>
      </c>
    </row>
    <row r="127" spans="1:13" ht="32" customHeight="1">
      <c r="A127" s="198" t="s">
        <v>2095</v>
      </c>
      <c r="B127" s="199" t="s">
        <v>2419</v>
      </c>
      <c r="C127" s="199" t="s">
        <v>2418</v>
      </c>
      <c r="D127" s="200" t="s">
        <v>65</v>
      </c>
      <c r="E127" s="200" t="s">
        <v>2346</v>
      </c>
      <c r="F127" s="202" t="str">
        <f>VLOOKUP(D127,CSR!$D$4:$E$1180,2,FALSE)</f>
        <v>CSR_10800</v>
      </c>
      <c r="G127" s="203">
        <v>46192</v>
      </c>
      <c r="H127" s="204">
        <v>2</v>
      </c>
      <c r="I127" s="205">
        <f t="shared" si="3"/>
        <v>0.10526315789473684</v>
      </c>
      <c r="J127" s="206" t="s">
        <v>375</v>
      </c>
      <c r="K127" s="206"/>
      <c r="L127" s="206" t="s">
        <v>409</v>
      </c>
      <c r="M127" s="201" t="s">
        <v>2347</v>
      </c>
    </row>
    <row r="128" spans="1:13" ht="32" customHeight="1">
      <c r="A128" s="198" t="s">
        <v>2095</v>
      </c>
      <c r="B128" s="199" t="s">
        <v>2419</v>
      </c>
      <c r="C128" s="199" t="s">
        <v>2418</v>
      </c>
      <c r="D128" s="200" t="s">
        <v>2101</v>
      </c>
      <c r="E128" s="200" t="s">
        <v>2348</v>
      </c>
      <c r="F128" s="202" t="str">
        <f>VLOOKUP(D128,CSR!$D$4:$E$1180,2,FALSE)</f>
        <v>CSR_11417</v>
      </c>
      <c r="G128" s="203">
        <v>46192</v>
      </c>
      <c r="H128" s="204">
        <v>1</v>
      </c>
      <c r="I128" s="205">
        <f t="shared" si="3"/>
        <v>5.2631578947368418E-2</v>
      </c>
      <c r="J128" s="206" t="s">
        <v>375</v>
      </c>
      <c r="K128" s="206"/>
      <c r="L128" s="206" t="s">
        <v>410</v>
      </c>
      <c r="M128" s="201" t="s">
        <v>2349</v>
      </c>
    </row>
    <row r="129" spans="1:13" ht="32" customHeight="1">
      <c r="A129" s="198" t="s">
        <v>2095</v>
      </c>
      <c r="B129" s="199" t="s">
        <v>2419</v>
      </c>
      <c r="C129" s="199" t="s">
        <v>2418</v>
      </c>
      <c r="D129" s="200" t="s">
        <v>2107</v>
      </c>
      <c r="E129" s="200" t="s">
        <v>2350</v>
      </c>
      <c r="F129" s="202" t="str">
        <f>VLOOKUP(D129,CSR!$D$4:$E$1180,2,FALSE)</f>
        <v>CSR_11319</v>
      </c>
      <c r="G129" s="203">
        <v>46192</v>
      </c>
      <c r="H129" s="204">
        <v>1</v>
      </c>
      <c r="I129" s="205">
        <f t="shared" si="3"/>
        <v>5.2631578947368418E-2</v>
      </c>
      <c r="J129" s="206" t="s">
        <v>375</v>
      </c>
      <c r="K129" s="206"/>
      <c r="L129" s="206" t="s">
        <v>409</v>
      </c>
      <c r="M129" s="201" t="s">
        <v>2351</v>
      </c>
    </row>
    <row r="130" spans="1:13" ht="32" customHeight="1">
      <c r="A130" s="198" t="s">
        <v>2095</v>
      </c>
      <c r="B130" s="199" t="s">
        <v>49</v>
      </c>
      <c r="C130" s="199" t="s">
        <v>50</v>
      </c>
      <c r="D130" s="200" t="s">
        <v>2352</v>
      </c>
      <c r="E130" s="200" t="s">
        <v>2353</v>
      </c>
      <c r="F130" s="202" t="str">
        <f>VLOOKUP(D130,CSR!$D$4:$E$1180,2,FALSE)</f>
        <v>CSR_41105</v>
      </c>
      <c r="G130" s="203">
        <v>46192</v>
      </c>
      <c r="H130" s="204">
        <v>1</v>
      </c>
      <c r="I130" s="205">
        <f t="shared" si="3"/>
        <v>5.2631578947368418E-2</v>
      </c>
      <c r="J130" s="206" t="s">
        <v>375</v>
      </c>
      <c r="K130" s="206"/>
      <c r="L130" s="206" t="s">
        <v>409</v>
      </c>
      <c r="M130" s="201" t="s">
        <v>2354</v>
      </c>
    </row>
    <row r="131" spans="1:13" ht="32" customHeight="1">
      <c r="A131" s="198" t="s">
        <v>2095</v>
      </c>
      <c r="B131" s="199" t="s">
        <v>2419</v>
      </c>
      <c r="C131" s="199" t="s">
        <v>2418</v>
      </c>
      <c r="D131" s="200" t="s">
        <v>2107</v>
      </c>
      <c r="E131" s="200" t="s">
        <v>2355</v>
      </c>
      <c r="F131" s="202" t="str">
        <f>VLOOKUP(D131,CSR!$D$4:$E$1180,2,FALSE)</f>
        <v>CSR_11319</v>
      </c>
      <c r="G131" s="203">
        <v>46192</v>
      </c>
      <c r="H131" s="204">
        <v>2</v>
      </c>
      <c r="I131" s="205">
        <f t="shared" si="3"/>
        <v>0.10526315789473684</v>
      </c>
      <c r="J131" s="206" t="s">
        <v>386</v>
      </c>
      <c r="K131" s="206"/>
      <c r="L131" s="206" t="s">
        <v>23</v>
      </c>
      <c r="M131" s="201" t="s">
        <v>2356</v>
      </c>
    </row>
    <row r="132" spans="1:13" ht="32" customHeight="1">
      <c r="A132" s="198" t="s">
        <v>2095</v>
      </c>
      <c r="B132" s="199" t="s">
        <v>70</v>
      </c>
      <c r="C132" s="199" t="s">
        <v>245</v>
      </c>
      <c r="D132" s="200" t="s">
        <v>272</v>
      </c>
      <c r="E132" s="200" t="s">
        <v>2357</v>
      </c>
      <c r="F132" s="202" t="str">
        <f>VLOOKUP(D132,CSR!$D$4:$E$1180,2,FALSE)</f>
        <v>CSR_20007</v>
      </c>
      <c r="G132" s="203">
        <v>46192</v>
      </c>
      <c r="H132" s="204">
        <v>2</v>
      </c>
      <c r="I132" s="205">
        <f t="shared" si="3"/>
        <v>0.10526315789473684</v>
      </c>
      <c r="J132" s="206" t="s">
        <v>386</v>
      </c>
      <c r="K132" s="206"/>
      <c r="L132" s="206" t="s">
        <v>409</v>
      </c>
      <c r="M132" s="201" t="s">
        <v>2358</v>
      </c>
    </row>
    <row r="133" spans="1:13" ht="32" customHeight="1">
      <c r="A133" s="198" t="s">
        <v>2095</v>
      </c>
      <c r="B133" s="199" t="s">
        <v>2419</v>
      </c>
      <c r="C133" s="199" t="s">
        <v>2418</v>
      </c>
      <c r="D133" s="200" t="s">
        <v>2101</v>
      </c>
      <c r="E133" s="200" t="s">
        <v>2359</v>
      </c>
      <c r="F133" s="202" t="str">
        <f>VLOOKUP(D133,CSR!$D$4:$E$1180,2,FALSE)</f>
        <v>CSR_11417</v>
      </c>
      <c r="G133" s="203">
        <v>46192</v>
      </c>
      <c r="H133" s="204">
        <v>2</v>
      </c>
      <c r="I133" s="205">
        <f t="shared" si="3"/>
        <v>0.10526315789473684</v>
      </c>
      <c r="J133" s="206" t="s">
        <v>364</v>
      </c>
      <c r="K133" s="206"/>
      <c r="L133" s="206" t="s">
        <v>409</v>
      </c>
      <c r="M133" s="201" t="s">
        <v>2360</v>
      </c>
    </row>
    <row r="134" spans="1:13" ht="32" customHeight="1">
      <c r="A134" s="198" t="s">
        <v>2095</v>
      </c>
      <c r="B134" s="199" t="s">
        <v>2419</v>
      </c>
      <c r="C134" s="199" t="s">
        <v>2418</v>
      </c>
      <c r="D134" s="200" t="s">
        <v>2107</v>
      </c>
      <c r="E134" s="200" t="s">
        <v>2361</v>
      </c>
      <c r="F134" s="202" t="str">
        <f>VLOOKUP(D134,CSR!$D$4:$E$1180,2,FALSE)</f>
        <v>CSR_11319</v>
      </c>
      <c r="G134" s="203">
        <v>46192</v>
      </c>
      <c r="H134" s="204">
        <v>2</v>
      </c>
      <c r="I134" s="205">
        <f t="shared" si="3"/>
        <v>0.10526315789473684</v>
      </c>
      <c r="J134" s="206" t="s">
        <v>364</v>
      </c>
      <c r="K134" s="206"/>
      <c r="L134" s="206" t="s">
        <v>409</v>
      </c>
      <c r="M134" s="201" t="s">
        <v>2362</v>
      </c>
    </row>
    <row r="135" spans="1:13" ht="32" customHeight="1">
      <c r="A135" s="198" t="s">
        <v>2095</v>
      </c>
      <c r="B135" s="199" t="s">
        <v>31</v>
      </c>
      <c r="C135" s="199" t="s">
        <v>336</v>
      </c>
      <c r="D135" s="200" t="s">
        <v>2110</v>
      </c>
      <c r="E135" s="200" t="s">
        <v>2363</v>
      </c>
      <c r="F135" s="202" t="str">
        <f>VLOOKUP(D135,CSR!$D$4:$E$1180,2,FALSE)</f>
        <v>CSR_30800</v>
      </c>
      <c r="G135" s="203">
        <v>46192</v>
      </c>
      <c r="H135" s="204">
        <v>1</v>
      </c>
      <c r="I135" s="205">
        <f t="shared" si="3"/>
        <v>5.2631578947368418E-2</v>
      </c>
      <c r="J135" s="206" t="s">
        <v>364</v>
      </c>
      <c r="K135" s="206"/>
      <c r="L135" s="206" t="s">
        <v>409</v>
      </c>
      <c r="M135" s="201" t="s">
        <v>2364</v>
      </c>
    </row>
    <row r="136" spans="1:13" ht="32" customHeight="1">
      <c r="A136" s="198" t="s">
        <v>2095</v>
      </c>
      <c r="B136" s="199" t="s">
        <v>2419</v>
      </c>
      <c r="C136" s="199" t="s">
        <v>2418</v>
      </c>
      <c r="D136" s="200" t="s">
        <v>2101</v>
      </c>
      <c r="E136" s="200" t="s">
        <v>2365</v>
      </c>
      <c r="F136" s="202" t="str">
        <f>VLOOKUP(D136,CSR!$D$4:$E$1180,2,FALSE)</f>
        <v>CSR_11417</v>
      </c>
      <c r="G136" s="203">
        <v>46192</v>
      </c>
      <c r="H136" s="204">
        <v>2</v>
      </c>
      <c r="I136" s="205">
        <f t="shared" si="3"/>
        <v>0.10526315789473684</v>
      </c>
      <c r="J136" s="206" t="s">
        <v>335</v>
      </c>
      <c r="K136" s="206"/>
      <c r="L136" s="206" t="s">
        <v>410</v>
      </c>
      <c r="M136" s="201" t="s">
        <v>2366</v>
      </c>
    </row>
    <row r="137" spans="1:13" ht="32" customHeight="1">
      <c r="A137" s="198" t="s">
        <v>2095</v>
      </c>
      <c r="B137" s="199" t="s">
        <v>2419</v>
      </c>
      <c r="C137" s="199" t="s">
        <v>2418</v>
      </c>
      <c r="D137" s="200" t="s">
        <v>65</v>
      </c>
      <c r="E137" s="200" t="s">
        <v>2367</v>
      </c>
      <c r="F137" s="202" t="str">
        <f>VLOOKUP(D137,CSR!$D$4:$E$1180,2,FALSE)</f>
        <v>CSR_10800</v>
      </c>
      <c r="G137" s="203">
        <v>46192</v>
      </c>
      <c r="H137" s="204">
        <v>2</v>
      </c>
      <c r="I137" s="205">
        <f t="shared" si="3"/>
        <v>0.10526315789473684</v>
      </c>
      <c r="J137" s="206" t="s">
        <v>335</v>
      </c>
      <c r="K137" s="206"/>
      <c r="L137" s="206" t="s">
        <v>409</v>
      </c>
      <c r="M137" s="201" t="s">
        <v>2299</v>
      </c>
    </row>
    <row r="138" spans="1:13" ht="32" customHeight="1">
      <c r="A138" s="198" t="s">
        <v>2095</v>
      </c>
      <c r="B138" s="199" t="s">
        <v>31</v>
      </c>
      <c r="C138" s="199" t="s">
        <v>336</v>
      </c>
      <c r="D138" s="200" t="s">
        <v>357</v>
      </c>
      <c r="E138" s="200" t="s">
        <v>2368</v>
      </c>
      <c r="F138" s="202" t="str">
        <f>VLOOKUP(D138,CSR!$D$4:$E$1180,2,FALSE)</f>
        <v>CSR_30700</v>
      </c>
      <c r="G138" s="203">
        <v>46192</v>
      </c>
      <c r="H138" s="204">
        <v>1</v>
      </c>
      <c r="I138" s="205">
        <f t="shared" si="3"/>
        <v>5.2631578947368418E-2</v>
      </c>
      <c r="J138" s="206" t="s">
        <v>335</v>
      </c>
      <c r="K138" s="206"/>
      <c r="L138" s="206" t="s">
        <v>409</v>
      </c>
      <c r="M138" s="201" t="s">
        <v>2369</v>
      </c>
    </row>
    <row r="139" spans="1:13" ht="32" customHeight="1">
      <c r="A139" s="198" t="s">
        <v>2095</v>
      </c>
      <c r="B139" s="199" t="s">
        <v>2419</v>
      </c>
      <c r="C139" s="199" t="s">
        <v>2418</v>
      </c>
      <c r="D139" s="200" t="s">
        <v>18</v>
      </c>
      <c r="E139" s="200" t="s">
        <v>2370</v>
      </c>
      <c r="F139" s="202" t="str">
        <f>VLOOKUP(D139,CSR!$D$4:$E$1180,2,FALSE)</f>
        <v>CSR_11300</v>
      </c>
      <c r="G139" s="203">
        <v>46192</v>
      </c>
      <c r="H139" s="204">
        <v>1</v>
      </c>
      <c r="I139" s="205">
        <f t="shared" si="3"/>
        <v>5.2631578947368418E-2</v>
      </c>
      <c r="J139" s="206" t="s">
        <v>54</v>
      </c>
      <c r="K139" s="206"/>
      <c r="L139" s="206" t="s">
        <v>23</v>
      </c>
      <c r="M139" s="201" t="s">
        <v>2371</v>
      </c>
    </row>
    <row r="140" spans="1:13" ht="32" customHeight="1">
      <c r="A140" s="198" t="s">
        <v>2095</v>
      </c>
      <c r="B140" s="199" t="s">
        <v>49</v>
      </c>
      <c r="C140" s="199" t="s">
        <v>50</v>
      </c>
      <c r="D140" s="200" t="s">
        <v>51</v>
      </c>
      <c r="E140" s="200" t="s">
        <v>2372</v>
      </c>
      <c r="F140" s="202" t="str">
        <f>VLOOKUP(D140,CSR!$D$4:$E$1180,2,FALSE)</f>
        <v>CSR_41103</v>
      </c>
      <c r="G140" s="203">
        <v>46192</v>
      </c>
      <c r="H140" s="204">
        <v>2</v>
      </c>
      <c r="I140" s="205">
        <f t="shared" si="3"/>
        <v>0.10526315789473684</v>
      </c>
      <c r="J140" s="206" t="s">
        <v>54</v>
      </c>
      <c r="K140" s="206"/>
      <c r="L140" s="206" t="s">
        <v>23</v>
      </c>
      <c r="M140" s="201" t="s">
        <v>2373</v>
      </c>
    </row>
    <row r="141" spans="1:13" ht="32" customHeight="1">
      <c r="A141" s="198" t="s">
        <v>2095</v>
      </c>
      <c r="B141" s="199" t="s">
        <v>2419</v>
      </c>
      <c r="C141" s="199" t="s">
        <v>2418</v>
      </c>
      <c r="D141" s="200" t="s">
        <v>44</v>
      </c>
      <c r="E141" s="200" t="s">
        <v>2374</v>
      </c>
      <c r="F141" s="202" t="str">
        <f>VLOOKUP(D141,CSR!$D$4:$E$1180,2,FALSE)</f>
        <v>CSR_11416</v>
      </c>
      <c r="G141" s="203">
        <v>46192</v>
      </c>
      <c r="H141" s="204">
        <v>1</v>
      </c>
      <c r="I141" s="205">
        <f t="shared" si="3"/>
        <v>5.2631578947368418E-2</v>
      </c>
      <c r="J141" s="206" t="s">
        <v>54</v>
      </c>
      <c r="K141" s="206"/>
      <c r="L141" s="206" t="s">
        <v>410</v>
      </c>
      <c r="M141" s="201" t="s">
        <v>2375</v>
      </c>
    </row>
    <row r="142" spans="1:13" ht="32" customHeight="1">
      <c r="A142" s="198" t="s">
        <v>2095</v>
      </c>
      <c r="B142" s="199" t="s">
        <v>2419</v>
      </c>
      <c r="C142" s="199" t="s">
        <v>2418</v>
      </c>
      <c r="D142" s="200" t="s">
        <v>18</v>
      </c>
      <c r="E142" s="200" t="s">
        <v>2376</v>
      </c>
      <c r="F142" s="202" t="str">
        <f>VLOOKUP(D142,CSR!$D$4:$E$1180,2,FALSE)</f>
        <v>CSR_11300</v>
      </c>
      <c r="G142" s="203">
        <v>46192</v>
      </c>
      <c r="H142" s="204">
        <v>1</v>
      </c>
      <c r="I142" s="205">
        <f t="shared" si="3"/>
        <v>5.2631578947368418E-2</v>
      </c>
      <c r="J142" s="206" t="s">
        <v>54</v>
      </c>
      <c r="K142" s="206"/>
      <c r="L142" s="206" t="s">
        <v>23</v>
      </c>
      <c r="M142" s="201" t="s">
        <v>2377</v>
      </c>
    </row>
    <row r="143" spans="1:13" ht="32" customHeight="1">
      <c r="A143" s="198" t="s">
        <v>2095</v>
      </c>
      <c r="B143" s="199" t="s">
        <v>2419</v>
      </c>
      <c r="C143" s="199" t="s">
        <v>2418</v>
      </c>
      <c r="D143" s="200" t="s">
        <v>2109</v>
      </c>
      <c r="E143" s="200" t="s">
        <v>2437</v>
      </c>
      <c r="F143" s="202" t="str">
        <f>VLOOKUP(D143,CSR!$D$4:$E$1180,2,FALSE)</f>
        <v>CSR_11318</v>
      </c>
      <c r="G143" s="203">
        <v>46192</v>
      </c>
      <c r="H143" s="204">
        <v>1</v>
      </c>
      <c r="I143" s="205">
        <f t="shared" si="3"/>
        <v>5.2631578947368418E-2</v>
      </c>
      <c r="J143" s="206" t="s">
        <v>22</v>
      </c>
      <c r="K143" s="206"/>
      <c r="L143" s="206" t="s">
        <v>409</v>
      </c>
      <c r="M143" s="201" t="s">
        <v>2378</v>
      </c>
    </row>
    <row r="144" spans="1:13" ht="32" customHeight="1">
      <c r="A144" s="198" t="s">
        <v>2095</v>
      </c>
      <c r="B144" s="199" t="s">
        <v>2419</v>
      </c>
      <c r="C144" s="199" t="s">
        <v>2418</v>
      </c>
      <c r="D144" s="200" t="s">
        <v>18</v>
      </c>
      <c r="E144" s="200" t="s">
        <v>2379</v>
      </c>
      <c r="F144" s="202" t="str">
        <f>VLOOKUP(D144,CSR!$D$4:$E$1180,2,FALSE)</f>
        <v>CSR_11300</v>
      </c>
      <c r="G144" s="203">
        <v>46192</v>
      </c>
      <c r="H144" s="204">
        <v>2</v>
      </c>
      <c r="I144" s="205">
        <f t="shared" si="3"/>
        <v>0.10526315789473684</v>
      </c>
      <c r="J144" s="206" t="s">
        <v>22</v>
      </c>
      <c r="K144" s="206"/>
      <c r="L144" s="206" t="s">
        <v>409</v>
      </c>
      <c r="M144" s="201" t="s">
        <v>2380</v>
      </c>
    </row>
    <row r="145" spans="1:13" ht="32" customHeight="1">
      <c r="A145" s="198" t="s">
        <v>2095</v>
      </c>
      <c r="B145" s="199" t="s">
        <v>2419</v>
      </c>
      <c r="C145" s="199" t="s">
        <v>2418</v>
      </c>
      <c r="D145" s="200" t="s">
        <v>44</v>
      </c>
      <c r="E145" s="200" t="s">
        <v>2381</v>
      </c>
      <c r="F145" s="202" t="str">
        <f>VLOOKUP(D145,CSR!$D$4:$E$1180,2,FALSE)</f>
        <v>CSR_11416</v>
      </c>
      <c r="G145" s="203">
        <v>46192</v>
      </c>
      <c r="H145" s="204">
        <v>2</v>
      </c>
      <c r="I145" s="205">
        <f t="shared" si="3"/>
        <v>0.10526315789473684</v>
      </c>
      <c r="J145" s="206" t="s">
        <v>22</v>
      </c>
      <c r="K145" s="206"/>
      <c r="L145" s="206" t="s">
        <v>410</v>
      </c>
      <c r="M145" s="201" t="s">
        <v>2382</v>
      </c>
    </row>
    <row r="146" spans="1:13" ht="32" customHeight="1">
      <c r="A146" s="198" t="s">
        <v>2095</v>
      </c>
      <c r="B146" s="199" t="s">
        <v>2419</v>
      </c>
      <c r="C146" s="199" t="s">
        <v>2418</v>
      </c>
      <c r="D146" s="200" t="s">
        <v>276</v>
      </c>
      <c r="E146" s="200" t="s">
        <v>2383</v>
      </c>
      <c r="F146" s="202" t="str">
        <f>VLOOKUP(D146,CSR!$D$4:$E$1180,2,FALSE)</f>
        <v>CSR_10200</v>
      </c>
      <c r="G146" s="203">
        <v>46192</v>
      </c>
      <c r="H146" s="204">
        <v>1</v>
      </c>
      <c r="I146" s="205">
        <f t="shared" si="3"/>
        <v>5.2631578947368418E-2</v>
      </c>
      <c r="J146" s="206" t="s">
        <v>114</v>
      </c>
      <c r="K146" s="206"/>
      <c r="L146" s="206" t="s">
        <v>409</v>
      </c>
      <c r="M146" s="201" t="s">
        <v>2384</v>
      </c>
    </row>
    <row r="147" spans="1:13" ht="32" customHeight="1">
      <c r="A147" s="198" t="s">
        <v>2095</v>
      </c>
      <c r="B147" s="199" t="s">
        <v>31</v>
      </c>
      <c r="C147" s="199" t="s">
        <v>32</v>
      </c>
      <c r="D147" s="200" t="s">
        <v>33</v>
      </c>
      <c r="E147" s="200" t="s">
        <v>2385</v>
      </c>
      <c r="F147" s="202" t="str">
        <f>VLOOKUP(D147,CSR!$D$4:$E$1180,2,FALSE)</f>
        <v>CSR_30200</v>
      </c>
      <c r="G147" s="203">
        <v>46192</v>
      </c>
      <c r="H147" s="204">
        <v>2</v>
      </c>
      <c r="I147" s="205">
        <f t="shared" si="3"/>
        <v>0.10526315789473684</v>
      </c>
      <c r="J147" s="206" t="s">
        <v>114</v>
      </c>
      <c r="K147" s="206"/>
      <c r="L147" s="206" t="s">
        <v>409</v>
      </c>
      <c r="M147" s="201" t="s">
        <v>2386</v>
      </c>
    </row>
    <row r="148" spans="1:13" ht="32" customHeight="1">
      <c r="A148" s="198" t="s">
        <v>2095</v>
      </c>
      <c r="B148" s="199" t="s">
        <v>2419</v>
      </c>
      <c r="C148" s="199" t="s">
        <v>2418</v>
      </c>
      <c r="D148" s="200" t="s">
        <v>44</v>
      </c>
      <c r="E148" s="200" t="s">
        <v>2387</v>
      </c>
      <c r="F148" s="202" t="str">
        <f>VLOOKUP(D148,CSR!$D$4:$E$1180,2,FALSE)</f>
        <v>CSR_11416</v>
      </c>
      <c r="G148" s="203">
        <v>46192</v>
      </c>
      <c r="H148" s="204">
        <v>2</v>
      </c>
      <c r="I148" s="205">
        <f t="shared" si="3"/>
        <v>0.10526315789473684</v>
      </c>
      <c r="J148" s="206" t="s">
        <v>114</v>
      </c>
      <c r="K148" s="206"/>
      <c r="L148" s="206" t="s">
        <v>409</v>
      </c>
      <c r="M148" s="201" t="s">
        <v>2388</v>
      </c>
    </row>
    <row r="149" spans="1:13" ht="32" customHeight="1">
      <c r="A149" s="198" t="s">
        <v>2095</v>
      </c>
      <c r="B149" s="199" t="s">
        <v>31</v>
      </c>
      <c r="C149" s="199" t="s">
        <v>32</v>
      </c>
      <c r="D149" s="200" t="s">
        <v>33</v>
      </c>
      <c r="E149" s="200" t="s">
        <v>2423</v>
      </c>
      <c r="F149" s="202" t="str">
        <f>VLOOKUP(D149,CSR!$D$4:$E$1180,2,FALSE)</f>
        <v>CSR_30200</v>
      </c>
      <c r="G149" s="203">
        <v>46192</v>
      </c>
      <c r="H149" s="204">
        <v>2</v>
      </c>
      <c r="I149" s="205">
        <f t="shared" si="3"/>
        <v>0.10526315789473684</v>
      </c>
      <c r="J149" s="206" t="s">
        <v>324</v>
      </c>
      <c r="K149" s="206"/>
      <c r="L149" s="206" t="s">
        <v>410</v>
      </c>
      <c r="M149" s="201" t="s">
        <v>2389</v>
      </c>
    </row>
    <row r="150" spans="1:13" ht="32" customHeight="1">
      <c r="A150" s="198" t="s">
        <v>2095</v>
      </c>
      <c r="B150" s="199" t="s">
        <v>2419</v>
      </c>
      <c r="C150" s="199" t="s">
        <v>2418</v>
      </c>
      <c r="D150" s="200" t="s">
        <v>2107</v>
      </c>
      <c r="E150" s="200" t="s">
        <v>2390</v>
      </c>
      <c r="F150" s="202" t="str">
        <f>VLOOKUP(D150,CSR!$D$4:$E$1180,2,FALSE)</f>
        <v>CSR_11319</v>
      </c>
      <c r="G150" s="203">
        <v>46192</v>
      </c>
      <c r="H150" s="204">
        <v>2</v>
      </c>
      <c r="I150" s="205">
        <f t="shared" si="3"/>
        <v>0.10526315789473684</v>
      </c>
      <c r="J150" s="206" t="s">
        <v>324</v>
      </c>
      <c r="K150" s="206"/>
      <c r="L150" s="206" t="s">
        <v>410</v>
      </c>
      <c r="M150" s="201" t="s">
        <v>2391</v>
      </c>
    </row>
    <row r="151" spans="1:13" ht="32" customHeight="1">
      <c r="A151" s="198" t="s">
        <v>2095</v>
      </c>
      <c r="B151" s="199" t="s">
        <v>2419</v>
      </c>
      <c r="C151" s="199" t="s">
        <v>2418</v>
      </c>
      <c r="D151" s="200" t="s">
        <v>2101</v>
      </c>
      <c r="E151" s="200" t="s">
        <v>2392</v>
      </c>
      <c r="F151" s="202" t="str">
        <f>VLOOKUP(D151,CSR!$D$4:$E$1180,2,FALSE)</f>
        <v>CSR_11417</v>
      </c>
      <c r="G151" s="203">
        <v>46192</v>
      </c>
      <c r="H151" s="204">
        <v>1</v>
      </c>
      <c r="I151" s="205">
        <f t="shared" si="3"/>
        <v>5.2631578947368418E-2</v>
      </c>
      <c r="J151" s="206" t="s">
        <v>324</v>
      </c>
      <c r="K151" s="206"/>
      <c r="L151" s="206" t="s">
        <v>409</v>
      </c>
      <c r="M151" s="201" t="s">
        <v>2393</v>
      </c>
    </row>
    <row r="152" spans="1:13" ht="32" customHeight="1">
      <c r="A152" s="198" t="s">
        <v>2095</v>
      </c>
      <c r="B152" s="199" t="s">
        <v>31</v>
      </c>
      <c r="C152" s="199" t="s">
        <v>336</v>
      </c>
      <c r="D152" s="200" t="s">
        <v>357</v>
      </c>
      <c r="E152" s="200" t="s">
        <v>2394</v>
      </c>
      <c r="F152" s="202" t="str">
        <f>VLOOKUP(D152,CSR!$D$4:$E$1180,2,FALSE)</f>
        <v>CSR_30700</v>
      </c>
      <c r="G152" s="203">
        <v>46192</v>
      </c>
      <c r="H152" s="204">
        <v>2</v>
      </c>
      <c r="I152" s="205">
        <f t="shared" si="3"/>
        <v>0.10526315789473684</v>
      </c>
      <c r="J152" s="206" t="s">
        <v>351</v>
      </c>
      <c r="K152" s="206"/>
      <c r="L152" s="206" t="s">
        <v>409</v>
      </c>
      <c r="M152" s="201" t="s">
        <v>2395</v>
      </c>
    </row>
    <row r="153" spans="1:13" ht="32" customHeight="1">
      <c r="A153" s="198" t="s">
        <v>2095</v>
      </c>
      <c r="B153" s="199" t="s">
        <v>31</v>
      </c>
      <c r="C153" s="199" t="s">
        <v>32</v>
      </c>
      <c r="D153" s="200" t="s">
        <v>33</v>
      </c>
      <c r="E153" s="200" t="s">
        <v>2438</v>
      </c>
      <c r="F153" s="202" t="str">
        <f>VLOOKUP(D153,CSR!$D$4:$E$1180,2,FALSE)</f>
        <v>CSR_30200</v>
      </c>
      <c r="G153" s="203">
        <v>46192</v>
      </c>
      <c r="H153" s="204">
        <v>2</v>
      </c>
      <c r="I153" s="205">
        <f t="shared" si="3"/>
        <v>0.10526315789473684</v>
      </c>
      <c r="J153" s="206" t="s">
        <v>351</v>
      </c>
      <c r="K153" s="206"/>
      <c r="L153" s="206" t="s">
        <v>410</v>
      </c>
      <c r="M153" s="201" t="s">
        <v>2396</v>
      </c>
    </row>
    <row r="154" spans="1:13" ht="32" customHeight="1">
      <c r="A154" s="198" t="s">
        <v>2095</v>
      </c>
      <c r="B154" s="199" t="s">
        <v>2419</v>
      </c>
      <c r="C154" s="199" t="s">
        <v>2418</v>
      </c>
      <c r="D154" s="200" t="s">
        <v>18</v>
      </c>
      <c r="E154" s="200" t="s">
        <v>2397</v>
      </c>
      <c r="F154" s="202" t="str">
        <f>VLOOKUP(D154,CSR!$D$4:$E$1180,2,FALSE)</f>
        <v>CSR_11300</v>
      </c>
      <c r="G154" s="203">
        <v>46192</v>
      </c>
      <c r="H154" s="204">
        <v>3</v>
      </c>
      <c r="I154" s="205">
        <f t="shared" si="3"/>
        <v>0.15789473684210525</v>
      </c>
      <c r="J154" s="206" t="s">
        <v>83</v>
      </c>
      <c r="K154" s="206"/>
      <c r="L154" s="206" t="s">
        <v>23</v>
      </c>
      <c r="M154" s="201" t="s">
        <v>2398</v>
      </c>
    </row>
    <row r="155" spans="1:13" ht="32" customHeight="1">
      <c r="A155" s="198" t="s">
        <v>2095</v>
      </c>
      <c r="B155" s="199" t="s">
        <v>2419</v>
      </c>
      <c r="C155" s="199" t="s">
        <v>2418</v>
      </c>
      <c r="D155" s="200" t="s">
        <v>44</v>
      </c>
      <c r="E155" s="200" t="s">
        <v>2399</v>
      </c>
      <c r="F155" s="202" t="str">
        <f>VLOOKUP(D155,CSR!$D$4:$E$1180,2,FALSE)</f>
        <v>CSR_11416</v>
      </c>
      <c r="G155" s="203">
        <v>46192</v>
      </c>
      <c r="H155" s="204">
        <v>2</v>
      </c>
      <c r="I155" s="205">
        <f t="shared" si="3"/>
        <v>0.10526315789473684</v>
      </c>
      <c r="J155" s="206" t="s">
        <v>83</v>
      </c>
      <c r="K155" s="206"/>
      <c r="L155" s="206" t="s">
        <v>410</v>
      </c>
      <c r="M155" s="201" t="s">
        <v>2400</v>
      </c>
    </row>
    <row r="156" spans="1:13" ht="32" customHeight="1">
      <c r="A156" s="198" t="s">
        <v>2095</v>
      </c>
      <c r="B156" s="199" t="s">
        <v>49</v>
      </c>
      <c r="C156" s="199" t="s">
        <v>50</v>
      </c>
      <c r="D156" s="200" t="s">
        <v>51</v>
      </c>
      <c r="E156" s="200" t="s">
        <v>2401</v>
      </c>
      <c r="F156" s="202" t="str">
        <f>VLOOKUP(D156,CSR!$D$4:$E$1180,2,FALSE)</f>
        <v>CSR_41103</v>
      </c>
      <c r="G156" s="203">
        <v>46192</v>
      </c>
      <c r="H156" s="204">
        <v>2</v>
      </c>
      <c r="I156" s="205">
        <f t="shared" si="3"/>
        <v>0.10526315789473684</v>
      </c>
      <c r="J156" s="206" t="s">
        <v>90</v>
      </c>
      <c r="K156" s="206"/>
      <c r="L156" s="206" t="s">
        <v>23</v>
      </c>
      <c r="M156" s="201" t="s">
        <v>2402</v>
      </c>
    </row>
    <row r="157" spans="1:13" ht="32" customHeight="1">
      <c r="A157" s="198" t="s">
        <v>2095</v>
      </c>
      <c r="B157" s="199" t="s">
        <v>2419</v>
      </c>
      <c r="C157" s="199" t="s">
        <v>2418</v>
      </c>
      <c r="D157" s="200" t="s">
        <v>18</v>
      </c>
      <c r="E157" s="200" t="s">
        <v>2403</v>
      </c>
      <c r="F157" s="202" t="str">
        <f>VLOOKUP(D157,CSR!$D$4:$E$1180,2,FALSE)</f>
        <v>CSR_11300</v>
      </c>
      <c r="G157" s="203">
        <v>46192</v>
      </c>
      <c r="H157" s="204">
        <v>3</v>
      </c>
      <c r="I157" s="205">
        <f t="shared" si="3"/>
        <v>0.15789473684210525</v>
      </c>
      <c r="J157" s="206" t="s">
        <v>90</v>
      </c>
      <c r="K157" s="206"/>
      <c r="L157" s="206" t="s">
        <v>23</v>
      </c>
      <c r="M157" s="201" t="s">
        <v>2404</v>
      </c>
    </row>
    <row r="158" spans="1:13" ht="32" customHeight="1">
      <c r="A158" s="198" t="s">
        <v>2095</v>
      </c>
      <c r="B158" s="199" t="s">
        <v>2419</v>
      </c>
      <c r="C158" s="199" t="s">
        <v>2418</v>
      </c>
      <c r="D158" s="200" t="s">
        <v>276</v>
      </c>
      <c r="E158" s="200" t="s">
        <v>2405</v>
      </c>
      <c r="F158" s="202" t="str">
        <f>VLOOKUP(D158,CSR!$D$4:$E$1180,2,FALSE)</f>
        <v>CSR_10200</v>
      </c>
      <c r="G158" s="203">
        <v>46192</v>
      </c>
      <c r="H158" s="204">
        <v>3</v>
      </c>
      <c r="I158" s="205">
        <f t="shared" si="3"/>
        <v>0.15789473684210525</v>
      </c>
      <c r="J158" s="206" t="s">
        <v>125</v>
      </c>
      <c r="K158" s="206"/>
      <c r="L158" s="206" t="s">
        <v>409</v>
      </c>
      <c r="M158" s="201" t="s">
        <v>2406</v>
      </c>
    </row>
    <row r="159" spans="1:13" ht="32" customHeight="1">
      <c r="A159" s="198" t="s">
        <v>2095</v>
      </c>
      <c r="B159" s="199" t="s">
        <v>2419</v>
      </c>
      <c r="C159" s="199" t="s">
        <v>2418</v>
      </c>
      <c r="D159" s="200" t="s">
        <v>44</v>
      </c>
      <c r="E159" s="200" t="s">
        <v>2407</v>
      </c>
      <c r="F159" s="202" t="str">
        <f>VLOOKUP(D159,CSR!$D$4:$E$1180,2,FALSE)</f>
        <v>CSR_11416</v>
      </c>
      <c r="G159" s="203">
        <v>46192</v>
      </c>
      <c r="H159" s="204">
        <v>2</v>
      </c>
      <c r="I159" s="205">
        <f t="shared" si="3"/>
        <v>0.10526315789473684</v>
      </c>
      <c r="J159" s="206" t="s">
        <v>125</v>
      </c>
      <c r="K159" s="206"/>
      <c r="L159" s="206" t="s">
        <v>409</v>
      </c>
      <c r="M159" s="201" t="s">
        <v>2408</v>
      </c>
    </row>
    <row r="160" spans="1:13" ht="32" customHeight="1">
      <c r="A160" s="198" t="s">
        <v>2095</v>
      </c>
      <c r="B160" s="199" t="s">
        <v>2419</v>
      </c>
      <c r="C160" s="199" t="s">
        <v>2418</v>
      </c>
      <c r="D160" s="200" t="s">
        <v>18</v>
      </c>
      <c r="E160" s="200" t="s">
        <v>2409</v>
      </c>
      <c r="F160" s="202" t="str">
        <f>VLOOKUP(D160,CSR!$D$4:$E$1180,2,FALSE)</f>
        <v>CSR_11300</v>
      </c>
      <c r="G160" s="203">
        <v>46192</v>
      </c>
      <c r="H160" s="204">
        <v>3</v>
      </c>
      <c r="I160" s="205">
        <f t="shared" si="3"/>
        <v>0.15789473684210525</v>
      </c>
      <c r="J160" s="206" t="s">
        <v>134</v>
      </c>
      <c r="K160" s="206"/>
      <c r="L160" s="206" t="s">
        <v>23</v>
      </c>
      <c r="M160" s="201" t="s">
        <v>2410</v>
      </c>
    </row>
    <row r="161" spans="1:13" ht="32" customHeight="1">
      <c r="A161" s="198" t="s">
        <v>2095</v>
      </c>
      <c r="B161" s="199" t="s">
        <v>2419</v>
      </c>
      <c r="C161" s="199" t="s">
        <v>2418</v>
      </c>
      <c r="D161" s="200" t="s">
        <v>18</v>
      </c>
      <c r="E161" s="200" t="s">
        <v>2411</v>
      </c>
      <c r="F161" s="202" t="str">
        <f>VLOOKUP(D161,CSR!$D$4:$E$1180,2,FALSE)</f>
        <v>CSR_11300</v>
      </c>
      <c r="G161" s="203">
        <v>46192</v>
      </c>
      <c r="H161" s="204">
        <v>2</v>
      </c>
      <c r="I161" s="205">
        <f t="shared" si="3"/>
        <v>0.10526315789473684</v>
      </c>
      <c r="J161" s="206" t="s">
        <v>134</v>
      </c>
      <c r="K161" s="206"/>
      <c r="L161" s="206" t="s">
        <v>409</v>
      </c>
      <c r="M161" s="201" t="s">
        <v>2412</v>
      </c>
    </row>
    <row r="162" spans="1:13" ht="32" customHeight="1">
      <c r="A162" s="198" t="s">
        <v>2095</v>
      </c>
      <c r="B162" s="199" t="s">
        <v>2419</v>
      </c>
      <c r="C162" s="199" t="s">
        <v>2418</v>
      </c>
      <c r="D162" s="200" t="s">
        <v>2107</v>
      </c>
      <c r="E162" s="200" t="s">
        <v>2413</v>
      </c>
      <c r="F162" s="202" t="str">
        <f>VLOOKUP(D162,CSR!$D$4:$E$1180,2,FALSE)</f>
        <v>CSR_11319</v>
      </c>
      <c r="G162" s="203">
        <v>46192</v>
      </c>
      <c r="H162" s="204">
        <v>3</v>
      </c>
      <c r="I162" s="205">
        <f t="shared" si="3"/>
        <v>0.15789473684210525</v>
      </c>
      <c r="J162" s="206" t="s">
        <v>395</v>
      </c>
      <c r="K162" s="206"/>
      <c r="L162" s="206" t="s">
        <v>409</v>
      </c>
      <c r="M162" s="201" t="s">
        <v>2414</v>
      </c>
    </row>
    <row r="163" spans="1:13" ht="32" customHeight="1">
      <c r="A163" s="198" t="s">
        <v>2095</v>
      </c>
      <c r="B163" s="199" t="s">
        <v>2419</v>
      </c>
      <c r="C163" s="199" t="s">
        <v>2418</v>
      </c>
      <c r="D163" s="200" t="s">
        <v>18</v>
      </c>
      <c r="E163" s="200" t="s">
        <v>2415</v>
      </c>
      <c r="F163" s="202" t="str">
        <f>VLOOKUP(D163,CSR!$D$4:$E$1180,2,FALSE)</f>
        <v>CSR_11300</v>
      </c>
      <c r="G163" s="203">
        <v>46192</v>
      </c>
      <c r="H163" s="204">
        <v>2</v>
      </c>
      <c r="I163" s="205">
        <f t="shared" si="3"/>
        <v>0.10526315789473684</v>
      </c>
      <c r="J163" s="206" t="s">
        <v>395</v>
      </c>
      <c r="K163" s="206"/>
      <c r="L163" s="206" t="s">
        <v>23</v>
      </c>
      <c r="M163" s="201" t="s">
        <v>2416</v>
      </c>
    </row>
    <row r="164" spans="1:13" ht="32" customHeight="1">
      <c r="A164" s="198" t="s">
        <v>2095</v>
      </c>
      <c r="B164" s="199" t="s">
        <v>2419</v>
      </c>
      <c r="C164" s="199" t="s">
        <v>2418</v>
      </c>
      <c r="D164" s="200" t="s">
        <v>44</v>
      </c>
      <c r="E164" s="200" t="s">
        <v>2424</v>
      </c>
      <c r="F164" s="202" t="str">
        <f>VLOOKUP(D164,CSR!$D$4:$E$1180,2,FALSE)</f>
        <v>CSR_11416</v>
      </c>
      <c r="G164" s="203">
        <v>46192</v>
      </c>
      <c r="H164" s="204">
        <v>2</v>
      </c>
      <c r="I164" s="205">
        <f t="shared" si="3"/>
        <v>0.10526315789473684</v>
      </c>
      <c r="J164" s="206" t="s">
        <v>104</v>
      </c>
      <c r="K164" s="206"/>
      <c r="L164" s="206" t="s">
        <v>409</v>
      </c>
      <c r="M164" s="201" t="s">
        <v>2425</v>
      </c>
    </row>
    <row r="165" spans="1:13" ht="32" customHeight="1">
      <c r="A165" s="198" t="s">
        <v>2095</v>
      </c>
      <c r="B165" s="199" t="s">
        <v>2419</v>
      </c>
      <c r="C165" s="199" t="s">
        <v>2418</v>
      </c>
      <c r="D165" s="200" t="s">
        <v>65</v>
      </c>
      <c r="E165" s="200" t="s">
        <v>2426</v>
      </c>
      <c r="F165" s="202" t="str">
        <f>VLOOKUP(D165,CSR!$D$4:$E$1180,2,FALSE)</f>
        <v>CSR_10800</v>
      </c>
      <c r="G165" s="203">
        <v>46192</v>
      </c>
      <c r="H165" s="204">
        <v>1</v>
      </c>
      <c r="I165" s="205">
        <f t="shared" si="3"/>
        <v>5.2631578947368418E-2</v>
      </c>
      <c r="J165" s="206" t="s">
        <v>104</v>
      </c>
      <c r="K165" s="206"/>
      <c r="L165" s="206" t="s">
        <v>409</v>
      </c>
      <c r="M165" s="201" t="s">
        <v>2427</v>
      </c>
    </row>
    <row r="166" spans="1:13" ht="32" customHeight="1">
      <c r="A166" s="198" t="s">
        <v>2095</v>
      </c>
      <c r="B166" s="199" t="s">
        <v>2419</v>
      </c>
      <c r="C166" s="199" t="s">
        <v>2418</v>
      </c>
      <c r="D166" s="200" t="s">
        <v>18</v>
      </c>
      <c r="E166" s="200" t="s">
        <v>2428</v>
      </c>
      <c r="F166" s="202" t="str">
        <f>VLOOKUP(D166,CSR!$D$4:$E$1180,2,FALSE)</f>
        <v>CSR_11300</v>
      </c>
      <c r="G166" s="203">
        <v>46192</v>
      </c>
      <c r="H166" s="204">
        <v>2</v>
      </c>
      <c r="I166" s="205">
        <f t="shared" si="3"/>
        <v>0.10526315789473684</v>
      </c>
      <c r="J166" s="206" t="s">
        <v>104</v>
      </c>
      <c r="K166" s="206"/>
      <c r="L166" s="206" t="s">
        <v>23</v>
      </c>
      <c r="M166" s="201" t="s">
        <v>2429</v>
      </c>
    </row>
    <row r="167" spans="1:13" ht="32" customHeight="1">
      <c r="A167" s="198"/>
      <c r="B167" s="199"/>
      <c r="C167" s="199"/>
      <c r="D167" s="200"/>
      <c r="E167" s="200"/>
      <c r="F167" s="202"/>
      <c r="G167" s="203"/>
      <c r="H167" s="204"/>
      <c r="I167" s="205"/>
      <c r="J167" s="206"/>
      <c r="K167" s="206"/>
      <c r="L167" s="206"/>
      <c r="M167" s="201"/>
    </row>
    <row r="168" spans="1:13" s="298" customFormat="1" ht="48">
      <c r="A168" s="288" t="s">
        <v>2095</v>
      </c>
      <c r="B168" s="299" t="s">
        <v>16</v>
      </c>
      <c r="C168" s="299" t="s">
        <v>17</v>
      </c>
      <c r="D168" s="290" t="s">
        <v>2092</v>
      </c>
      <c r="E168" s="302" t="s">
        <v>2449</v>
      </c>
      <c r="F168" s="292" t="str">
        <f>VLOOKUP(D168,CSR!$D$4:$E$1180,2,FALSE)</f>
        <v>CSR_11318</v>
      </c>
      <c r="G168" s="293">
        <v>46192</v>
      </c>
      <c r="H168" s="294">
        <v>3</v>
      </c>
      <c r="I168" s="295">
        <f t="shared" ref="I168" si="4">H168*10/190</f>
        <v>0.15789473684210525</v>
      </c>
      <c r="J168" s="296" t="s">
        <v>2440</v>
      </c>
      <c r="K168" s="296"/>
      <c r="L168" s="296" t="s">
        <v>2441</v>
      </c>
      <c r="M168" s="297" t="s">
        <v>2448</v>
      </c>
    </row>
    <row r="169" spans="1:13" s="298" customFormat="1" ht="48">
      <c r="A169" s="288" t="s">
        <v>2095</v>
      </c>
      <c r="B169" s="299" t="s">
        <v>16</v>
      </c>
      <c r="C169" s="299" t="s">
        <v>17</v>
      </c>
      <c r="D169" s="290" t="s">
        <v>180</v>
      </c>
      <c r="E169" s="291" t="s">
        <v>2447</v>
      </c>
      <c r="F169" s="292" t="str">
        <f>VLOOKUP(D169,CSR!$D$4:$E$1180,2,FALSE)</f>
        <v>CSR_11317</v>
      </c>
      <c r="G169" s="293">
        <v>46192</v>
      </c>
      <c r="H169" s="294">
        <v>3</v>
      </c>
      <c r="I169" s="295">
        <f t="shared" ref="I169:I180" si="5">H169*10/190</f>
        <v>0.15789473684210525</v>
      </c>
      <c r="J169" s="296" t="s">
        <v>2440</v>
      </c>
      <c r="K169" s="296"/>
      <c r="L169" s="296" t="s">
        <v>2441</v>
      </c>
      <c r="M169" s="297" t="s">
        <v>2445</v>
      </c>
    </row>
    <row r="170" spans="1:13" s="298" customFormat="1" ht="48">
      <c r="A170" s="288" t="s">
        <v>2095</v>
      </c>
      <c r="B170" s="299" t="s">
        <v>16</v>
      </c>
      <c r="C170" s="299" t="s">
        <v>17</v>
      </c>
      <c r="D170" s="300" t="s">
        <v>44</v>
      </c>
      <c r="E170" s="291" t="s">
        <v>2456</v>
      </c>
      <c r="F170" s="292" t="str">
        <f>VLOOKUP(D170,CSR!$D$4:$E$1180,2,FALSE)</f>
        <v>CSR_11416</v>
      </c>
      <c r="G170" s="293">
        <v>46192</v>
      </c>
      <c r="H170" s="294">
        <v>1</v>
      </c>
      <c r="I170" s="295">
        <f t="shared" si="5"/>
        <v>5.2631578947368418E-2</v>
      </c>
      <c r="J170" s="296" t="s">
        <v>2440</v>
      </c>
      <c r="K170" s="296"/>
      <c r="L170" s="296"/>
      <c r="M170" s="297"/>
    </row>
    <row r="171" spans="1:13" s="298" customFormat="1" ht="32">
      <c r="A171" s="288" t="s">
        <v>2095</v>
      </c>
      <c r="B171" s="289" t="s">
        <v>49</v>
      </c>
      <c r="C171" s="289" t="s">
        <v>175</v>
      </c>
      <c r="D171" s="290" t="s">
        <v>2442</v>
      </c>
      <c r="E171" s="291" t="s">
        <v>2446</v>
      </c>
      <c r="F171" s="292" t="str">
        <f>VLOOKUP(D171,CSR!$D$4:$E$1180,2,FALSE)</f>
        <v>CSR_40500</v>
      </c>
      <c r="G171" s="293">
        <v>46192</v>
      </c>
      <c r="H171" s="294">
        <v>2</v>
      </c>
      <c r="I171" s="295">
        <f t="shared" si="5"/>
        <v>0.10526315789473684</v>
      </c>
      <c r="J171" s="296" t="s">
        <v>2440</v>
      </c>
      <c r="K171" s="296"/>
      <c r="L171" s="296" t="s">
        <v>2441</v>
      </c>
      <c r="M171" s="297" t="s">
        <v>2454</v>
      </c>
    </row>
    <row r="172" spans="1:13" s="298" customFormat="1" ht="48">
      <c r="A172" s="288" t="s">
        <v>2095</v>
      </c>
      <c r="B172" s="289" t="s">
        <v>49</v>
      </c>
      <c r="C172" s="289" t="s">
        <v>175</v>
      </c>
      <c r="D172" s="290" t="s">
        <v>176</v>
      </c>
      <c r="E172" s="291" t="s">
        <v>2451</v>
      </c>
      <c r="F172" s="292" t="str">
        <f>VLOOKUP(D172,CSR!$D$4:$E$1180,2,FALSE)</f>
        <v>CSR_40700</v>
      </c>
      <c r="G172" s="293">
        <v>46192</v>
      </c>
      <c r="H172" s="294">
        <v>4</v>
      </c>
      <c r="I172" s="295">
        <f t="shared" si="5"/>
        <v>0.21052631578947367</v>
      </c>
      <c r="J172" s="296" t="s">
        <v>2440</v>
      </c>
      <c r="K172" s="296"/>
      <c r="L172" s="296" t="s">
        <v>2441</v>
      </c>
      <c r="M172" s="297" t="s">
        <v>2453</v>
      </c>
    </row>
    <row r="173" spans="1:13" s="298" customFormat="1" ht="32">
      <c r="A173" s="288" t="s">
        <v>2095</v>
      </c>
      <c r="B173" s="289" t="s">
        <v>49</v>
      </c>
      <c r="C173" s="289" t="s">
        <v>175</v>
      </c>
      <c r="D173" s="301" t="s">
        <v>187</v>
      </c>
      <c r="E173" s="302" t="s">
        <v>2450</v>
      </c>
      <c r="F173" s="292" t="str">
        <f>VLOOKUP(D173,CSR!$D$4:$E$1180,2,FALSE)</f>
        <v>CSR_40400</v>
      </c>
      <c r="G173" s="293">
        <v>46192</v>
      </c>
      <c r="H173" s="294">
        <v>2</v>
      </c>
      <c r="I173" s="295">
        <f t="shared" si="5"/>
        <v>0.10526315789473684</v>
      </c>
      <c r="J173" s="296" t="s">
        <v>2440</v>
      </c>
      <c r="K173" s="296"/>
      <c r="L173" s="296" t="s">
        <v>2441</v>
      </c>
      <c r="M173" s="297" t="s">
        <v>2455</v>
      </c>
    </row>
    <row r="174" spans="1:13" s="298" customFormat="1" ht="48">
      <c r="A174" s="288" t="s">
        <v>2095</v>
      </c>
      <c r="B174" s="289" t="s">
        <v>49</v>
      </c>
      <c r="C174" s="289" t="s">
        <v>175</v>
      </c>
      <c r="D174" s="300" t="s">
        <v>191</v>
      </c>
      <c r="E174" s="302" t="s">
        <v>2460</v>
      </c>
      <c r="F174" s="292" t="str">
        <f>VLOOKUP(D174,CSR!$D$4:$E$1180,2,FALSE)</f>
        <v>CSR_40300</v>
      </c>
      <c r="G174" s="293">
        <v>46192</v>
      </c>
      <c r="H174" s="294">
        <v>1</v>
      </c>
      <c r="I174" s="295">
        <f t="shared" si="5"/>
        <v>5.2631578947368418E-2</v>
      </c>
      <c r="J174" s="296" t="s">
        <v>2440</v>
      </c>
      <c r="K174" s="296"/>
      <c r="L174" s="296"/>
      <c r="M174" s="297"/>
    </row>
    <row r="175" spans="1:13" s="298" customFormat="1" ht="32" customHeight="1">
      <c r="A175" s="288" t="s">
        <v>2095</v>
      </c>
      <c r="B175" s="289" t="s">
        <v>49</v>
      </c>
      <c r="C175" s="289" t="s">
        <v>175</v>
      </c>
      <c r="D175" s="300" t="s">
        <v>191</v>
      </c>
      <c r="E175" s="302" t="s">
        <v>2459</v>
      </c>
      <c r="F175" s="292" t="str">
        <f>VLOOKUP(D175,CSR!$D$4:$E$1180,2,FALSE)</f>
        <v>CSR_40300</v>
      </c>
      <c r="G175" s="293">
        <v>46192</v>
      </c>
      <c r="H175" s="294">
        <v>0.5</v>
      </c>
      <c r="I175" s="295">
        <f t="shared" si="5"/>
        <v>2.6315789473684209E-2</v>
      </c>
      <c r="J175" s="296" t="s">
        <v>2440</v>
      </c>
      <c r="K175" s="296"/>
      <c r="L175" s="296"/>
      <c r="M175" s="297"/>
    </row>
    <row r="176" spans="1:13" s="298" customFormat="1" ht="48">
      <c r="A176" s="288" t="s">
        <v>2095</v>
      </c>
      <c r="B176" s="289" t="s">
        <v>49</v>
      </c>
      <c r="C176" s="289" t="s">
        <v>175</v>
      </c>
      <c r="D176" s="301" t="s">
        <v>202</v>
      </c>
      <c r="E176" s="302" t="s">
        <v>2457</v>
      </c>
      <c r="F176" s="292" t="str">
        <f>VLOOKUP(D176,CSR!$D$4:$E$1180,2,FALSE)</f>
        <v>CSR_40600</v>
      </c>
      <c r="G176" s="293">
        <v>46182</v>
      </c>
      <c r="H176" s="294">
        <v>0.2</v>
      </c>
      <c r="I176" s="295">
        <f t="shared" ref="I176" si="6">H176*10/190</f>
        <v>1.0526315789473684E-2</v>
      </c>
      <c r="J176" s="296" t="s">
        <v>2440</v>
      </c>
      <c r="K176" s="296"/>
      <c r="L176" s="296"/>
      <c r="M176" s="297"/>
    </row>
    <row r="177" spans="1:13" s="298" customFormat="1" ht="80">
      <c r="A177" s="288" t="s">
        <v>2095</v>
      </c>
      <c r="B177" s="299" t="s">
        <v>31</v>
      </c>
      <c r="C177" s="299" t="s">
        <v>32</v>
      </c>
      <c r="D177" s="300" t="s">
        <v>199</v>
      </c>
      <c r="E177" s="297" t="s">
        <v>2458</v>
      </c>
      <c r="F177" s="292" t="str">
        <f>VLOOKUP(D177,CSR!$D$4:$E$1180,2,FALSE)</f>
        <v>CSR_30000</v>
      </c>
      <c r="G177" s="293">
        <v>46192</v>
      </c>
      <c r="H177" s="294">
        <v>0.5</v>
      </c>
      <c r="I177" s="295">
        <f t="shared" si="5"/>
        <v>2.6315789473684209E-2</v>
      </c>
      <c r="J177" s="296" t="s">
        <v>2440</v>
      </c>
      <c r="K177" s="296"/>
      <c r="L177" s="296"/>
      <c r="M177" s="297"/>
    </row>
    <row r="178" spans="1:13" s="298" customFormat="1" ht="80">
      <c r="A178" s="288" t="s">
        <v>2095</v>
      </c>
      <c r="B178" s="299" t="s">
        <v>31</v>
      </c>
      <c r="C178" s="299" t="s">
        <v>32</v>
      </c>
      <c r="D178" s="300" t="s">
        <v>199</v>
      </c>
      <c r="E178" s="297" t="s">
        <v>2462</v>
      </c>
      <c r="F178" s="292" t="str">
        <f>VLOOKUP(D178,CSR!$D$4:$E$1180,2,FALSE)</f>
        <v>CSR_30000</v>
      </c>
      <c r="G178" s="293">
        <v>46192</v>
      </c>
      <c r="H178" s="294">
        <v>0.5</v>
      </c>
      <c r="I178" s="295">
        <f t="shared" si="5"/>
        <v>2.6315789473684209E-2</v>
      </c>
      <c r="J178" s="296" t="s">
        <v>2440</v>
      </c>
      <c r="K178" s="296"/>
      <c r="L178" s="296"/>
      <c r="M178" s="297"/>
    </row>
    <row r="179" spans="1:13" s="298" customFormat="1" ht="32" customHeight="1">
      <c r="A179" s="288" t="s">
        <v>2095</v>
      </c>
      <c r="B179" s="288" t="s">
        <v>31</v>
      </c>
      <c r="C179" s="288" t="s">
        <v>32</v>
      </c>
      <c r="D179" s="300" t="s">
        <v>157</v>
      </c>
      <c r="E179" s="291" t="s">
        <v>1016</v>
      </c>
      <c r="F179" s="292" t="str">
        <f>VLOOKUP(D179,CSR!$D$4:$E$1180,2,FALSE)</f>
        <v>CSR_30600</v>
      </c>
      <c r="G179" s="293">
        <v>46182</v>
      </c>
      <c r="H179" s="294">
        <v>0.3</v>
      </c>
      <c r="I179" s="295">
        <f t="shared" si="5"/>
        <v>1.5789473684210527E-2</v>
      </c>
      <c r="J179" s="296" t="s">
        <v>2440</v>
      </c>
      <c r="K179" s="296"/>
      <c r="L179" s="296"/>
      <c r="M179" s="297"/>
    </row>
    <row r="180" spans="1:13" s="298" customFormat="1" ht="96">
      <c r="A180" s="288" t="s">
        <v>2095</v>
      </c>
      <c r="B180" s="299" t="s">
        <v>31</v>
      </c>
      <c r="C180" s="299" t="s">
        <v>32</v>
      </c>
      <c r="D180" s="300" t="s">
        <v>33</v>
      </c>
      <c r="E180" s="291" t="s">
        <v>2461</v>
      </c>
      <c r="F180" s="292" t="str">
        <f>VLOOKUP(D180,CSR!$D$4:$E$1180,2,FALSE)</f>
        <v>CSR_30200</v>
      </c>
      <c r="G180" s="293">
        <v>46192</v>
      </c>
      <c r="H180" s="294">
        <v>1</v>
      </c>
      <c r="I180" s="295">
        <f t="shared" si="5"/>
        <v>5.2631578947368418E-2</v>
      </c>
      <c r="J180" s="296" t="s">
        <v>2440</v>
      </c>
      <c r="K180" s="296"/>
      <c r="L180" s="296"/>
      <c r="M180" s="297"/>
    </row>
    <row r="181" spans="1:13" ht="96">
      <c r="A181" s="303" t="s">
        <v>2467</v>
      </c>
      <c r="B181" s="304" t="s">
        <v>49</v>
      </c>
      <c r="C181" s="304" t="s">
        <v>50</v>
      </c>
      <c r="D181" s="305" t="s">
        <v>51</v>
      </c>
      <c r="E181" s="306" t="s">
        <v>2468</v>
      </c>
      <c r="F181" s="307" t="str">
        <f>VLOOKUP(D181,CSR!$D$4:$E$1180,2,FALSE)</f>
        <v>CSR_41103</v>
      </c>
      <c r="G181" s="308">
        <v>46162</v>
      </c>
      <c r="H181" s="309">
        <v>2</v>
      </c>
      <c r="I181" s="310">
        <f>H181*10/190</f>
        <v>0.10526315789473684</v>
      </c>
      <c r="J181" s="311" t="s">
        <v>213</v>
      </c>
      <c r="K181" s="309"/>
      <c r="L181" s="312" t="s">
        <v>2465</v>
      </c>
      <c r="M181" s="306"/>
    </row>
    <row r="182" spans="1:13" ht="64">
      <c r="A182" s="303" t="s">
        <v>27</v>
      </c>
      <c r="B182" s="304" t="s">
        <v>16</v>
      </c>
      <c r="C182" s="304" t="s">
        <v>17</v>
      </c>
      <c r="D182" s="309" t="s">
        <v>65</v>
      </c>
      <c r="E182" s="306" t="s">
        <v>2479</v>
      </c>
      <c r="F182" s="307" t="str">
        <f>VLOOKUP(D182,CSR!$D$4:$E$1180,2,FALSE)</f>
        <v>CSR_10800</v>
      </c>
      <c r="G182" s="308">
        <v>46169</v>
      </c>
      <c r="H182" s="309">
        <v>2</v>
      </c>
      <c r="I182" s="310">
        <f>H182*10/190</f>
        <v>0.10526315789473684</v>
      </c>
      <c r="J182" s="311" t="s">
        <v>213</v>
      </c>
      <c r="K182" s="309"/>
      <c r="L182" s="312" t="s">
        <v>2465</v>
      </c>
      <c r="M182" s="306"/>
    </row>
    <row r="183" spans="1:13" ht="80">
      <c r="A183" s="303" t="s">
        <v>27</v>
      </c>
      <c r="B183" s="304" t="s">
        <v>31</v>
      </c>
      <c r="C183" s="303" t="s">
        <v>32</v>
      </c>
      <c r="D183" s="305" t="s">
        <v>199</v>
      </c>
      <c r="E183" s="313" t="s">
        <v>2471</v>
      </c>
      <c r="F183" s="307" t="str">
        <f>VLOOKUP(D183,CSR!$D$4:$E$1180,2,FALSE)</f>
        <v>CSR_30000</v>
      </c>
      <c r="G183" s="308">
        <v>46170</v>
      </c>
      <c r="H183" s="309">
        <v>1</v>
      </c>
      <c r="I183" s="310">
        <f>H183*10/190</f>
        <v>5.2631578947368418E-2</v>
      </c>
      <c r="J183" s="311" t="s">
        <v>213</v>
      </c>
      <c r="K183" s="309"/>
      <c r="L183" s="312" t="s">
        <v>2465</v>
      </c>
      <c r="M183" s="306"/>
    </row>
    <row r="184" spans="1:13" ht="48">
      <c r="A184" s="303" t="s">
        <v>27</v>
      </c>
      <c r="B184" s="304" t="s">
        <v>16</v>
      </c>
      <c r="C184" s="304" t="s">
        <v>17</v>
      </c>
      <c r="D184" s="314" t="s">
        <v>131</v>
      </c>
      <c r="E184" s="306" t="s">
        <v>2463</v>
      </c>
      <c r="F184" s="307" t="str">
        <f>VLOOKUP(D184,CSR!$D$4:$E$1180,2,FALSE)</f>
        <v>CSR_10400</v>
      </c>
      <c r="G184" s="308">
        <v>46171</v>
      </c>
      <c r="H184" s="315">
        <v>1</v>
      </c>
      <c r="I184" s="310">
        <f>H184*10/190</f>
        <v>5.2631578947368418E-2</v>
      </c>
      <c r="J184" s="311" t="s">
        <v>213</v>
      </c>
      <c r="K184" s="309"/>
      <c r="L184" s="312" t="s">
        <v>2465</v>
      </c>
      <c r="M184" s="306"/>
    </row>
    <row r="185" spans="1:13" ht="48">
      <c r="A185" s="303" t="s">
        <v>27</v>
      </c>
      <c r="B185" s="304" t="s">
        <v>16</v>
      </c>
      <c r="C185" s="304" t="s">
        <v>17</v>
      </c>
      <c r="D185" s="309" t="s">
        <v>65</v>
      </c>
      <c r="E185" s="306" t="s">
        <v>2466</v>
      </c>
      <c r="F185" s="307" t="str">
        <f>VLOOKUP(D185,CSR!$D$4:$E$1180,2,FALSE)</f>
        <v>CSR_10800</v>
      </c>
      <c r="G185" s="308">
        <v>46171</v>
      </c>
      <c r="H185" s="309">
        <v>1.5</v>
      </c>
      <c r="I185" s="310">
        <f t="shared" ref="I185" si="7">H185*10/190</f>
        <v>7.8947368421052627E-2</v>
      </c>
      <c r="J185" s="311" t="s">
        <v>213</v>
      </c>
      <c r="K185" s="312"/>
      <c r="L185" s="312" t="s">
        <v>2480</v>
      </c>
      <c r="M185" s="306" t="s">
        <v>2482</v>
      </c>
    </row>
    <row r="186" spans="1:13" ht="64">
      <c r="A186" s="303" t="s">
        <v>2470</v>
      </c>
      <c r="B186" s="304" t="s">
        <v>49</v>
      </c>
      <c r="C186" s="304" t="s">
        <v>50</v>
      </c>
      <c r="D186" s="305" t="s">
        <v>51</v>
      </c>
      <c r="E186" s="306" t="s">
        <v>2469</v>
      </c>
      <c r="F186" s="307" t="str">
        <f>VLOOKUP(D186,CSR!$D$4:$E$1180,2,FALSE)</f>
        <v>CSR_41103</v>
      </c>
      <c r="G186" s="308">
        <v>46178</v>
      </c>
      <c r="H186" s="309">
        <v>2.5</v>
      </c>
      <c r="I186" s="310">
        <f t="shared" ref="I186:I188" si="8">H186*10/190</f>
        <v>0.13157894736842105</v>
      </c>
      <c r="J186" s="311" t="s">
        <v>213</v>
      </c>
      <c r="K186" s="309"/>
      <c r="L186" s="312" t="s">
        <v>2465</v>
      </c>
      <c r="M186" s="306"/>
    </row>
    <row r="187" spans="1:13" ht="64">
      <c r="A187" s="303" t="s">
        <v>2470</v>
      </c>
      <c r="B187" s="304" t="s">
        <v>16</v>
      </c>
      <c r="C187" s="304" t="s">
        <v>17</v>
      </c>
      <c r="D187" s="309" t="s">
        <v>65</v>
      </c>
      <c r="E187" s="306" t="s">
        <v>2478</v>
      </c>
      <c r="F187" s="307" t="str">
        <f>VLOOKUP(D187,CSR!$D$4:$E$1180,2,FALSE)</f>
        <v>CSR_10800</v>
      </c>
      <c r="G187" s="308">
        <v>46178</v>
      </c>
      <c r="H187" s="309">
        <v>1</v>
      </c>
      <c r="I187" s="310">
        <f>H187*10/190</f>
        <v>5.2631578947368418E-2</v>
      </c>
      <c r="J187" s="311" t="s">
        <v>213</v>
      </c>
      <c r="K187" s="309"/>
      <c r="L187" s="312" t="s">
        <v>2465</v>
      </c>
      <c r="M187" s="306"/>
    </row>
    <row r="188" spans="1:13" ht="32">
      <c r="A188" s="303" t="s">
        <v>2470</v>
      </c>
      <c r="B188" s="304" t="s">
        <v>16</v>
      </c>
      <c r="C188" s="304" t="s">
        <v>17</v>
      </c>
      <c r="D188" s="305" t="s">
        <v>2079</v>
      </c>
      <c r="E188" s="313" t="s">
        <v>2474</v>
      </c>
      <c r="F188" s="307" t="str">
        <f>VLOOKUP(D188,CSR!$D$4:$E$1180,2,FALSE)</f>
        <v>CSR_10201</v>
      </c>
      <c r="G188" s="308">
        <v>46184</v>
      </c>
      <c r="H188" s="309">
        <v>2</v>
      </c>
      <c r="I188" s="310">
        <f t="shared" si="8"/>
        <v>0.10526315789473684</v>
      </c>
      <c r="J188" s="311" t="s">
        <v>213</v>
      </c>
      <c r="K188" s="312"/>
      <c r="L188" s="312" t="s">
        <v>2480</v>
      </c>
      <c r="M188" s="309" t="s">
        <v>2481</v>
      </c>
    </row>
    <row r="189" spans="1:13" ht="16">
      <c r="A189" s="303" t="s">
        <v>2470</v>
      </c>
      <c r="B189" s="303" t="s">
        <v>31</v>
      </c>
      <c r="C189" s="303" t="s">
        <v>32</v>
      </c>
      <c r="D189" s="314" t="s">
        <v>157</v>
      </c>
      <c r="E189" s="313" t="s">
        <v>2477</v>
      </c>
      <c r="F189" s="307" t="str">
        <f>VLOOKUP(D189,CSR!$D$4:$E$1180,2,FALSE)</f>
        <v>CSR_30600</v>
      </c>
      <c r="G189" s="308">
        <v>46182</v>
      </c>
      <c r="H189" s="309">
        <v>0.3</v>
      </c>
      <c r="I189" s="310">
        <f>H189*10/190</f>
        <v>1.5789473684210527E-2</v>
      </c>
      <c r="J189" s="311" t="s">
        <v>213</v>
      </c>
      <c r="K189" s="309"/>
      <c r="L189" s="312" t="s">
        <v>2465</v>
      </c>
      <c r="M189" s="309"/>
    </row>
    <row r="190" spans="1:13" ht="16">
      <c r="A190" s="303" t="s">
        <v>2470</v>
      </c>
      <c r="B190" s="304" t="s">
        <v>758</v>
      </c>
      <c r="C190" s="303" t="s">
        <v>32</v>
      </c>
      <c r="D190" s="305" t="s">
        <v>764</v>
      </c>
      <c r="E190" s="313" t="s">
        <v>2473</v>
      </c>
      <c r="F190" s="307" t="str">
        <f>VLOOKUP(D190,CSR!$D$4:$E$1180,2,FALSE)</f>
        <v>CSR_30200</v>
      </c>
      <c r="G190" s="308">
        <v>46183</v>
      </c>
      <c r="H190" s="309">
        <v>0.2</v>
      </c>
      <c r="I190" s="310">
        <f>H190*10/190</f>
        <v>1.0526315789473684E-2</v>
      </c>
      <c r="J190" s="311" t="s">
        <v>213</v>
      </c>
      <c r="K190" s="309"/>
      <c r="L190" s="312" t="s">
        <v>2465</v>
      </c>
      <c r="M190" s="309"/>
    </row>
    <row r="191" spans="1:13" ht="48">
      <c r="A191" s="303" t="s">
        <v>2470</v>
      </c>
      <c r="B191" s="304" t="s">
        <v>16</v>
      </c>
      <c r="C191" s="304" t="s">
        <v>17</v>
      </c>
      <c r="D191" s="309" t="s">
        <v>65</v>
      </c>
      <c r="E191" s="306" t="s">
        <v>2466</v>
      </c>
      <c r="F191" s="307" t="str">
        <f>VLOOKUP(D191,CSR!$D$4:$E$1180,2,FALSE)</f>
        <v>CSR_10800</v>
      </c>
      <c r="G191" s="308">
        <v>46184</v>
      </c>
      <c r="H191" s="309">
        <v>1.5</v>
      </c>
      <c r="I191" s="310">
        <f>H191*10/190</f>
        <v>7.8947368421052627E-2</v>
      </c>
      <c r="J191" s="311" t="s">
        <v>213</v>
      </c>
      <c r="K191" s="312"/>
      <c r="L191" s="312" t="s">
        <v>2480</v>
      </c>
      <c r="M191" s="306" t="s">
        <v>2482</v>
      </c>
    </row>
    <row r="192" spans="1:13" ht="112">
      <c r="A192" s="303" t="s">
        <v>2470</v>
      </c>
      <c r="B192" s="304" t="s">
        <v>31</v>
      </c>
      <c r="C192" s="303" t="s">
        <v>32</v>
      </c>
      <c r="D192" s="305" t="s">
        <v>199</v>
      </c>
      <c r="E192" s="313" t="s">
        <v>2475</v>
      </c>
      <c r="F192" s="307" t="str">
        <f>VLOOKUP(D192,CSR!$D$4:$E$1180,2,FALSE)</f>
        <v>CSR_30000</v>
      </c>
      <c r="G192" s="308">
        <v>46188</v>
      </c>
      <c r="H192" s="309">
        <v>0.5</v>
      </c>
      <c r="I192" s="310">
        <f t="shared" ref="I192:I200" si="9">H192*10/190</f>
        <v>2.6315789473684209E-2</v>
      </c>
      <c r="J192" s="311" t="s">
        <v>213</v>
      </c>
      <c r="K192" s="309"/>
      <c r="L192" s="312" t="s">
        <v>2465</v>
      </c>
      <c r="M192" s="306"/>
    </row>
    <row r="193" spans="1:13" ht="64">
      <c r="A193" s="303" t="s">
        <v>2470</v>
      </c>
      <c r="B193" s="304" t="s">
        <v>49</v>
      </c>
      <c r="C193" s="304" t="s">
        <v>50</v>
      </c>
      <c r="D193" s="305" t="s">
        <v>51</v>
      </c>
      <c r="E193" s="306" t="s">
        <v>2476</v>
      </c>
      <c r="F193" s="307" t="str">
        <f>VLOOKUP(D193,CSR!$D$4:$E$1180,2,FALSE)</f>
        <v>CSR_41103</v>
      </c>
      <c r="G193" s="308">
        <v>46191</v>
      </c>
      <c r="H193" s="309">
        <v>1.5</v>
      </c>
      <c r="I193" s="310">
        <f t="shared" si="9"/>
        <v>7.8947368421052627E-2</v>
      </c>
      <c r="J193" s="311" t="s">
        <v>213</v>
      </c>
      <c r="K193" s="309"/>
      <c r="L193" s="312" t="s">
        <v>2465</v>
      </c>
      <c r="M193" s="306"/>
    </row>
    <row r="194" spans="1:13" ht="48">
      <c r="A194" s="303" t="s">
        <v>2470</v>
      </c>
      <c r="B194" s="304" t="s">
        <v>16</v>
      </c>
      <c r="C194" s="304" t="s">
        <v>17</v>
      </c>
      <c r="D194" s="305" t="s">
        <v>2079</v>
      </c>
      <c r="E194" s="313" t="s">
        <v>2472</v>
      </c>
      <c r="F194" s="307" t="str">
        <f>VLOOKUP(D194,CSR!$D$4:$E$1180,2,FALSE)</f>
        <v>CSR_10201</v>
      </c>
      <c r="G194" s="308">
        <v>46192</v>
      </c>
      <c r="H194" s="309">
        <v>2</v>
      </c>
      <c r="I194" s="310">
        <f t="shared" si="9"/>
        <v>0.10526315789473684</v>
      </c>
      <c r="J194" s="311" t="s">
        <v>213</v>
      </c>
      <c r="K194" s="312"/>
      <c r="L194" s="312" t="s">
        <v>2480</v>
      </c>
      <c r="M194" s="309" t="s">
        <v>2481</v>
      </c>
    </row>
    <row r="195" spans="1:13" ht="16">
      <c r="A195" s="316" t="s">
        <v>2470</v>
      </c>
      <c r="B195" s="317" t="s">
        <v>2419</v>
      </c>
      <c r="C195" s="317" t="s">
        <v>2496</v>
      </c>
      <c r="D195" s="322" t="s">
        <v>635</v>
      </c>
      <c r="E195" s="323" t="s">
        <v>2497</v>
      </c>
      <c r="F195" s="319" t="e">
        <f>VLOOKUP(D195,[1]CSR!$D$4:$E$1180,2,FALSE)</f>
        <v>#N/A</v>
      </c>
      <c r="G195" s="320">
        <v>46171</v>
      </c>
      <c r="H195" s="322">
        <v>3</v>
      </c>
      <c r="I195" s="321">
        <f t="shared" si="9"/>
        <v>0.15789473684210525</v>
      </c>
      <c r="J195" s="324" t="s">
        <v>2498</v>
      </c>
      <c r="K195" s="324"/>
      <c r="L195" s="324" t="s">
        <v>2465</v>
      </c>
      <c r="M195" s="325" t="s">
        <v>2499</v>
      </c>
    </row>
    <row r="196" spans="1:13" ht="32">
      <c r="A196" s="316" t="s">
        <v>2470</v>
      </c>
      <c r="B196" s="317" t="s">
        <v>2500</v>
      </c>
      <c r="C196" s="317" t="s">
        <v>2501</v>
      </c>
      <c r="D196" s="326" t="s">
        <v>748</v>
      </c>
      <c r="E196" s="325" t="s">
        <v>2502</v>
      </c>
      <c r="F196" s="319" t="e">
        <f>VLOOKUP(D196,[1]CSR!$D$4:$E$1180,2,FALSE)</f>
        <v>#N/A</v>
      </c>
      <c r="G196" s="320">
        <v>46178</v>
      </c>
      <c r="H196" s="322">
        <v>4</v>
      </c>
      <c r="I196" s="321">
        <f t="shared" si="9"/>
        <v>0.21052631578947367</v>
      </c>
      <c r="J196" s="324" t="s">
        <v>2498</v>
      </c>
      <c r="K196" s="324"/>
      <c r="L196" s="324" t="s">
        <v>2420</v>
      </c>
      <c r="M196" s="325" t="s">
        <v>2503</v>
      </c>
    </row>
    <row r="197" spans="1:13" ht="16">
      <c r="A197" s="316" t="s">
        <v>2470</v>
      </c>
      <c r="B197" s="317" t="s">
        <v>2500</v>
      </c>
      <c r="C197" s="317" t="s">
        <v>2501</v>
      </c>
      <c r="D197" s="318" t="s">
        <v>2504</v>
      </c>
      <c r="E197" s="323" t="s">
        <v>2505</v>
      </c>
      <c r="F197" s="319" t="e">
        <f>VLOOKUP(D197,[1]CSR!$D$4:$E$1180,2,FALSE)</f>
        <v>#N/A</v>
      </c>
      <c r="G197" s="320">
        <v>46189</v>
      </c>
      <c r="H197" s="322">
        <v>2</v>
      </c>
      <c r="I197" s="321">
        <f>H197*10/190</f>
        <v>0.10526315789473684</v>
      </c>
      <c r="J197" s="324" t="s">
        <v>2498</v>
      </c>
      <c r="K197" s="324"/>
      <c r="L197" s="324" t="s">
        <v>2465</v>
      </c>
      <c r="M197" s="325" t="s">
        <v>2506</v>
      </c>
    </row>
    <row r="198" spans="1:13" ht="48">
      <c r="A198" s="316" t="s">
        <v>2470</v>
      </c>
      <c r="B198" s="317" t="s">
        <v>2419</v>
      </c>
      <c r="C198" s="317" t="s">
        <v>2418</v>
      </c>
      <c r="D198" s="322" t="s">
        <v>622</v>
      </c>
      <c r="E198" s="325" t="s">
        <v>2507</v>
      </c>
      <c r="F198" s="319" t="e">
        <f>VLOOKUP(D198,[1]CSR!$D$4:$E$1180,2,FALSE)</f>
        <v>#N/A</v>
      </c>
      <c r="G198" s="320">
        <v>46191</v>
      </c>
      <c r="H198" s="322">
        <v>4</v>
      </c>
      <c r="I198" s="321">
        <f>H198*10/190</f>
        <v>0.21052631578947367</v>
      </c>
      <c r="J198" s="324" t="s">
        <v>2498</v>
      </c>
      <c r="K198" s="324"/>
      <c r="L198" s="324" t="s">
        <v>2441</v>
      </c>
      <c r="M198" s="325" t="s">
        <v>2508</v>
      </c>
    </row>
    <row r="199" spans="1:13" ht="16">
      <c r="A199" s="316" t="s">
        <v>2470</v>
      </c>
      <c r="B199" s="317" t="s">
        <v>2509</v>
      </c>
      <c r="C199" s="317" t="s">
        <v>2496</v>
      </c>
      <c r="D199" s="318" t="s">
        <v>2510</v>
      </c>
      <c r="E199" s="323" t="s">
        <v>2511</v>
      </c>
      <c r="F199" s="319" t="e">
        <f>VLOOKUP(D199,[1]CSR!$D$4:$E$1180,2,FALSE)</f>
        <v>#N/A</v>
      </c>
      <c r="G199" s="320">
        <v>46190</v>
      </c>
      <c r="H199" s="322">
        <v>2</v>
      </c>
      <c r="I199" s="321">
        <f>H199*10/190</f>
        <v>0.10526315789473684</v>
      </c>
      <c r="J199" s="324" t="s">
        <v>2498</v>
      </c>
      <c r="K199" s="324"/>
      <c r="L199" s="324" t="s">
        <v>2420</v>
      </c>
      <c r="M199" s="325" t="s">
        <v>2512</v>
      </c>
    </row>
    <row r="200" spans="1:13" ht="32">
      <c r="A200" s="327" t="s">
        <v>822</v>
      </c>
      <c r="B200" s="328" t="s">
        <v>16</v>
      </c>
      <c r="C200" s="328" t="s">
        <v>17</v>
      </c>
      <c r="D200" s="329" t="s">
        <v>2484</v>
      </c>
      <c r="E200" s="330" t="s">
        <v>2491</v>
      </c>
      <c r="F200" s="331" t="str">
        <f>VLOOKUP(D200,CSR!$D$4:$E$1180,2,FALSE)</f>
        <v>CSR_11416</v>
      </c>
      <c r="G200" s="332" t="s">
        <v>2483</v>
      </c>
      <c r="H200" s="333">
        <v>3</v>
      </c>
      <c r="I200" s="334">
        <f t="shared" si="9"/>
        <v>0.15789473684210525</v>
      </c>
      <c r="J200" s="335" t="s">
        <v>839</v>
      </c>
      <c r="K200" s="336"/>
      <c r="L200" s="327" t="s">
        <v>411</v>
      </c>
      <c r="M200" s="336"/>
    </row>
    <row r="201" spans="1:13" ht="32">
      <c r="A201" s="327" t="s">
        <v>2095</v>
      </c>
      <c r="B201" s="328" t="s">
        <v>16</v>
      </c>
      <c r="C201" s="328" t="s">
        <v>17</v>
      </c>
      <c r="D201" s="329" t="s">
        <v>2484</v>
      </c>
      <c r="E201" s="330" t="s">
        <v>2492</v>
      </c>
      <c r="F201" s="331" t="str">
        <f>VLOOKUP(D201,CSR!$D$4:$E$1180,2,FALSE)</f>
        <v>CSR_11416</v>
      </c>
      <c r="G201" s="332" t="s">
        <v>2485</v>
      </c>
      <c r="H201" s="333">
        <v>4</v>
      </c>
      <c r="I201" s="334">
        <f t="shared" ref="I201" si="10">H201*10/190</f>
        <v>0.21052631578947367</v>
      </c>
      <c r="J201" s="335" t="s">
        <v>839</v>
      </c>
      <c r="K201" s="336"/>
      <c r="L201" s="327" t="s">
        <v>411</v>
      </c>
      <c r="M201" s="336"/>
    </row>
    <row r="202" spans="1:13" ht="32">
      <c r="A202" s="327" t="s">
        <v>2095</v>
      </c>
      <c r="B202" s="328" t="s">
        <v>16</v>
      </c>
      <c r="C202" s="328" t="s">
        <v>17</v>
      </c>
      <c r="D202" s="337" t="s">
        <v>2486</v>
      </c>
      <c r="E202" s="330" t="s">
        <v>2487</v>
      </c>
      <c r="F202" s="331" t="str">
        <f>VLOOKUP(D202,CSR!$D$4:$E$1180,2,FALSE)</f>
        <v>CSR_11002</v>
      </c>
      <c r="G202" s="332" t="s">
        <v>2485</v>
      </c>
      <c r="H202" s="333">
        <v>4</v>
      </c>
      <c r="I202" s="334">
        <f t="shared" ref="I202" si="11">H202*10/190</f>
        <v>0.21052631578947367</v>
      </c>
      <c r="J202" s="335" t="s">
        <v>839</v>
      </c>
      <c r="K202" s="336"/>
      <c r="L202" s="327" t="s">
        <v>411</v>
      </c>
      <c r="M202" s="336"/>
    </row>
    <row r="203" spans="1:13" ht="32">
      <c r="A203" s="327" t="s">
        <v>2095</v>
      </c>
      <c r="B203" s="328" t="s">
        <v>16</v>
      </c>
      <c r="C203" s="328" t="s">
        <v>17</v>
      </c>
      <c r="D203" s="337" t="s">
        <v>2486</v>
      </c>
      <c r="E203" s="330" t="s">
        <v>2487</v>
      </c>
      <c r="F203" s="331" t="str">
        <f>VLOOKUP(D203,CSR!$D$4:$E$1180,2,FALSE)</f>
        <v>CSR_11002</v>
      </c>
      <c r="G203" s="332" t="s">
        <v>2488</v>
      </c>
      <c r="H203" s="333">
        <v>4</v>
      </c>
      <c r="I203" s="334">
        <f t="shared" ref="I203" si="12">H203*10/190</f>
        <v>0.21052631578947367</v>
      </c>
      <c r="J203" s="335" t="s">
        <v>839</v>
      </c>
      <c r="K203" s="336"/>
      <c r="L203" s="327" t="s">
        <v>411</v>
      </c>
      <c r="M203" s="336"/>
    </row>
    <row r="204" spans="1:13" ht="32">
      <c r="A204" s="327" t="s">
        <v>2095</v>
      </c>
      <c r="B204" s="328" t="s">
        <v>16</v>
      </c>
      <c r="C204" s="328" t="s">
        <v>17</v>
      </c>
      <c r="D204" s="337" t="s">
        <v>2486</v>
      </c>
      <c r="E204" s="330" t="s">
        <v>2489</v>
      </c>
      <c r="F204" s="331" t="str">
        <f>VLOOKUP(D204,CSR!$D$4:$E$1180,2,FALSE)</f>
        <v>CSR_11002</v>
      </c>
      <c r="G204" s="332" t="s">
        <v>2490</v>
      </c>
      <c r="H204" s="333">
        <v>4</v>
      </c>
      <c r="I204" s="334">
        <f t="shared" ref="I204:I208" si="13">H204*10/190</f>
        <v>0.21052631578947367</v>
      </c>
      <c r="J204" s="335" t="s">
        <v>839</v>
      </c>
      <c r="K204" s="336"/>
      <c r="L204" s="327" t="s">
        <v>411</v>
      </c>
      <c r="M204" s="336"/>
    </row>
    <row r="205" spans="1:13" ht="48">
      <c r="A205" s="327" t="s">
        <v>822</v>
      </c>
      <c r="B205" s="328" t="s">
        <v>16</v>
      </c>
      <c r="C205" s="328" t="s">
        <v>17</v>
      </c>
      <c r="D205" s="329" t="s">
        <v>2484</v>
      </c>
      <c r="E205" s="330" t="s">
        <v>2493</v>
      </c>
      <c r="F205" s="331" t="str">
        <f>VLOOKUP(D205,CSR!$D$4:$E$1180,2,FALSE)</f>
        <v>CSR_11416</v>
      </c>
      <c r="G205" s="332" t="s">
        <v>2483</v>
      </c>
      <c r="H205" s="333">
        <v>3</v>
      </c>
      <c r="I205" s="334">
        <f t="shared" si="13"/>
        <v>0.15789473684210525</v>
      </c>
      <c r="J205" s="335" t="s">
        <v>827</v>
      </c>
      <c r="K205" s="336"/>
      <c r="L205" s="327" t="s">
        <v>411</v>
      </c>
      <c r="M205" s="336"/>
    </row>
    <row r="206" spans="1:13" ht="48">
      <c r="A206" s="327" t="s">
        <v>2095</v>
      </c>
      <c r="B206" s="328" t="s">
        <v>16</v>
      </c>
      <c r="C206" s="328" t="s">
        <v>17</v>
      </c>
      <c r="D206" s="329" t="s">
        <v>2484</v>
      </c>
      <c r="E206" s="330" t="s">
        <v>2494</v>
      </c>
      <c r="F206" s="331" t="str">
        <f>VLOOKUP(D206,CSR!$D$4:$E$1180,2,FALSE)</f>
        <v>CSR_11416</v>
      </c>
      <c r="G206" s="332" t="s">
        <v>2485</v>
      </c>
      <c r="H206" s="333">
        <v>4</v>
      </c>
      <c r="I206" s="334">
        <f t="shared" si="13"/>
        <v>0.21052631578947367</v>
      </c>
      <c r="J206" s="335" t="s">
        <v>827</v>
      </c>
      <c r="K206" s="336"/>
      <c r="L206" s="327" t="s">
        <v>411</v>
      </c>
      <c r="M206" s="336"/>
    </row>
    <row r="207" spans="1:13" ht="32">
      <c r="A207" s="327" t="s">
        <v>2095</v>
      </c>
      <c r="B207" s="328" t="s">
        <v>16</v>
      </c>
      <c r="C207" s="328" t="s">
        <v>17</v>
      </c>
      <c r="D207" s="337" t="s">
        <v>2486</v>
      </c>
      <c r="E207" s="330" t="s">
        <v>2487</v>
      </c>
      <c r="F207" s="331" t="str">
        <f>VLOOKUP(D207,CSR!$D$4:$E$1180,2,FALSE)</f>
        <v>CSR_11002</v>
      </c>
      <c r="G207" s="332" t="s">
        <v>2485</v>
      </c>
      <c r="H207" s="333">
        <v>4</v>
      </c>
      <c r="I207" s="334">
        <f t="shared" si="13"/>
        <v>0.21052631578947367</v>
      </c>
      <c r="J207" s="335" t="s">
        <v>827</v>
      </c>
      <c r="K207" s="336"/>
      <c r="L207" s="327" t="s">
        <v>411</v>
      </c>
      <c r="M207" s="336"/>
    </row>
    <row r="208" spans="1:13" ht="32">
      <c r="A208" s="327" t="s">
        <v>2095</v>
      </c>
      <c r="B208" s="328" t="s">
        <v>16</v>
      </c>
      <c r="C208" s="328" t="s">
        <v>17</v>
      </c>
      <c r="D208" s="337" t="s">
        <v>2486</v>
      </c>
      <c r="E208" s="330" t="s">
        <v>2487</v>
      </c>
      <c r="F208" s="331" t="str">
        <f>VLOOKUP(D208,CSR!$D$4:$E$1180,2,FALSE)</f>
        <v>CSR_11002</v>
      </c>
      <c r="G208" s="332" t="s">
        <v>2488</v>
      </c>
      <c r="H208" s="333">
        <v>4</v>
      </c>
      <c r="I208" s="334">
        <f t="shared" si="13"/>
        <v>0.21052631578947367</v>
      </c>
      <c r="J208" s="335" t="s">
        <v>827</v>
      </c>
      <c r="K208" s="336"/>
      <c r="L208" s="327" t="s">
        <v>411</v>
      </c>
      <c r="M208" s="336"/>
    </row>
    <row r="209" spans="1:13" ht="48">
      <c r="A209" s="327" t="s">
        <v>2095</v>
      </c>
      <c r="B209" s="328" t="s">
        <v>16</v>
      </c>
      <c r="C209" s="328" t="s">
        <v>17</v>
      </c>
      <c r="D209" s="337" t="s">
        <v>2486</v>
      </c>
      <c r="E209" s="330" t="s">
        <v>2495</v>
      </c>
      <c r="F209" s="331" t="str">
        <f>VLOOKUP(D209,CSR!$D$4:$E$1180,2,FALSE)</f>
        <v>CSR_11002</v>
      </c>
      <c r="G209" s="332" t="s">
        <v>2490</v>
      </c>
      <c r="H209" s="333">
        <v>4</v>
      </c>
      <c r="I209" s="334">
        <f t="shared" ref="I209:I218" si="14">H209*10/190</f>
        <v>0.21052631578947367</v>
      </c>
      <c r="J209" s="335" t="s">
        <v>827</v>
      </c>
      <c r="K209" s="336"/>
      <c r="L209" s="327" t="s">
        <v>411</v>
      </c>
      <c r="M209" s="336"/>
    </row>
    <row r="210" spans="1:13" ht="16">
      <c r="A210" s="316" t="s">
        <v>27</v>
      </c>
      <c r="B210" s="317" t="s">
        <v>16</v>
      </c>
      <c r="C210" s="317" t="s">
        <v>17</v>
      </c>
      <c r="D210" s="318" t="s">
        <v>18</v>
      </c>
      <c r="E210" s="325" t="s">
        <v>308</v>
      </c>
      <c r="F210" s="319" t="str">
        <f>VLOOKUP(D210,[2]CSR!$D$4:$E$1180,2,FALSE)</f>
        <v>CSR_11300</v>
      </c>
      <c r="G210" s="320" t="s">
        <v>2513</v>
      </c>
      <c r="H210" s="322">
        <v>2</v>
      </c>
      <c r="I210" s="321">
        <f t="shared" si="14"/>
        <v>0.10526315789473684</v>
      </c>
      <c r="J210" s="338" t="s">
        <v>2514</v>
      </c>
      <c r="K210" s="322"/>
      <c r="L210" s="324"/>
      <c r="M210" s="322"/>
    </row>
    <row r="211" spans="1:13" ht="16">
      <c r="A211" s="316" t="s">
        <v>27</v>
      </c>
      <c r="B211" s="317" t="s">
        <v>16</v>
      </c>
      <c r="C211" s="317" t="s">
        <v>17</v>
      </c>
      <c r="D211" s="339" t="s">
        <v>724</v>
      </c>
      <c r="E211" s="325" t="s">
        <v>2515</v>
      </c>
      <c r="F211" s="319" t="str">
        <f>VLOOKUP(D211,[2]CSR!$D$4:$E$1180,2,FALSE)</f>
        <v>CSR_11416</v>
      </c>
      <c r="G211" s="320" t="s">
        <v>2483</v>
      </c>
      <c r="H211" s="322">
        <v>1</v>
      </c>
      <c r="I211" s="321">
        <f t="shared" si="14"/>
        <v>5.2631578947368418E-2</v>
      </c>
      <c r="J211" s="338" t="s">
        <v>2514</v>
      </c>
      <c r="K211" s="322"/>
      <c r="L211" s="324"/>
      <c r="M211" s="322"/>
    </row>
    <row r="212" spans="1:13" ht="16">
      <c r="A212" s="340" t="s">
        <v>2516</v>
      </c>
      <c r="B212" s="341" t="s">
        <v>49</v>
      </c>
      <c r="C212" s="341" t="s">
        <v>175</v>
      </c>
      <c r="D212" s="342" t="s">
        <v>176</v>
      </c>
      <c r="E212" s="343" t="s">
        <v>2517</v>
      </c>
      <c r="F212" s="319" t="str">
        <f>VLOOKUP(D212,[2]CSR!$D$4:$E$1180,2,FALSE)</f>
        <v>CSR_40700</v>
      </c>
      <c r="G212" s="320" t="s">
        <v>2518</v>
      </c>
      <c r="H212" s="322">
        <v>2.5</v>
      </c>
      <c r="I212" s="321">
        <f t="shared" si="14"/>
        <v>0.13157894736842105</v>
      </c>
      <c r="J212" s="338" t="s">
        <v>2514</v>
      </c>
      <c r="K212" s="324"/>
      <c r="L212" s="324"/>
      <c r="M212" s="322"/>
    </row>
    <row r="213" spans="1:13" ht="16">
      <c r="A213" s="316" t="s">
        <v>2470</v>
      </c>
      <c r="B213" s="317" t="s">
        <v>414</v>
      </c>
      <c r="C213" s="316" t="s">
        <v>245</v>
      </c>
      <c r="D213" s="344" t="s">
        <v>751</v>
      </c>
      <c r="E213" s="345" t="s">
        <v>2519</v>
      </c>
      <c r="F213" s="319" t="str">
        <f>VLOOKUP(D213,[2]CSR!$D$4:$E$1180,2,FALSE)</f>
        <v>CSR_20100</v>
      </c>
      <c r="G213" s="320" t="s">
        <v>2520</v>
      </c>
      <c r="H213" s="322">
        <v>0.5</v>
      </c>
      <c r="I213" s="321">
        <f t="shared" si="14"/>
        <v>2.6315789473684209E-2</v>
      </c>
      <c r="J213" s="338" t="s">
        <v>2514</v>
      </c>
      <c r="K213" s="322"/>
      <c r="L213" s="324" t="s">
        <v>2420</v>
      </c>
      <c r="M213" s="322" t="s">
        <v>2521</v>
      </c>
    </row>
    <row r="214" spans="1:13" ht="16">
      <c r="A214" s="340" t="s">
        <v>2516</v>
      </c>
      <c r="B214" s="341" t="s">
        <v>49</v>
      </c>
      <c r="C214" s="341" t="s">
        <v>175</v>
      </c>
      <c r="D214" s="346" t="s">
        <v>187</v>
      </c>
      <c r="E214" s="347" t="s">
        <v>2522</v>
      </c>
      <c r="F214" s="319" t="str">
        <f>VLOOKUP(D214,[2]CSR!$D$4:$E$1180,2,FALSE)</f>
        <v>CSR_40400</v>
      </c>
      <c r="G214" s="320" t="s">
        <v>2523</v>
      </c>
      <c r="H214" s="322">
        <v>2</v>
      </c>
      <c r="I214" s="321">
        <f t="shared" si="14"/>
        <v>0.10526315789473684</v>
      </c>
      <c r="J214" s="338" t="s">
        <v>2514</v>
      </c>
      <c r="K214" s="322"/>
      <c r="L214" s="324"/>
      <c r="M214" s="322"/>
    </row>
    <row r="215" spans="1:13" ht="16">
      <c r="A215" s="316" t="s">
        <v>2095</v>
      </c>
      <c r="B215" s="348" t="s">
        <v>49</v>
      </c>
      <c r="C215" s="348" t="s">
        <v>175</v>
      </c>
      <c r="D215" s="349" t="s">
        <v>2442</v>
      </c>
      <c r="E215" s="345" t="s">
        <v>2524</v>
      </c>
      <c r="F215" s="319" t="str">
        <f>VLOOKUP(D215,[2]CSR!$D$4:$E$1180,2,FALSE)</f>
        <v>CSR_40500</v>
      </c>
      <c r="G215" s="320" t="s">
        <v>2525</v>
      </c>
      <c r="H215" s="322">
        <v>4</v>
      </c>
      <c r="I215" s="321">
        <f t="shared" si="14"/>
        <v>0.21052631578947367</v>
      </c>
      <c r="J215" s="338" t="s">
        <v>2514</v>
      </c>
      <c r="K215" s="324"/>
      <c r="L215" s="324"/>
      <c r="M215" s="322"/>
    </row>
    <row r="216" spans="1:13" ht="16">
      <c r="A216" s="316" t="s">
        <v>2095</v>
      </c>
      <c r="B216" s="317" t="s">
        <v>2419</v>
      </c>
      <c r="C216" s="317" t="s">
        <v>2418</v>
      </c>
      <c r="D216" s="318" t="s">
        <v>18</v>
      </c>
      <c r="E216" s="318" t="s">
        <v>2526</v>
      </c>
      <c r="F216" s="319" t="str">
        <f>VLOOKUP(D216,[2]CSR!$D$4:$E$1180,2,FALSE)</f>
        <v>CSR_11300</v>
      </c>
      <c r="G216" s="320" t="s">
        <v>2527</v>
      </c>
      <c r="H216" s="322">
        <v>4</v>
      </c>
      <c r="I216" s="321">
        <f t="shared" si="14"/>
        <v>0.21052631578947367</v>
      </c>
      <c r="J216" s="338" t="s">
        <v>2514</v>
      </c>
      <c r="K216" s="322"/>
      <c r="L216" s="324"/>
      <c r="M216" s="322"/>
    </row>
    <row r="217" spans="1:13" ht="16">
      <c r="A217" s="316" t="s">
        <v>2470</v>
      </c>
      <c r="B217" s="317" t="s">
        <v>16</v>
      </c>
      <c r="C217" s="317" t="s">
        <v>17</v>
      </c>
      <c r="D217" s="326" t="s">
        <v>2079</v>
      </c>
      <c r="E217" s="345" t="s">
        <v>2528</v>
      </c>
      <c r="F217" s="319" t="str">
        <f>VLOOKUP(D217,[2]CSR!$D$4:$E$1180,2,FALSE)</f>
        <v>CSR_10201</v>
      </c>
      <c r="G217" s="320" t="s">
        <v>2490</v>
      </c>
      <c r="H217" s="322">
        <v>3</v>
      </c>
      <c r="I217" s="321">
        <f t="shared" si="14"/>
        <v>0.15789473684210525</v>
      </c>
      <c r="J217" s="338" t="s">
        <v>2514</v>
      </c>
      <c r="K217" s="322"/>
      <c r="L217" s="324" t="s">
        <v>2420</v>
      </c>
      <c r="M217" s="322" t="s">
        <v>2529</v>
      </c>
    </row>
    <row r="218" spans="1:13" ht="16">
      <c r="A218" s="350" t="s">
        <v>2470</v>
      </c>
      <c r="B218" s="351" t="s">
        <v>2500</v>
      </c>
      <c r="C218" s="351" t="s">
        <v>2501</v>
      </c>
      <c r="D218" s="352" t="s">
        <v>748</v>
      </c>
      <c r="E218" s="353" t="s">
        <v>2530</v>
      </c>
      <c r="F218" s="354" t="str">
        <f>VLOOKUP(D218,[2]CSR!$D$4:$E$1180,2,FALSE)</f>
        <v>CSR_20007</v>
      </c>
      <c r="G218" s="355">
        <v>46182</v>
      </c>
      <c r="H218" s="356">
        <v>2</v>
      </c>
      <c r="I218" s="357">
        <f t="shared" si="14"/>
        <v>0.10526315789473684</v>
      </c>
      <c r="J218" s="358" t="s">
        <v>2531</v>
      </c>
      <c r="K218" s="358"/>
      <c r="L218" s="358" t="s">
        <v>2420</v>
      </c>
      <c r="M218" s="353"/>
    </row>
    <row r="219" spans="1:13">
      <c r="A219" s="198"/>
      <c r="B219" s="220"/>
      <c r="C219" s="220"/>
      <c r="D219" s="209"/>
      <c r="E219" s="201"/>
      <c r="F219" s="202"/>
      <c r="G219" s="203"/>
      <c r="H219" s="204"/>
      <c r="I219" s="205"/>
      <c r="J219" s="206"/>
      <c r="K219" s="201"/>
      <c r="L219" s="201"/>
      <c r="M219" s="201"/>
    </row>
    <row r="220" spans="1:13">
      <c r="A220" s="198"/>
      <c r="B220" s="199"/>
      <c r="C220" s="199"/>
      <c r="D220" s="200"/>
      <c r="E220" s="201"/>
      <c r="F220" s="202"/>
      <c r="G220" s="203"/>
      <c r="H220" s="204"/>
      <c r="I220" s="205"/>
      <c r="J220" s="206"/>
      <c r="K220" s="201"/>
      <c r="L220" s="201"/>
      <c r="M220" s="201"/>
    </row>
    <row r="221" spans="1:13">
      <c r="A221" s="198"/>
      <c r="B221" s="220"/>
      <c r="C221" s="220"/>
      <c r="D221" s="209"/>
      <c r="E221" s="201"/>
      <c r="F221" s="202"/>
      <c r="G221" s="203"/>
      <c r="H221" s="204"/>
      <c r="I221" s="205"/>
      <c r="J221" s="206"/>
      <c r="K221" s="201"/>
      <c r="L221" s="201"/>
      <c r="M221" s="201"/>
    </row>
    <row r="222" spans="1:13">
      <c r="A222" s="198"/>
      <c r="B222" s="199"/>
      <c r="C222" s="199"/>
      <c r="D222" s="200"/>
      <c r="E222" s="201"/>
      <c r="F222" s="202"/>
      <c r="G222" s="203"/>
      <c r="H222" s="204"/>
      <c r="I222" s="205"/>
      <c r="J222" s="206"/>
      <c r="K222" s="201"/>
      <c r="L222" s="201"/>
      <c r="M222" s="201"/>
    </row>
    <row r="223" spans="1:13">
      <c r="A223" s="198"/>
      <c r="B223" s="220"/>
      <c r="C223" s="220"/>
      <c r="D223" s="209"/>
      <c r="E223" s="201"/>
      <c r="F223" s="202"/>
      <c r="G223" s="203"/>
      <c r="H223" s="204"/>
      <c r="I223" s="205"/>
      <c r="J223" s="206"/>
      <c r="K223" s="201"/>
      <c r="L223" s="201"/>
      <c r="M223" s="201"/>
    </row>
    <row r="224" spans="1:13">
      <c r="A224" s="198"/>
      <c r="B224" s="199"/>
      <c r="C224" s="199"/>
      <c r="D224" s="200"/>
      <c r="E224" s="201"/>
      <c r="F224" s="202"/>
      <c r="G224" s="203"/>
      <c r="H224" s="204"/>
      <c r="I224" s="205"/>
      <c r="J224" s="206"/>
      <c r="K224" s="201"/>
      <c r="L224" s="201"/>
      <c r="M224" s="201"/>
    </row>
    <row r="225" spans="1:13">
      <c r="A225" s="198"/>
      <c r="B225" s="199"/>
      <c r="C225" s="199"/>
      <c r="D225" s="200"/>
      <c r="E225" s="201"/>
      <c r="F225" s="202"/>
      <c r="G225" s="203"/>
      <c r="H225" s="204"/>
      <c r="I225" s="205"/>
      <c r="J225" s="206"/>
      <c r="K225" s="201"/>
      <c r="L225" s="201"/>
      <c r="M225" s="201"/>
    </row>
    <row r="226" spans="1:13">
      <c r="A226" s="198"/>
      <c r="B226" s="199"/>
      <c r="C226" s="199"/>
      <c r="D226" s="207"/>
      <c r="E226" s="201"/>
      <c r="F226" s="202"/>
      <c r="G226" s="203"/>
      <c r="H226" s="204"/>
      <c r="I226" s="205"/>
      <c r="J226" s="206"/>
      <c r="K226" s="201"/>
      <c r="L226" s="201"/>
      <c r="M226" s="201"/>
    </row>
    <row r="227" spans="1:13">
      <c r="A227" s="198"/>
      <c r="B227" s="199"/>
      <c r="C227" s="199"/>
      <c r="D227" s="207"/>
      <c r="E227" s="201"/>
      <c r="F227" s="202"/>
      <c r="G227" s="203"/>
      <c r="H227" s="204"/>
      <c r="I227" s="205"/>
      <c r="J227" s="206"/>
      <c r="K227" s="201"/>
      <c r="L227" s="201"/>
      <c r="M227" s="201"/>
    </row>
    <row r="228" spans="1:13">
      <c r="A228" s="198"/>
      <c r="B228" s="199"/>
      <c r="C228" s="199"/>
      <c r="D228" s="200"/>
      <c r="E228" s="201"/>
      <c r="F228" s="202"/>
      <c r="G228" s="203"/>
      <c r="H228" s="204"/>
      <c r="I228" s="205"/>
      <c r="J228" s="206"/>
      <c r="K228" s="201"/>
      <c r="L228" s="201"/>
      <c r="M228" s="201"/>
    </row>
    <row r="229" spans="1:13">
      <c r="A229" s="198"/>
      <c r="B229" s="199"/>
      <c r="C229" s="199"/>
      <c r="D229" s="208"/>
      <c r="E229" s="201"/>
      <c r="F229" s="202"/>
      <c r="G229" s="203"/>
      <c r="H229" s="204"/>
      <c r="I229" s="205"/>
      <c r="J229" s="206"/>
      <c r="K229" s="201"/>
      <c r="L229" s="201"/>
      <c r="M229" s="201"/>
    </row>
    <row r="230" spans="1:13">
      <c r="A230" s="198"/>
      <c r="B230" s="199"/>
      <c r="C230" s="199"/>
      <c r="D230" s="200"/>
      <c r="E230" s="201"/>
      <c r="F230" s="202"/>
      <c r="G230" s="203"/>
      <c r="H230" s="204"/>
      <c r="I230" s="205"/>
      <c r="J230" s="206"/>
      <c r="K230" s="201"/>
      <c r="L230" s="201"/>
      <c r="M230" s="201"/>
    </row>
    <row r="231" spans="1:13">
      <c r="A231" s="198"/>
      <c r="B231" s="199"/>
      <c r="C231" s="199"/>
      <c r="D231" s="200"/>
      <c r="E231" s="201"/>
      <c r="F231" s="202"/>
      <c r="G231" s="203"/>
      <c r="H231" s="204"/>
      <c r="I231" s="205"/>
      <c r="J231" s="206"/>
      <c r="K231" s="201"/>
      <c r="L231" s="201"/>
      <c r="M231" s="201"/>
    </row>
    <row r="232" spans="1:13">
      <c r="A232" s="198"/>
      <c r="B232" s="199"/>
      <c r="C232" s="199"/>
      <c r="D232" s="200"/>
      <c r="E232" s="201"/>
      <c r="F232" s="202"/>
      <c r="G232" s="203"/>
      <c r="H232" s="204"/>
      <c r="I232" s="205"/>
      <c r="J232" s="206"/>
      <c r="K232" s="201"/>
      <c r="L232" s="201"/>
      <c r="M232" s="201"/>
    </row>
    <row r="233" spans="1:13">
      <c r="A233" s="198"/>
      <c r="B233" s="199"/>
      <c r="C233" s="199"/>
      <c r="D233" s="200"/>
      <c r="E233" s="201"/>
      <c r="F233" s="202"/>
      <c r="G233" s="203"/>
      <c r="H233" s="204"/>
      <c r="I233" s="205"/>
      <c r="J233" s="206"/>
      <c r="K233" s="201"/>
      <c r="L233" s="201"/>
      <c r="M233" s="201"/>
    </row>
    <row r="234" spans="1:13">
      <c r="A234" s="198"/>
      <c r="B234" s="199"/>
      <c r="C234" s="199"/>
      <c r="D234" s="200"/>
      <c r="E234" s="201"/>
      <c r="F234" s="202"/>
      <c r="G234" s="203"/>
      <c r="H234" s="204"/>
      <c r="I234" s="205"/>
      <c r="J234" s="206"/>
      <c r="K234" s="201"/>
      <c r="L234" s="201"/>
      <c r="M234" s="201"/>
    </row>
    <row r="235" spans="1:13">
      <c r="A235" s="198"/>
      <c r="B235" s="199"/>
      <c r="C235" s="199"/>
      <c r="D235" s="200"/>
      <c r="E235" s="201"/>
      <c r="F235" s="202"/>
      <c r="G235" s="203"/>
      <c r="H235" s="204"/>
      <c r="I235" s="205"/>
      <c r="J235" s="206"/>
      <c r="K235" s="201"/>
      <c r="L235" s="201"/>
      <c r="M235" s="201"/>
    </row>
    <row r="236" spans="1:13">
      <c r="A236" s="198"/>
      <c r="B236" s="199"/>
      <c r="C236" s="199"/>
      <c r="D236" s="200"/>
      <c r="E236" s="201"/>
      <c r="F236" s="202"/>
      <c r="G236" s="203"/>
      <c r="H236" s="204"/>
      <c r="I236" s="205"/>
      <c r="J236" s="206"/>
      <c r="K236" s="201"/>
      <c r="L236" s="201"/>
      <c r="M236" s="201"/>
    </row>
    <row r="237" spans="1:13">
      <c r="A237" s="198"/>
      <c r="B237" s="199"/>
      <c r="C237" s="199"/>
      <c r="D237" s="200"/>
      <c r="E237" s="201"/>
      <c r="F237" s="202"/>
      <c r="G237" s="203"/>
      <c r="H237" s="204"/>
      <c r="I237" s="205"/>
      <c r="J237" s="206"/>
      <c r="K237" s="201"/>
      <c r="L237" s="201"/>
      <c r="M237" s="201"/>
    </row>
    <row r="238" spans="1:13">
      <c r="A238" s="198"/>
      <c r="B238" s="199"/>
      <c r="C238" s="199"/>
      <c r="D238" s="200"/>
      <c r="E238" s="201"/>
      <c r="F238" s="202"/>
      <c r="G238" s="203"/>
      <c r="H238" s="204"/>
      <c r="I238" s="205"/>
      <c r="J238" s="206"/>
      <c r="K238" s="201"/>
      <c r="L238" s="201"/>
      <c r="M238" s="201"/>
    </row>
    <row r="239" spans="1:13">
      <c r="A239" s="198"/>
      <c r="B239" s="199"/>
      <c r="C239" s="199"/>
      <c r="D239" s="200"/>
      <c r="E239" s="201"/>
      <c r="F239" s="202"/>
      <c r="G239" s="203"/>
      <c r="H239" s="204"/>
      <c r="I239" s="205"/>
      <c r="J239" s="206"/>
      <c r="K239" s="201"/>
      <c r="L239" s="201"/>
      <c r="M239" s="201"/>
    </row>
    <row r="240" spans="1:13">
      <c r="A240" s="198"/>
      <c r="B240" s="199"/>
      <c r="C240" s="199"/>
      <c r="D240" s="200"/>
      <c r="E240" s="201"/>
      <c r="F240" s="202"/>
      <c r="G240" s="203"/>
      <c r="H240" s="204"/>
      <c r="I240" s="205"/>
      <c r="J240" s="206"/>
      <c r="K240" s="201"/>
      <c r="L240" s="201"/>
      <c r="M240" s="201"/>
    </row>
    <row r="241" spans="1:13">
      <c r="A241" s="198"/>
      <c r="B241" s="213"/>
      <c r="C241" s="213"/>
      <c r="D241" s="200"/>
      <c r="E241" s="201"/>
      <c r="F241" s="202"/>
      <c r="G241" s="203"/>
      <c r="H241" s="204"/>
      <c r="I241" s="205"/>
      <c r="J241" s="206"/>
      <c r="K241" s="201"/>
      <c r="L241" s="201"/>
      <c r="M241" s="201"/>
    </row>
    <row r="242" spans="1:13">
      <c r="A242" s="198"/>
      <c r="B242" s="213"/>
      <c r="C242" s="213"/>
      <c r="D242" s="200"/>
      <c r="E242" s="201"/>
      <c r="F242" s="202"/>
      <c r="G242" s="203"/>
      <c r="H242" s="204"/>
      <c r="I242" s="205"/>
      <c r="J242" s="206"/>
      <c r="K242" s="201"/>
      <c r="L242" s="201"/>
      <c r="M242" s="201"/>
    </row>
    <row r="243" spans="1:13">
      <c r="A243" s="198"/>
      <c r="B243" s="199"/>
      <c r="C243" s="199"/>
      <c r="D243" s="200"/>
      <c r="E243" s="201"/>
      <c r="F243" s="202"/>
      <c r="G243" s="203"/>
      <c r="H243" s="204"/>
      <c r="I243" s="205"/>
      <c r="J243" s="206"/>
      <c r="K243" s="201"/>
      <c r="L243" s="201"/>
      <c r="M243" s="201"/>
    </row>
    <row r="244" spans="1:13">
      <c r="A244" s="198"/>
      <c r="B244" s="199"/>
      <c r="C244" s="199"/>
      <c r="D244" s="200"/>
      <c r="E244" s="201"/>
      <c r="F244" s="202"/>
      <c r="G244" s="203"/>
      <c r="H244" s="204"/>
      <c r="I244" s="205"/>
      <c r="J244" s="206"/>
      <c r="K244" s="201"/>
      <c r="L244" s="201"/>
      <c r="M244" s="201"/>
    </row>
    <row r="245" spans="1:13">
      <c r="A245" s="198"/>
      <c r="B245" s="199"/>
      <c r="C245" s="199"/>
      <c r="D245" s="200"/>
      <c r="E245" s="201"/>
      <c r="F245" s="202"/>
      <c r="G245" s="203"/>
      <c r="H245" s="204"/>
      <c r="I245" s="205"/>
      <c r="J245" s="206"/>
      <c r="K245" s="201"/>
      <c r="L245" s="201"/>
      <c r="M245" s="201"/>
    </row>
    <row r="246" spans="1:13">
      <c r="A246" s="198"/>
      <c r="B246" s="199"/>
      <c r="C246" s="199"/>
      <c r="D246" s="200"/>
      <c r="E246" s="201"/>
      <c r="F246" s="202"/>
      <c r="G246" s="203"/>
      <c r="H246" s="204"/>
      <c r="I246" s="205"/>
      <c r="J246" s="206"/>
      <c r="K246" s="201"/>
      <c r="L246" s="201"/>
      <c r="M246" s="201"/>
    </row>
    <row r="247" spans="1:13">
      <c r="A247" s="198"/>
      <c r="B247" s="199"/>
      <c r="C247" s="199"/>
      <c r="D247" s="207"/>
      <c r="E247" s="201"/>
      <c r="F247" s="202"/>
      <c r="G247" s="203"/>
      <c r="H247" s="204"/>
      <c r="I247" s="205"/>
      <c r="J247" s="206"/>
      <c r="K247" s="201"/>
      <c r="L247" s="201"/>
      <c r="M247" s="201"/>
    </row>
    <row r="248" spans="1:13">
      <c r="A248" s="198"/>
      <c r="B248" s="199"/>
      <c r="C248" s="199"/>
      <c r="D248" s="207"/>
      <c r="E248" s="201"/>
      <c r="F248" s="202"/>
      <c r="G248" s="203"/>
      <c r="H248" s="204"/>
      <c r="I248" s="205"/>
      <c r="J248" s="206"/>
      <c r="K248" s="201"/>
      <c r="L248" s="201"/>
      <c r="M248" s="201"/>
    </row>
    <row r="249" spans="1:13">
      <c r="A249" s="198"/>
      <c r="B249" s="199"/>
      <c r="C249" s="199"/>
      <c r="D249" s="200"/>
      <c r="E249" s="201"/>
      <c r="F249" s="202"/>
      <c r="G249" s="203"/>
      <c r="H249" s="204"/>
      <c r="I249" s="205"/>
      <c r="J249" s="206"/>
      <c r="K249" s="201"/>
      <c r="L249" s="201"/>
      <c r="M249" s="201"/>
    </row>
    <row r="250" spans="1:13">
      <c r="A250" s="198"/>
      <c r="B250" s="199"/>
      <c r="C250" s="199"/>
      <c r="D250" s="200"/>
      <c r="E250" s="201"/>
      <c r="F250" s="202"/>
      <c r="G250" s="203"/>
      <c r="H250" s="204"/>
      <c r="I250" s="205"/>
      <c r="J250" s="206"/>
      <c r="K250" s="201"/>
      <c r="L250" s="201"/>
      <c r="M250" s="201"/>
    </row>
    <row r="251" spans="1:13">
      <c r="A251" s="198"/>
      <c r="B251" s="199"/>
      <c r="C251" s="199"/>
      <c r="D251" s="200"/>
      <c r="E251" s="201"/>
      <c r="F251" s="202"/>
      <c r="G251" s="203"/>
      <c r="H251" s="204"/>
      <c r="I251" s="205"/>
      <c r="J251" s="206"/>
      <c r="K251" s="201"/>
      <c r="L251" s="201"/>
      <c r="M251" s="201"/>
    </row>
    <row r="252" spans="1:13">
      <c r="A252" s="198"/>
      <c r="B252" s="213"/>
      <c r="C252" s="213"/>
      <c r="D252" s="200"/>
      <c r="E252" s="201"/>
      <c r="F252" s="202"/>
      <c r="G252" s="203"/>
      <c r="H252" s="204"/>
      <c r="I252" s="205"/>
      <c r="J252" s="206"/>
      <c r="K252" s="201"/>
      <c r="L252" s="201"/>
      <c r="M252" s="201"/>
    </row>
    <row r="253" spans="1:13">
      <c r="A253" s="198"/>
      <c r="B253" s="199"/>
      <c r="C253" s="199"/>
      <c r="D253" s="200"/>
      <c r="E253" s="201"/>
      <c r="F253" s="202"/>
      <c r="G253" s="203"/>
      <c r="H253" s="204"/>
      <c r="I253" s="205"/>
      <c r="J253" s="206"/>
      <c r="K253" s="201"/>
      <c r="L253" s="201"/>
      <c r="M253" s="201"/>
    </row>
    <row r="254" spans="1:13">
      <c r="A254" s="198"/>
      <c r="B254" s="199"/>
      <c r="C254" s="199"/>
      <c r="D254" s="200"/>
      <c r="E254" s="201"/>
      <c r="F254" s="202"/>
      <c r="G254" s="203"/>
      <c r="H254" s="204"/>
      <c r="I254" s="205"/>
      <c r="J254" s="206"/>
      <c r="K254" s="201"/>
      <c r="L254" s="201"/>
      <c r="M254" s="201"/>
    </row>
    <row r="255" spans="1:13">
      <c r="A255" s="198"/>
      <c r="B255" s="199"/>
      <c r="C255" s="199"/>
      <c r="D255" s="200"/>
      <c r="E255" s="201"/>
      <c r="F255" s="202"/>
      <c r="G255" s="203"/>
      <c r="H255" s="204"/>
      <c r="I255" s="205"/>
      <c r="J255" s="206"/>
      <c r="K255" s="201"/>
      <c r="L255" s="201"/>
      <c r="M255" s="201"/>
    </row>
    <row r="256" spans="1:13">
      <c r="A256" s="198"/>
      <c r="B256" s="199"/>
      <c r="C256" s="199"/>
      <c r="D256" s="207"/>
      <c r="E256" s="201"/>
      <c r="F256" s="202"/>
      <c r="G256" s="203"/>
      <c r="H256" s="204"/>
      <c r="I256" s="205"/>
      <c r="J256" s="206"/>
      <c r="K256" s="201"/>
      <c r="L256" s="201"/>
      <c r="M256" s="201"/>
    </row>
    <row r="257" spans="1:13">
      <c r="A257" s="198"/>
      <c r="B257" s="199"/>
      <c r="C257" s="199"/>
      <c r="D257" s="207"/>
      <c r="E257" s="201"/>
      <c r="F257" s="202"/>
      <c r="G257" s="203"/>
      <c r="H257" s="204"/>
      <c r="I257" s="205"/>
      <c r="J257" s="206"/>
      <c r="K257" s="201"/>
      <c r="L257" s="201"/>
      <c r="M257" s="201"/>
    </row>
    <row r="258" spans="1:13">
      <c r="A258" s="198"/>
      <c r="B258" s="199"/>
      <c r="C258" s="199"/>
      <c r="D258" s="207"/>
      <c r="E258" s="201"/>
      <c r="F258" s="202"/>
      <c r="G258" s="203"/>
      <c r="H258" s="204"/>
      <c r="I258" s="205"/>
      <c r="J258" s="206"/>
      <c r="K258" s="201"/>
      <c r="L258" s="201"/>
      <c r="M258" s="201"/>
    </row>
    <row r="259" spans="1:13">
      <c r="A259" s="198"/>
      <c r="B259" s="199"/>
      <c r="C259" s="199"/>
      <c r="D259" s="200"/>
      <c r="E259" s="201"/>
      <c r="F259" s="202"/>
      <c r="G259" s="203"/>
      <c r="H259" s="204"/>
      <c r="I259" s="205"/>
      <c r="J259" s="206"/>
      <c r="K259" s="201"/>
      <c r="L259" s="201"/>
      <c r="M259" s="201"/>
    </row>
    <row r="260" spans="1:13">
      <c r="A260" s="198"/>
      <c r="B260" s="199"/>
      <c r="C260" s="199"/>
      <c r="D260" s="221"/>
      <c r="E260" s="201"/>
      <c r="F260" s="202"/>
      <c r="G260" s="203"/>
      <c r="H260" s="204"/>
      <c r="I260" s="205"/>
      <c r="J260" s="206"/>
      <c r="K260" s="201"/>
      <c r="L260" s="201"/>
      <c r="M260" s="201"/>
    </row>
    <row r="261" spans="1:13">
      <c r="A261" s="198"/>
      <c r="B261" s="213"/>
      <c r="C261" s="213"/>
      <c r="D261" s="200"/>
      <c r="E261" s="201"/>
      <c r="F261" s="202"/>
      <c r="G261" s="203"/>
      <c r="H261" s="204"/>
      <c r="I261" s="205"/>
      <c r="J261" s="206"/>
      <c r="K261" s="201"/>
      <c r="L261" s="201"/>
      <c r="M261" s="201"/>
    </row>
    <row r="262" spans="1:13">
      <c r="A262" s="198"/>
      <c r="B262" s="213"/>
      <c r="C262" s="213"/>
      <c r="D262" s="200"/>
      <c r="E262" s="201"/>
      <c r="F262" s="202"/>
      <c r="G262" s="203"/>
      <c r="H262" s="204"/>
      <c r="I262" s="205"/>
      <c r="J262" s="206"/>
      <c r="K262" s="201"/>
      <c r="L262" s="201"/>
      <c r="M262" s="201"/>
    </row>
    <row r="263" spans="1:13">
      <c r="A263" s="198"/>
      <c r="B263" s="199"/>
      <c r="C263" s="199"/>
      <c r="D263" s="200"/>
      <c r="E263" s="201"/>
      <c r="F263" s="202"/>
      <c r="G263" s="203"/>
      <c r="H263" s="204"/>
      <c r="I263" s="205"/>
      <c r="J263" s="206"/>
      <c r="K263" s="201"/>
      <c r="L263" s="201"/>
      <c r="M263" s="201"/>
    </row>
    <row r="264" spans="1:13">
      <c r="A264" s="198"/>
      <c r="B264" s="213"/>
      <c r="C264" s="213"/>
      <c r="D264" s="200"/>
      <c r="E264" s="201"/>
      <c r="F264" s="202"/>
      <c r="G264" s="203"/>
      <c r="H264" s="204"/>
      <c r="I264" s="205"/>
      <c r="J264" s="206"/>
      <c r="K264" s="201"/>
      <c r="L264" s="201"/>
      <c r="M264" s="201"/>
    </row>
    <row r="265" spans="1:13">
      <c r="A265" s="198"/>
      <c r="B265" s="199"/>
      <c r="C265" s="199"/>
      <c r="D265" s="200"/>
      <c r="E265" s="201"/>
      <c r="F265" s="202"/>
      <c r="G265" s="203"/>
      <c r="H265" s="204"/>
      <c r="I265" s="205"/>
      <c r="J265" s="206"/>
      <c r="K265" s="201"/>
      <c r="L265" s="201"/>
      <c r="M265" s="201"/>
    </row>
    <row r="266" spans="1:13">
      <c r="A266" s="198"/>
      <c r="B266" s="199"/>
      <c r="C266" s="199"/>
      <c r="D266" s="200"/>
      <c r="E266" s="201"/>
      <c r="F266" s="202"/>
      <c r="G266" s="203"/>
      <c r="H266" s="204"/>
      <c r="I266" s="205"/>
      <c r="J266" s="206"/>
      <c r="K266" s="201"/>
      <c r="L266" s="201"/>
      <c r="M266" s="201"/>
    </row>
    <row r="267" spans="1:13">
      <c r="A267" s="198"/>
      <c r="B267" s="199"/>
      <c r="C267" s="199"/>
      <c r="D267" s="200"/>
      <c r="E267" s="201"/>
      <c r="F267" s="202"/>
      <c r="G267" s="203"/>
      <c r="H267" s="204"/>
      <c r="I267" s="205"/>
      <c r="J267" s="206"/>
      <c r="K267" s="201"/>
      <c r="L267" s="201"/>
      <c r="M267" s="201"/>
    </row>
    <row r="268" spans="1:13">
      <c r="A268" s="198"/>
      <c r="B268" s="199"/>
      <c r="C268" s="199"/>
      <c r="D268" s="200"/>
      <c r="E268" s="201"/>
      <c r="F268" s="202"/>
      <c r="G268" s="203"/>
      <c r="H268" s="204"/>
      <c r="I268" s="205"/>
      <c r="J268" s="206"/>
      <c r="K268" s="201"/>
      <c r="L268" s="201"/>
      <c r="M268" s="201"/>
    </row>
    <row r="269" spans="1:13">
      <c r="A269" s="198"/>
      <c r="B269" s="199"/>
      <c r="C269" s="199"/>
      <c r="D269" s="200"/>
      <c r="E269" s="201"/>
      <c r="F269" s="202"/>
      <c r="G269" s="203"/>
      <c r="H269" s="204"/>
      <c r="I269" s="205"/>
      <c r="J269" s="206"/>
      <c r="K269" s="201"/>
      <c r="L269" s="201"/>
      <c r="M269" s="201"/>
    </row>
    <row r="270" spans="1:13">
      <c r="A270" s="198"/>
      <c r="B270" s="199"/>
      <c r="C270" s="199"/>
      <c r="D270" s="200"/>
      <c r="E270" s="201"/>
      <c r="F270" s="202"/>
      <c r="G270" s="203"/>
      <c r="H270" s="204"/>
      <c r="I270" s="205"/>
      <c r="J270" s="206"/>
      <c r="K270" s="201"/>
      <c r="L270" s="201"/>
      <c r="M270" s="201"/>
    </row>
    <row r="271" spans="1:13">
      <c r="A271" s="198"/>
      <c r="B271" s="199"/>
      <c r="C271" s="199"/>
      <c r="D271" s="200"/>
      <c r="E271" s="201"/>
      <c r="F271" s="202"/>
      <c r="G271" s="203"/>
      <c r="H271" s="204"/>
      <c r="I271" s="205"/>
      <c r="J271" s="206"/>
      <c r="K271" s="201"/>
      <c r="L271" s="201"/>
      <c r="M271" s="201"/>
    </row>
    <row r="272" spans="1:13">
      <c r="A272" s="198"/>
      <c r="B272" s="199"/>
      <c r="C272" s="199"/>
      <c r="D272" s="200"/>
      <c r="E272" s="201"/>
      <c r="F272" s="202"/>
      <c r="G272" s="203"/>
      <c r="H272" s="204"/>
      <c r="I272" s="205"/>
      <c r="J272" s="206"/>
      <c r="K272" s="201"/>
      <c r="L272" s="201"/>
      <c r="M272" s="201"/>
    </row>
    <row r="273" spans="1:13">
      <c r="A273" s="198"/>
      <c r="B273" s="199"/>
      <c r="C273" s="199"/>
      <c r="D273" s="200"/>
      <c r="E273" s="201"/>
      <c r="F273" s="202"/>
      <c r="G273" s="203"/>
      <c r="H273" s="204"/>
      <c r="I273" s="205"/>
      <c r="J273" s="206"/>
      <c r="K273" s="201"/>
      <c r="L273" s="201"/>
      <c r="M273" s="201"/>
    </row>
    <row r="274" spans="1:13">
      <c r="A274" s="198"/>
      <c r="B274" s="199"/>
      <c r="C274" s="199"/>
      <c r="D274" s="200"/>
      <c r="E274" s="201"/>
      <c r="F274" s="202"/>
      <c r="G274" s="203"/>
      <c r="H274" s="204"/>
      <c r="I274" s="205"/>
      <c r="J274" s="206"/>
      <c r="K274" s="201"/>
      <c r="L274" s="201"/>
      <c r="M274" s="201"/>
    </row>
    <row r="275" spans="1:13">
      <c r="A275" s="198"/>
      <c r="B275" s="199"/>
      <c r="C275" s="199"/>
      <c r="D275" s="200"/>
      <c r="E275" s="201"/>
      <c r="F275" s="202"/>
      <c r="G275" s="203"/>
      <c r="H275" s="204"/>
      <c r="I275" s="205"/>
      <c r="J275" s="206"/>
      <c r="K275" s="201"/>
      <c r="L275" s="201"/>
      <c r="M275" s="201"/>
    </row>
    <row r="276" spans="1:13">
      <c r="A276" s="198"/>
      <c r="B276" s="199"/>
      <c r="C276" s="199"/>
      <c r="D276" s="200"/>
      <c r="E276" s="201"/>
      <c r="F276" s="202"/>
      <c r="G276" s="203"/>
      <c r="H276" s="204"/>
      <c r="I276" s="205"/>
      <c r="J276" s="206"/>
      <c r="K276" s="201"/>
      <c r="L276" s="201"/>
      <c r="M276" s="201"/>
    </row>
    <row r="277" spans="1:13">
      <c r="A277" s="198"/>
      <c r="B277" s="199"/>
      <c r="C277" s="199"/>
      <c r="D277" s="200"/>
      <c r="E277" s="201"/>
      <c r="F277" s="202"/>
      <c r="G277" s="203"/>
      <c r="H277" s="204"/>
      <c r="I277" s="205"/>
      <c r="J277" s="206"/>
      <c r="K277" s="201"/>
      <c r="L277" s="201"/>
      <c r="M277" s="201"/>
    </row>
    <row r="278" spans="1:13">
      <c r="A278" s="198"/>
      <c r="B278" s="199"/>
      <c r="C278" s="199"/>
      <c r="D278" s="200"/>
      <c r="E278" s="201"/>
      <c r="F278" s="202"/>
      <c r="G278" s="203"/>
      <c r="H278" s="204"/>
      <c r="I278" s="205"/>
      <c r="J278" s="206"/>
      <c r="K278" s="201"/>
      <c r="L278" s="201"/>
      <c r="M278" s="201"/>
    </row>
    <row r="279" spans="1:13">
      <c r="A279" s="198"/>
      <c r="B279" s="199"/>
      <c r="C279" s="199"/>
      <c r="D279" s="200"/>
      <c r="E279" s="201"/>
      <c r="F279" s="202"/>
      <c r="G279" s="203"/>
      <c r="H279" s="204"/>
      <c r="I279" s="205"/>
      <c r="J279" s="206"/>
      <c r="K279" s="201"/>
      <c r="L279" s="201"/>
      <c r="M279" s="201"/>
    </row>
    <row r="280" spans="1:13">
      <c r="A280" s="198"/>
      <c r="B280" s="199"/>
      <c r="C280" s="199"/>
      <c r="D280" s="200"/>
      <c r="E280" s="201"/>
      <c r="F280" s="202"/>
      <c r="G280" s="203"/>
      <c r="H280" s="204"/>
      <c r="I280" s="205"/>
      <c r="J280" s="206"/>
      <c r="K280" s="201"/>
      <c r="L280" s="201"/>
      <c r="M280" s="201"/>
    </row>
    <row r="281" spans="1:13">
      <c r="A281" s="198"/>
      <c r="B281" s="199"/>
      <c r="C281" s="199"/>
      <c r="D281" s="200"/>
      <c r="E281" s="201"/>
      <c r="F281" s="202"/>
      <c r="G281" s="203"/>
      <c r="H281" s="204"/>
      <c r="I281" s="205"/>
      <c r="J281" s="206"/>
      <c r="K281" s="201"/>
      <c r="L281" s="201"/>
      <c r="M281" s="201"/>
    </row>
    <row r="282" spans="1:13">
      <c r="A282" s="198"/>
      <c r="B282" s="199"/>
      <c r="C282" s="199"/>
      <c r="D282" s="200"/>
      <c r="E282" s="201"/>
      <c r="F282" s="202"/>
      <c r="G282" s="203"/>
      <c r="H282" s="204"/>
      <c r="I282" s="205"/>
      <c r="J282" s="206"/>
      <c r="K282" s="201"/>
      <c r="L282" s="201"/>
      <c r="M282" s="201"/>
    </row>
    <row r="283" spans="1:13">
      <c r="A283" s="198"/>
      <c r="B283" s="199"/>
      <c r="C283" s="199"/>
      <c r="D283" s="200"/>
      <c r="E283" s="201"/>
      <c r="F283" s="202"/>
      <c r="G283" s="203"/>
      <c r="H283" s="204"/>
      <c r="I283" s="205"/>
      <c r="J283" s="206"/>
      <c r="K283" s="201"/>
      <c r="L283" s="201"/>
      <c r="M283" s="201"/>
    </row>
    <row r="284" spans="1:13">
      <c r="A284" s="198"/>
      <c r="B284" s="199"/>
      <c r="C284" s="199"/>
      <c r="D284" s="200"/>
      <c r="E284" s="201"/>
      <c r="F284" s="202"/>
      <c r="G284" s="203"/>
      <c r="H284" s="204"/>
      <c r="I284" s="205"/>
      <c r="J284" s="206"/>
      <c r="K284" s="201"/>
      <c r="L284" s="201"/>
      <c r="M284" s="201"/>
    </row>
    <row r="285" spans="1:13">
      <c r="A285" s="198"/>
      <c r="B285" s="199"/>
      <c r="C285" s="199"/>
      <c r="D285" s="200"/>
      <c r="E285" s="201"/>
      <c r="F285" s="202"/>
      <c r="G285" s="203"/>
      <c r="H285" s="204"/>
      <c r="I285" s="205"/>
      <c r="J285" s="206"/>
      <c r="K285" s="201"/>
      <c r="L285" s="201"/>
      <c r="M285" s="201"/>
    </row>
  </sheetData>
  <autoFilter ref="A1:M166" xr:uid="{00000000-0009-0000-0000-000001000000}"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1:I47"/>
  <sheetViews>
    <sheetView workbookViewId="0">
      <pane ySplit="1" topLeftCell="A2" activePane="bottomLeft" state="frozen"/>
      <selection pane="bottomLeft" activeCell="E62" sqref="E62"/>
    </sheetView>
  </sheetViews>
  <sheetFormatPr baseColWidth="10" defaultColWidth="8.83203125" defaultRowHeight="17"/>
  <cols>
    <col min="1" max="1" width="20" customWidth="1"/>
    <col min="2" max="2" width="14" customWidth="1"/>
    <col min="3" max="3" width="40" customWidth="1"/>
    <col min="4" max="4" width="10" customWidth="1"/>
    <col min="5" max="5" width="40" customWidth="1"/>
    <col min="6" max="6" width="10" customWidth="1"/>
    <col min="7" max="8" width="14" customWidth="1"/>
    <col min="9" max="9" width="40" customWidth="1"/>
  </cols>
  <sheetData>
    <row r="1" spans="1:9">
      <c r="A1" s="369" t="s">
        <v>568</v>
      </c>
      <c r="B1" s="370"/>
      <c r="C1" s="370"/>
      <c r="D1" s="370"/>
      <c r="E1" s="370"/>
      <c r="F1" s="370"/>
      <c r="G1" s="370"/>
      <c r="H1" s="370"/>
      <c r="I1" s="370"/>
    </row>
    <row r="3" spans="1:9">
      <c r="A3" s="371" t="s">
        <v>407</v>
      </c>
      <c r="B3" s="372"/>
      <c r="C3" s="372"/>
      <c r="D3" s="372"/>
      <c r="E3" s="372"/>
      <c r="F3" s="372"/>
      <c r="G3" s="372"/>
    </row>
    <row r="4" spans="1:9" ht="32">
      <c r="A4" s="1" t="s">
        <v>3</v>
      </c>
      <c r="B4" s="1" t="s">
        <v>408</v>
      </c>
      <c r="C4" s="1" t="s">
        <v>23</v>
      </c>
      <c r="D4" s="1" t="s">
        <v>409</v>
      </c>
      <c r="E4" s="1" t="s">
        <v>410</v>
      </c>
      <c r="F4" s="1" t="s">
        <v>411</v>
      </c>
      <c r="G4" s="1" t="s">
        <v>412</v>
      </c>
    </row>
    <row r="5" spans="1:9">
      <c r="A5" s="8" t="s">
        <v>16</v>
      </c>
      <c r="B5" s="8">
        <v>156</v>
      </c>
      <c r="C5" s="8">
        <v>52</v>
      </c>
      <c r="D5" s="8">
        <v>48</v>
      </c>
      <c r="E5" s="8">
        <v>30</v>
      </c>
      <c r="F5" s="8">
        <v>26</v>
      </c>
      <c r="G5" s="8" t="s">
        <v>413</v>
      </c>
    </row>
    <row r="6" spans="1:9">
      <c r="A6" s="8" t="s">
        <v>414</v>
      </c>
      <c r="B6" s="8">
        <v>24</v>
      </c>
      <c r="C6" s="8">
        <v>4</v>
      </c>
      <c r="D6" s="8">
        <v>8</v>
      </c>
      <c r="E6" s="8">
        <v>7</v>
      </c>
      <c r="F6" s="8">
        <v>5</v>
      </c>
      <c r="G6" s="8" t="s">
        <v>415</v>
      </c>
    </row>
    <row r="7" spans="1:9">
      <c r="A7" s="8" t="s">
        <v>31</v>
      </c>
      <c r="B7" s="8">
        <v>52</v>
      </c>
      <c r="C7" s="8">
        <v>14</v>
      </c>
      <c r="D7" s="8">
        <v>18</v>
      </c>
      <c r="E7" s="8">
        <v>12</v>
      </c>
      <c r="F7" s="8">
        <v>8</v>
      </c>
      <c r="G7" s="8" t="s">
        <v>416</v>
      </c>
    </row>
    <row r="8" spans="1:9">
      <c r="A8" s="8" t="s">
        <v>49</v>
      </c>
      <c r="B8" s="8">
        <v>30</v>
      </c>
      <c r="C8" s="8">
        <v>10</v>
      </c>
      <c r="D8" s="8">
        <v>9</v>
      </c>
      <c r="E8" s="8">
        <v>6</v>
      </c>
      <c r="F8" s="8">
        <v>5</v>
      </c>
      <c r="G8" s="8" t="s">
        <v>417</v>
      </c>
    </row>
    <row r="9" spans="1:9">
      <c r="A9" s="11" t="s">
        <v>418</v>
      </c>
      <c r="B9" s="11">
        <v>262</v>
      </c>
      <c r="C9" s="11">
        <v>80</v>
      </c>
      <c r="D9" s="11">
        <v>83</v>
      </c>
      <c r="E9" s="11">
        <v>55</v>
      </c>
      <c r="F9" s="11">
        <v>44</v>
      </c>
      <c r="G9" s="11" t="s">
        <v>419</v>
      </c>
    </row>
    <row r="12" spans="1:9">
      <c r="A12" s="371" t="s">
        <v>420</v>
      </c>
      <c r="B12" s="372"/>
      <c r="C12" s="372"/>
      <c r="D12" s="372"/>
      <c r="E12" s="372"/>
      <c r="F12" s="372"/>
      <c r="G12" s="372"/>
      <c r="H12" s="372"/>
    </row>
    <row r="13" spans="1:9">
      <c r="A13" s="1" t="s">
        <v>421</v>
      </c>
      <c r="B13" s="1" t="s">
        <v>422</v>
      </c>
      <c r="C13" s="1" t="s">
        <v>423</v>
      </c>
      <c r="D13" s="1" t="s">
        <v>424</v>
      </c>
      <c r="E13" s="1" t="s">
        <v>425</v>
      </c>
      <c r="F13" s="1" t="s">
        <v>426</v>
      </c>
      <c r="G13" s="1" t="s">
        <v>427</v>
      </c>
      <c r="H13" s="1" t="s">
        <v>428</v>
      </c>
    </row>
    <row r="14" spans="1:9">
      <c r="A14" s="12" t="s">
        <v>429</v>
      </c>
      <c r="B14" s="12">
        <v>5</v>
      </c>
      <c r="C14" s="12">
        <v>5</v>
      </c>
      <c r="D14" s="12" t="s">
        <v>430</v>
      </c>
      <c r="E14" s="12" t="s">
        <v>431</v>
      </c>
      <c r="F14" s="12" t="s">
        <v>432</v>
      </c>
      <c r="G14" s="12" t="s">
        <v>433</v>
      </c>
      <c r="H14" s="12" t="s">
        <v>434</v>
      </c>
    </row>
    <row r="15" spans="1:9">
      <c r="A15" s="12" t="s">
        <v>435</v>
      </c>
      <c r="B15" s="12">
        <v>4</v>
      </c>
      <c r="C15" s="12">
        <v>4</v>
      </c>
      <c r="D15" s="12" t="s">
        <v>436</v>
      </c>
      <c r="E15" s="12" t="s">
        <v>437</v>
      </c>
      <c r="F15" s="12" t="s">
        <v>438</v>
      </c>
      <c r="G15" s="12" t="s">
        <v>439</v>
      </c>
      <c r="H15" s="12" t="s">
        <v>434</v>
      </c>
    </row>
    <row r="16" spans="1:9">
      <c r="A16" s="8" t="s">
        <v>440</v>
      </c>
      <c r="B16" s="8">
        <v>7</v>
      </c>
      <c r="C16" s="8">
        <v>7</v>
      </c>
      <c r="D16" s="8" t="s">
        <v>441</v>
      </c>
      <c r="E16" s="8" t="s">
        <v>442</v>
      </c>
      <c r="F16" s="8" t="s">
        <v>443</v>
      </c>
      <c r="G16" s="8" t="s">
        <v>444</v>
      </c>
      <c r="H16" s="8" t="s">
        <v>445</v>
      </c>
    </row>
    <row r="17" spans="1:8">
      <c r="A17" s="8" t="s">
        <v>446</v>
      </c>
      <c r="B17" s="8">
        <v>4</v>
      </c>
      <c r="C17" s="8">
        <v>4</v>
      </c>
      <c r="D17" s="8" t="s">
        <v>447</v>
      </c>
      <c r="E17" s="8" t="s">
        <v>448</v>
      </c>
      <c r="F17" s="8" t="s">
        <v>431</v>
      </c>
      <c r="G17" s="8" t="s">
        <v>438</v>
      </c>
      <c r="H17" s="8" t="s">
        <v>445</v>
      </c>
    </row>
    <row r="18" spans="1:8">
      <c r="A18" s="12" t="s">
        <v>449</v>
      </c>
      <c r="B18" s="12">
        <v>2</v>
      </c>
      <c r="C18" s="12">
        <v>2</v>
      </c>
      <c r="D18" s="12" t="s">
        <v>450</v>
      </c>
      <c r="E18" s="12" t="s">
        <v>441</v>
      </c>
      <c r="F18" s="12" t="s">
        <v>438</v>
      </c>
      <c r="G18" s="12" t="s">
        <v>451</v>
      </c>
      <c r="H18" s="12" t="s">
        <v>434</v>
      </c>
    </row>
    <row r="19" spans="1:8">
      <c r="A19" s="6" t="s">
        <v>452</v>
      </c>
      <c r="B19" s="6">
        <v>2</v>
      </c>
      <c r="C19" s="6">
        <v>1.95</v>
      </c>
      <c r="D19" s="6" t="s">
        <v>451</v>
      </c>
      <c r="E19" s="6" t="s">
        <v>453</v>
      </c>
      <c r="F19" s="6" t="s">
        <v>442</v>
      </c>
      <c r="G19" s="6" t="s">
        <v>441</v>
      </c>
      <c r="H19" s="6" t="s">
        <v>454</v>
      </c>
    </row>
    <row r="20" spans="1:8">
      <c r="A20" s="6" t="s">
        <v>455</v>
      </c>
      <c r="B20" s="6">
        <v>7</v>
      </c>
      <c r="C20" s="6">
        <v>2.58</v>
      </c>
      <c r="D20" s="6" t="s">
        <v>438</v>
      </c>
      <c r="E20" s="6" t="s">
        <v>456</v>
      </c>
      <c r="F20" s="6" t="s">
        <v>441</v>
      </c>
      <c r="G20" s="6" t="s">
        <v>431</v>
      </c>
      <c r="H20" s="6" t="s">
        <v>454</v>
      </c>
    </row>
    <row r="23" spans="1:8">
      <c r="A23" s="371" t="s">
        <v>457</v>
      </c>
      <c r="B23" s="372"/>
      <c r="C23" s="372"/>
      <c r="D23" s="372"/>
      <c r="E23" s="372"/>
      <c r="F23" s="372"/>
      <c r="G23" s="372"/>
    </row>
    <row r="24" spans="1:8">
      <c r="A24" s="1" t="s">
        <v>458</v>
      </c>
      <c r="B24" s="1" t="s">
        <v>459</v>
      </c>
      <c r="C24" s="1" t="s">
        <v>460</v>
      </c>
      <c r="D24" s="1" t="s">
        <v>461</v>
      </c>
      <c r="E24" s="1" t="s">
        <v>462</v>
      </c>
    </row>
    <row r="25" spans="1:8">
      <c r="A25" s="8">
        <v>1</v>
      </c>
      <c r="B25" s="8" t="s">
        <v>463</v>
      </c>
      <c r="C25" s="9" t="s">
        <v>464</v>
      </c>
      <c r="D25" s="8" t="s">
        <v>23</v>
      </c>
      <c r="E25" s="9" t="s">
        <v>465</v>
      </c>
    </row>
    <row r="26" spans="1:8" ht="30">
      <c r="A26" s="8">
        <v>2</v>
      </c>
      <c r="B26" s="8" t="s">
        <v>466</v>
      </c>
      <c r="C26" s="9" t="s">
        <v>467</v>
      </c>
      <c r="D26" s="8" t="s">
        <v>23</v>
      </c>
      <c r="E26" s="9" t="s">
        <v>468</v>
      </c>
    </row>
    <row r="27" spans="1:8">
      <c r="A27" s="8">
        <v>3</v>
      </c>
      <c r="B27" s="8" t="s">
        <v>469</v>
      </c>
      <c r="C27" s="9" t="s">
        <v>470</v>
      </c>
      <c r="D27" s="8" t="s">
        <v>23</v>
      </c>
      <c r="E27" s="9" t="s">
        <v>471</v>
      </c>
    </row>
    <row r="28" spans="1:8">
      <c r="A28" s="8">
        <v>4</v>
      </c>
      <c r="B28" s="8" t="s">
        <v>472</v>
      </c>
      <c r="C28" s="9" t="s">
        <v>473</v>
      </c>
      <c r="D28" s="8" t="s">
        <v>409</v>
      </c>
      <c r="E28" s="9" t="s">
        <v>474</v>
      </c>
    </row>
    <row r="29" spans="1:8" ht="30">
      <c r="A29" s="8">
        <v>5</v>
      </c>
      <c r="B29" s="8" t="s">
        <v>475</v>
      </c>
      <c r="C29" s="9" t="s">
        <v>476</v>
      </c>
      <c r="D29" s="8" t="s">
        <v>409</v>
      </c>
      <c r="E29" s="9" t="s">
        <v>477</v>
      </c>
    </row>
    <row r="30" spans="1:8">
      <c r="A30" s="8">
        <v>6</v>
      </c>
      <c r="B30" s="8" t="s">
        <v>478</v>
      </c>
      <c r="C30" s="9" t="s">
        <v>479</v>
      </c>
      <c r="D30" s="8" t="s">
        <v>409</v>
      </c>
      <c r="E30" s="9" t="s">
        <v>480</v>
      </c>
    </row>
    <row r="31" spans="1:8">
      <c r="A31" s="8">
        <v>7</v>
      </c>
      <c r="B31" s="8" t="s">
        <v>481</v>
      </c>
      <c r="C31" s="9" t="s">
        <v>482</v>
      </c>
      <c r="D31" s="8" t="s">
        <v>23</v>
      </c>
      <c r="E31" s="9" t="s">
        <v>483</v>
      </c>
    </row>
    <row r="34" spans="1:9">
      <c r="A34" s="371" t="s">
        <v>484</v>
      </c>
      <c r="B34" s="372"/>
      <c r="C34" s="372"/>
      <c r="D34" s="372"/>
      <c r="E34" s="372"/>
      <c r="F34" s="372"/>
      <c r="G34" s="372"/>
      <c r="H34" s="372"/>
      <c r="I34" s="372"/>
    </row>
    <row r="35" spans="1:9">
      <c r="A35" s="1" t="s">
        <v>485</v>
      </c>
      <c r="B35" s="1" t="s">
        <v>486</v>
      </c>
      <c r="C35" s="1" t="s">
        <v>487</v>
      </c>
      <c r="D35" s="1" t="s">
        <v>488</v>
      </c>
      <c r="E35" s="1" t="s">
        <v>489</v>
      </c>
      <c r="F35" s="1" t="s">
        <v>490</v>
      </c>
      <c r="G35" s="1" t="s">
        <v>491</v>
      </c>
      <c r="H35" s="1" t="s">
        <v>492</v>
      </c>
      <c r="I35" s="1" t="s">
        <v>493</v>
      </c>
    </row>
    <row r="36" spans="1:9">
      <c r="A36" s="8" t="s">
        <v>408</v>
      </c>
      <c r="B36" s="8">
        <v>237</v>
      </c>
      <c r="C36" s="8">
        <v>211</v>
      </c>
      <c r="D36" s="8">
        <v>227</v>
      </c>
      <c r="E36" s="8">
        <v>208</v>
      </c>
      <c r="F36" s="8">
        <v>233</v>
      </c>
      <c r="G36" s="8">
        <v>234</v>
      </c>
      <c r="H36" s="8">
        <v>262</v>
      </c>
      <c r="I36" s="13" t="s">
        <v>494</v>
      </c>
    </row>
    <row r="37" spans="1:9" ht="30">
      <c r="A37" s="8" t="s">
        <v>495</v>
      </c>
      <c r="B37" s="8">
        <v>95</v>
      </c>
      <c r="C37" s="8">
        <v>98</v>
      </c>
      <c r="D37" s="8">
        <v>112</v>
      </c>
      <c r="E37" s="8">
        <v>118</v>
      </c>
      <c r="F37" s="8">
        <v>135</v>
      </c>
      <c r="G37" s="8">
        <v>142</v>
      </c>
      <c r="H37" s="8">
        <v>163</v>
      </c>
      <c r="I37" s="13" t="s">
        <v>496</v>
      </c>
    </row>
    <row r="38" spans="1:9">
      <c r="A38" s="8" t="s">
        <v>497</v>
      </c>
      <c r="B38" s="8" t="s">
        <v>498</v>
      </c>
      <c r="C38" s="8" t="s">
        <v>499</v>
      </c>
      <c r="D38" s="8" t="s">
        <v>500</v>
      </c>
      <c r="E38" s="8" t="s">
        <v>501</v>
      </c>
      <c r="F38" s="8" t="s">
        <v>502</v>
      </c>
      <c r="G38" s="8" t="s">
        <v>503</v>
      </c>
      <c r="H38" s="8" t="s">
        <v>419</v>
      </c>
      <c r="I38" s="13" t="s">
        <v>504</v>
      </c>
    </row>
    <row r="39" spans="1:9">
      <c r="A39" s="8" t="s">
        <v>505</v>
      </c>
      <c r="B39" s="8" t="s">
        <v>506</v>
      </c>
      <c r="C39" s="8" t="s">
        <v>507</v>
      </c>
      <c r="D39" s="8" t="s">
        <v>508</v>
      </c>
      <c r="E39" s="8" t="s">
        <v>509</v>
      </c>
      <c r="F39" s="8" t="s">
        <v>510</v>
      </c>
      <c r="G39" s="8" t="s">
        <v>511</v>
      </c>
      <c r="H39" s="8" t="s">
        <v>512</v>
      </c>
      <c r="I39" s="13" t="s">
        <v>496</v>
      </c>
    </row>
    <row r="42" spans="1:9">
      <c r="A42" s="371" t="s">
        <v>513</v>
      </c>
      <c r="B42" s="372"/>
      <c r="C42" s="372"/>
      <c r="D42" s="372"/>
      <c r="E42" s="372"/>
      <c r="F42" s="372"/>
      <c r="G42" s="372"/>
      <c r="H42" s="372"/>
      <c r="I42" s="372"/>
    </row>
    <row r="43" spans="1:9">
      <c r="A43" s="14" t="s">
        <v>514</v>
      </c>
      <c r="B43" s="367" t="s">
        <v>515</v>
      </c>
      <c r="C43" s="368"/>
      <c r="D43" s="368"/>
      <c r="E43" s="368"/>
      <c r="F43" s="368"/>
      <c r="G43" s="368"/>
      <c r="H43" s="368"/>
      <c r="I43" s="368"/>
    </row>
    <row r="44" spans="1:9">
      <c r="A44" s="14" t="s">
        <v>516</v>
      </c>
      <c r="B44" s="367" t="s">
        <v>517</v>
      </c>
      <c r="C44" s="368"/>
      <c r="D44" s="368"/>
      <c r="E44" s="368"/>
      <c r="F44" s="368"/>
      <c r="G44" s="368"/>
      <c r="H44" s="368"/>
      <c r="I44" s="368"/>
    </row>
    <row r="45" spans="1:9">
      <c r="A45" s="14" t="s">
        <v>518</v>
      </c>
      <c r="B45" s="367" t="s">
        <v>519</v>
      </c>
      <c r="C45" s="368"/>
      <c r="D45" s="368"/>
      <c r="E45" s="368"/>
      <c r="F45" s="368"/>
      <c r="G45" s="368"/>
      <c r="H45" s="368"/>
      <c r="I45" s="368"/>
    </row>
    <row r="46" spans="1:9">
      <c r="A46" s="14" t="s">
        <v>520</v>
      </c>
      <c r="B46" s="367" t="s">
        <v>521</v>
      </c>
      <c r="C46" s="368"/>
      <c r="D46" s="368"/>
      <c r="E46" s="368"/>
      <c r="F46" s="368"/>
      <c r="G46" s="368"/>
      <c r="H46" s="368"/>
      <c r="I46" s="368"/>
    </row>
    <row r="47" spans="1:9">
      <c r="A47" s="14" t="s">
        <v>522</v>
      </c>
      <c r="B47" s="367" t="s">
        <v>523</v>
      </c>
      <c r="C47" s="368"/>
      <c r="D47" s="368"/>
      <c r="E47" s="368"/>
      <c r="F47" s="368"/>
      <c r="G47" s="368"/>
      <c r="H47" s="368"/>
      <c r="I47" s="368"/>
    </row>
  </sheetData>
  <mergeCells count="11">
    <mergeCell ref="B47:I47"/>
    <mergeCell ref="B46:I46"/>
    <mergeCell ref="A1:I1"/>
    <mergeCell ref="B43:I43"/>
    <mergeCell ref="B45:I45"/>
    <mergeCell ref="A34:I34"/>
    <mergeCell ref="A23:G23"/>
    <mergeCell ref="A12:H12"/>
    <mergeCell ref="B44:I44"/>
    <mergeCell ref="A42:I42"/>
    <mergeCell ref="A3:G3"/>
  </mergeCells>
  <phoneticPr fontId="9" type="noConversion"/>
  <pageMargins left="0.75" right="0.75" top="1" bottom="1" header="0.5" footer="0.5"/>
  <headerFooter>
    <oddHeader>&amp;L&amp;"Aptos"&amp;11&amp;KFF0000 LGUplus-InternalUseOnly(사내한)/2026-06-10T14:17:54/aliet@lguplus.co.kr&amp;1#_x000D_</oddHeader>
    <oddFooter>&amp;R_x000D_&amp;1#&amp;"Aptos"&amp;11&amp;KFF0000 LGUplus-InternalUseOnly(사내한)/2026-06-10T14:17:54/aliet@lguplus.co.kr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3"/>
  <sheetViews>
    <sheetView topLeftCell="C88" zoomScaleNormal="100" workbookViewId="0">
      <selection activeCell="E108" sqref="E108"/>
    </sheetView>
  </sheetViews>
  <sheetFormatPr baseColWidth="10" defaultColWidth="9" defaultRowHeight="15"/>
  <cols>
    <col min="1" max="1" width="6.6640625" style="21" bestFit="1" customWidth="1"/>
    <col min="2" max="2" width="14.1640625" style="19" bestFit="1" customWidth="1"/>
    <col min="3" max="3" width="26.6640625" style="19" customWidth="1"/>
    <col min="4" max="4" width="55.5" style="19" bestFit="1" customWidth="1"/>
    <col min="5" max="5" width="136.1640625" style="19" bestFit="1" customWidth="1"/>
    <col min="6" max="6" width="10.5" style="19" bestFit="1" customWidth="1"/>
    <col min="7" max="7" width="9.6640625" style="21" customWidth="1"/>
    <col min="8" max="8" width="9.6640625" style="19" customWidth="1"/>
    <col min="9" max="9" width="9.6640625" style="222" customWidth="1"/>
    <col min="10" max="10" width="17.83203125" style="21" customWidth="1"/>
    <col min="11" max="11" width="9.6640625" style="19" customWidth="1"/>
    <col min="12" max="16384" width="9" style="197"/>
  </cols>
  <sheetData>
    <row r="1" spans="1:11" ht="16">
      <c r="A1" s="223" t="s">
        <v>815</v>
      </c>
      <c r="B1" s="223" t="s">
        <v>589</v>
      </c>
      <c r="C1" s="223" t="s">
        <v>590</v>
      </c>
      <c r="D1" s="223" t="s">
        <v>591</v>
      </c>
      <c r="E1" s="223" t="s">
        <v>816</v>
      </c>
      <c r="F1" s="223" t="s">
        <v>817</v>
      </c>
      <c r="G1" s="223" t="s">
        <v>8</v>
      </c>
      <c r="H1" s="223" t="s">
        <v>818</v>
      </c>
      <c r="I1" s="224" t="s">
        <v>819</v>
      </c>
      <c r="J1" s="223" t="s">
        <v>820</v>
      </c>
      <c r="K1" s="223" t="s">
        <v>588</v>
      </c>
    </row>
    <row r="2" spans="1:11" ht="30.5" customHeight="1">
      <c r="A2" s="198" t="s">
        <v>821</v>
      </c>
      <c r="B2" s="199" t="s">
        <v>16</v>
      </c>
      <c r="C2" s="199" t="s">
        <v>17</v>
      </c>
      <c r="D2" s="200" t="s">
        <v>18</v>
      </c>
      <c r="E2" s="201" t="s">
        <v>19</v>
      </c>
      <c r="F2" s="202" t="str">
        <f>VLOOKUP(D2,CSR!$D$4:$E$1180,2,FALSE)</f>
        <v>CSR_11300</v>
      </c>
      <c r="G2" s="203">
        <v>46136</v>
      </c>
      <c r="H2" s="204">
        <v>2</v>
      </c>
      <c r="I2" s="205">
        <f t="shared" ref="I2:I65" si="0">H2*10/190</f>
        <v>0.10526315789473684</v>
      </c>
      <c r="J2" s="206" t="s">
        <v>2431</v>
      </c>
      <c r="K2" s="201"/>
    </row>
    <row r="3" spans="1:11" ht="30.5" customHeight="1">
      <c r="A3" s="198" t="s">
        <v>821</v>
      </c>
      <c r="B3" s="199" t="s">
        <v>16</v>
      </c>
      <c r="C3" s="199" t="s">
        <v>17</v>
      </c>
      <c r="D3" s="200" t="s">
        <v>18</v>
      </c>
      <c r="E3" s="201" t="s">
        <v>25</v>
      </c>
      <c r="F3" s="202" t="str">
        <f>VLOOKUP(D3,CSR!$D$4:$E$1180,2,FALSE)</f>
        <v>CSR_11300</v>
      </c>
      <c r="G3" s="203">
        <v>46136</v>
      </c>
      <c r="H3" s="204">
        <v>2</v>
      </c>
      <c r="I3" s="205">
        <f t="shared" si="0"/>
        <v>0.10526315789473684</v>
      </c>
      <c r="J3" s="206" t="s">
        <v>22</v>
      </c>
      <c r="K3" s="201"/>
    </row>
    <row r="4" spans="1:11" ht="30.5" customHeight="1">
      <c r="A4" s="198" t="s">
        <v>822</v>
      </c>
      <c r="B4" s="199" t="s">
        <v>16</v>
      </c>
      <c r="C4" s="199" t="s">
        <v>17</v>
      </c>
      <c r="D4" s="200" t="s">
        <v>18</v>
      </c>
      <c r="E4" s="201" t="s">
        <v>28</v>
      </c>
      <c r="F4" s="202" t="str">
        <f>VLOOKUP(D4,CSR!$D$4:$E$1180,2,FALSE)</f>
        <v>CSR_11300</v>
      </c>
      <c r="G4" s="203">
        <v>46143</v>
      </c>
      <c r="H4" s="204">
        <v>2</v>
      </c>
      <c r="I4" s="205">
        <f t="shared" si="0"/>
        <v>0.10526315789473684</v>
      </c>
      <c r="J4" s="206" t="s">
        <v>22</v>
      </c>
      <c r="K4" s="201"/>
    </row>
    <row r="5" spans="1:11" ht="30.5" customHeight="1">
      <c r="A5" s="198" t="s">
        <v>822</v>
      </c>
      <c r="B5" s="199" t="s">
        <v>758</v>
      </c>
      <c r="C5" s="199" t="s">
        <v>759</v>
      </c>
      <c r="D5" s="200" t="s">
        <v>764</v>
      </c>
      <c r="E5" s="201" t="s">
        <v>34</v>
      </c>
      <c r="F5" s="202" t="str">
        <f>VLOOKUP(D5,CSR!$D$4:$E$1180,2,FALSE)</f>
        <v>CSR_30200</v>
      </c>
      <c r="G5" s="203">
        <v>46143</v>
      </c>
      <c r="H5" s="204">
        <v>2</v>
      </c>
      <c r="I5" s="205">
        <f t="shared" si="0"/>
        <v>0.10526315789473684</v>
      </c>
      <c r="J5" s="206" t="s">
        <v>22</v>
      </c>
      <c r="K5" s="201"/>
    </row>
    <row r="6" spans="1:11" ht="30.5" customHeight="1">
      <c r="A6" s="198" t="s">
        <v>822</v>
      </c>
      <c r="B6" s="199" t="s">
        <v>758</v>
      </c>
      <c r="C6" s="199" t="s">
        <v>759</v>
      </c>
      <c r="D6" s="200" t="s">
        <v>764</v>
      </c>
      <c r="E6" s="201" t="s">
        <v>37</v>
      </c>
      <c r="F6" s="202" t="str">
        <f>VLOOKUP(D6,CSR!$D$4:$E$1180,2,FALSE)</f>
        <v>CSR_30200</v>
      </c>
      <c r="G6" s="203">
        <v>46150</v>
      </c>
      <c r="H6" s="204">
        <v>2</v>
      </c>
      <c r="I6" s="205">
        <f t="shared" si="0"/>
        <v>0.10526315789473684</v>
      </c>
      <c r="J6" s="206" t="s">
        <v>22</v>
      </c>
      <c r="K6" s="201"/>
    </row>
    <row r="7" spans="1:11" ht="30.5" customHeight="1">
      <c r="A7" s="198" t="s">
        <v>822</v>
      </c>
      <c r="B7" s="199" t="s">
        <v>758</v>
      </c>
      <c r="C7" s="199" t="s">
        <v>759</v>
      </c>
      <c r="D7" s="200" t="s">
        <v>764</v>
      </c>
      <c r="E7" s="201" t="s">
        <v>40</v>
      </c>
      <c r="F7" s="202" t="str">
        <f>VLOOKUP(D7,CSR!$D$4:$E$1180,2,FALSE)</f>
        <v>CSR_30200</v>
      </c>
      <c r="G7" s="203">
        <v>46150</v>
      </c>
      <c r="H7" s="204">
        <v>2</v>
      </c>
      <c r="I7" s="205">
        <f t="shared" si="0"/>
        <v>0.10526315789473684</v>
      </c>
      <c r="J7" s="206" t="s">
        <v>22</v>
      </c>
      <c r="K7" s="201"/>
    </row>
    <row r="8" spans="1:11" ht="30.5" customHeight="1">
      <c r="A8" s="198" t="s">
        <v>822</v>
      </c>
      <c r="B8" s="199" t="s">
        <v>16</v>
      </c>
      <c r="C8" s="199" t="s">
        <v>17</v>
      </c>
      <c r="D8" s="200" t="s">
        <v>18</v>
      </c>
      <c r="E8" s="201" t="s">
        <v>41</v>
      </c>
      <c r="F8" s="202" t="str">
        <f>VLOOKUP(D8,CSR!$D$4:$E$1180,2,FALSE)</f>
        <v>CSR_11300</v>
      </c>
      <c r="G8" s="203">
        <v>46157</v>
      </c>
      <c r="H8" s="204">
        <v>2</v>
      </c>
      <c r="I8" s="205">
        <f t="shared" si="0"/>
        <v>0.10526315789473684</v>
      </c>
      <c r="J8" s="206" t="s">
        <v>22</v>
      </c>
      <c r="K8" s="201"/>
    </row>
    <row r="9" spans="1:11" ht="30.5" customHeight="1">
      <c r="A9" s="198" t="s">
        <v>822</v>
      </c>
      <c r="B9" s="199" t="s">
        <v>758</v>
      </c>
      <c r="C9" s="199" t="s">
        <v>759</v>
      </c>
      <c r="D9" s="200" t="s">
        <v>764</v>
      </c>
      <c r="E9" s="201" t="s">
        <v>43</v>
      </c>
      <c r="F9" s="202" t="str">
        <f>VLOOKUP(D9,CSR!$D$4:$E$1180,2,FALSE)</f>
        <v>CSR_30200</v>
      </c>
      <c r="G9" s="203">
        <v>46157</v>
      </c>
      <c r="H9" s="204">
        <v>2</v>
      </c>
      <c r="I9" s="205">
        <f t="shared" si="0"/>
        <v>0.10526315789473684</v>
      </c>
      <c r="J9" s="206" t="s">
        <v>22</v>
      </c>
      <c r="K9" s="201"/>
    </row>
    <row r="10" spans="1:11" ht="30.5" customHeight="1">
      <c r="A10" s="198" t="s">
        <v>822</v>
      </c>
      <c r="B10" s="199" t="s">
        <v>16</v>
      </c>
      <c r="C10" s="199" t="s">
        <v>17</v>
      </c>
      <c r="D10" s="200" t="s">
        <v>44</v>
      </c>
      <c r="E10" s="201" t="s">
        <v>45</v>
      </c>
      <c r="F10" s="202" t="str">
        <f>VLOOKUP(D10,CSR!$D$4:$E$1180,2,FALSE)</f>
        <v>CSR_11416</v>
      </c>
      <c r="G10" s="203">
        <v>46162</v>
      </c>
      <c r="H10" s="204">
        <v>2</v>
      </c>
      <c r="I10" s="205">
        <f t="shared" si="0"/>
        <v>0.10526315789473684</v>
      </c>
      <c r="J10" s="206" t="s">
        <v>22</v>
      </c>
      <c r="K10" s="201"/>
    </row>
    <row r="11" spans="1:11" ht="30.5" customHeight="1">
      <c r="A11" s="198" t="s">
        <v>822</v>
      </c>
      <c r="B11" s="199" t="s">
        <v>758</v>
      </c>
      <c r="C11" s="199" t="s">
        <v>759</v>
      </c>
      <c r="D11" s="200" t="s">
        <v>764</v>
      </c>
      <c r="E11" s="201" t="s">
        <v>48</v>
      </c>
      <c r="F11" s="202" t="str">
        <f>VLOOKUP(D11,CSR!$D$4:$E$1180,2,FALSE)</f>
        <v>CSR_30200</v>
      </c>
      <c r="G11" s="203">
        <v>46162</v>
      </c>
      <c r="H11" s="204">
        <v>1</v>
      </c>
      <c r="I11" s="205">
        <f t="shared" si="0"/>
        <v>5.2631578947368418E-2</v>
      </c>
      <c r="J11" s="206" t="s">
        <v>22</v>
      </c>
      <c r="K11" s="201"/>
    </row>
    <row r="12" spans="1:11" ht="30.5" customHeight="1">
      <c r="A12" s="198" t="s">
        <v>821</v>
      </c>
      <c r="B12" s="199" t="s">
        <v>49</v>
      </c>
      <c r="C12" s="199" t="s">
        <v>50</v>
      </c>
      <c r="D12" s="200" t="s">
        <v>51</v>
      </c>
      <c r="E12" s="201" t="s">
        <v>52</v>
      </c>
      <c r="F12" s="202" t="str">
        <f>VLOOKUP(D12,CSR!$D$4:$E$1180,2,FALSE)</f>
        <v>CSR_41103</v>
      </c>
      <c r="G12" s="203">
        <v>46136</v>
      </c>
      <c r="H12" s="204">
        <v>2</v>
      </c>
      <c r="I12" s="205">
        <f t="shared" si="0"/>
        <v>0.10526315789473684</v>
      </c>
      <c r="J12" s="206" t="s">
        <v>54</v>
      </c>
      <c r="K12" s="201"/>
    </row>
    <row r="13" spans="1:11" ht="30.5" customHeight="1">
      <c r="A13" s="198" t="s">
        <v>821</v>
      </c>
      <c r="B13" s="199" t="s">
        <v>16</v>
      </c>
      <c r="C13" s="199" t="s">
        <v>17</v>
      </c>
      <c r="D13" s="207" t="s">
        <v>55</v>
      </c>
      <c r="E13" s="201" t="s">
        <v>56</v>
      </c>
      <c r="F13" s="202" t="str">
        <f>VLOOKUP(D13,CSR!$D$4:$E$1180,2,FALSE)</f>
        <v>CSR_11314</v>
      </c>
      <c r="G13" s="203">
        <v>46136</v>
      </c>
      <c r="H13" s="204">
        <v>2</v>
      </c>
      <c r="I13" s="205">
        <f t="shared" si="0"/>
        <v>0.10526315789473684</v>
      </c>
      <c r="J13" s="206" t="s">
        <v>54</v>
      </c>
      <c r="K13" s="201"/>
    </row>
    <row r="14" spans="1:11" ht="30.5" customHeight="1">
      <c r="A14" s="198" t="s">
        <v>822</v>
      </c>
      <c r="B14" s="199" t="s">
        <v>16</v>
      </c>
      <c r="C14" s="199" t="s">
        <v>17</v>
      </c>
      <c r="D14" s="200" t="s">
        <v>18</v>
      </c>
      <c r="E14" s="201" t="s">
        <v>58</v>
      </c>
      <c r="F14" s="202" t="str">
        <f>VLOOKUP(D14,CSR!$D$4:$E$1180,2,FALSE)</f>
        <v>CSR_11300</v>
      </c>
      <c r="G14" s="203">
        <v>46143</v>
      </c>
      <c r="H14" s="204">
        <v>2</v>
      </c>
      <c r="I14" s="205">
        <f t="shared" si="0"/>
        <v>0.10526315789473684</v>
      </c>
      <c r="J14" s="206" t="s">
        <v>54</v>
      </c>
      <c r="K14" s="201"/>
    </row>
    <row r="15" spans="1:11" ht="30.5" customHeight="1">
      <c r="A15" s="198" t="s">
        <v>822</v>
      </c>
      <c r="B15" s="199" t="s">
        <v>16</v>
      </c>
      <c r="C15" s="199" t="s">
        <v>17</v>
      </c>
      <c r="D15" s="200" t="s">
        <v>18</v>
      </c>
      <c r="E15" s="201" t="s">
        <v>59</v>
      </c>
      <c r="F15" s="202" t="str">
        <f>VLOOKUP(D15,CSR!$D$4:$E$1180,2,FALSE)</f>
        <v>CSR_11300</v>
      </c>
      <c r="G15" s="203">
        <v>46143</v>
      </c>
      <c r="H15" s="204">
        <v>2</v>
      </c>
      <c r="I15" s="205">
        <f t="shared" si="0"/>
        <v>0.10526315789473684</v>
      </c>
      <c r="J15" s="206" t="s">
        <v>54</v>
      </c>
      <c r="K15" s="201"/>
    </row>
    <row r="16" spans="1:11" ht="30.5" customHeight="1">
      <c r="A16" s="198" t="s">
        <v>822</v>
      </c>
      <c r="B16" s="199" t="s">
        <v>16</v>
      </c>
      <c r="C16" s="199" t="s">
        <v>17</v>
      </c>
      <c r="D16" s="200" t="s">
        <v>44</v>
      </c>
      <c r="E16" s="201" t="s">
        <v>60</v>
      </c>
      <c r="F16" s="202" t="str">
        <f>VLOOKUP(D16,CSR!$D$4:$E$1180,2,FALSE)</f>
        <v>CSR_11416</v>
      </c>
      <c r="G16" s="203">
        <v>46150</v>
      </c>
      <c r="H16" s="204">
        <v>2</v>
      </c>
      <c r="I16" s="205">
        <f t="shared" si="0"/>
        <v>0.10526315789473684</v>
      </c>
      <c r="J16" s="206" t="s">
        <v>54</v>
      </c>
      <c r="K16" s="201"/>
    </row>
    <row r="17" spans="1:11" ht="30.5" customHeight="1">
      <c r="A17" s="198" t="s">
        <v>822</v>
      </c>
      <c r="B17" s="199" t="s">
        <v>16</v>
      </c>
      <c r="C17" s="199" t="s">
        <v>17</v>
      </c>
      <c r="D17" s="200" t="s">
        <v>44</v>
      </c>
      <c r="E17" s="201" t="s">
        <v>61</v>
      </c>
      <c r="F17" s="202" t="str">
        <f>VLOOKUP(D17,CSR!$D$4:$E$1180,2,FALSE)</f>
        <v>CSR_11416</v>
      </c>
      <c r="G17" s="203">
        <v>46150</v>
      </c>
      <c r="H17" s="204">
        <v>2</v>
      </c>
      <c r="I17" s="205">
        <f t="shared" si="0"/>
        <v>0.10526315789473684</v>
      </c>
      <c r="J17" s="206" t="s">
        <v>54</v>
      </c>
      <c r="K17" s="201"/>
    </row>
    <row r="18" spans="1:11" ht="30.5" customHeight="1">
      <c r="A18" s="198" t="s">
        <v>822</v>
      </c>
      <c r="B18" s="199" t="s">
        <v>16</v>
      </c>
      <c r="C18" s="199" t="s">
        <v>17</v>
      </c>
      <c r="D18" s="200" t="s">
        <v>44</v>
      </c>
      <c r="E18" s="201" t="s">
        <v>62</v>
      </c>
      <c r="F18" s="202" t="str">
        <f>VLOOKUP(D18,CSR!$D$4:$E$1180,2,FALSE)</f>
        <v>CSR_11416</v>
      </c>
      <c r="G18" s="203">
        <v>46157</v>
      </c>
      <c r="H18" s="204">
        <v>2</v>
      </c>
      <c r="I18" s="205">
        <f t="shared" si="0"/>
        <v>0.10526315789473684</v>
      </c>
      <c r="J18" s="206" t="s">
        <v>54</v>
      </c>
      <c r="K18" s="201"/>
    </row>
    <row r="19" spans="1:11" ht="30.5" customHeight="1">
      <c r="A19" s="198" t="s">
        <v>822</v>
      </c>
      <c r="B19" s="199" t="s">
        <v>16</v>
      </c>
      <c r="C19" s="199" t="s">
        <v>17</v>
      </c>
      <c r="D19" s="200" t="s">
        <v>44</v>
      </c>
      <c r="E19" s="201" t="s">
        <v>63</v>
      </c>
      <c r="F19" s="202" t="str">
        <f>VLOOKUP(D19,CSR!$D$4:$E$1180,2,FALSE)</f>
        <v>CSR_11416</v>
      </c>
      <c r="G19" s="203">
        <v>46157</v>
      </c>
      <c r="H19" s="204">
        <v>2</v>
      </c>
      <c r="I19" s="205">
        <f t="shared" si="0"/>
        <v>0.10526315789473684</v>
      </c>
      <c r="J19" s="206" t="s">
        <v>54</v>
      </c>
      <c r="K19" s="201"/>
    </row>
    <row r="20" spans="1:11" ht="30.5" customHeight="1">
      <c r="A20" s="198" t="s">
        <v>822</v>
      </c>
      <c r="B20" s="199" t="s">
        <v>16</v>
      </c>
      <c r="C20" s="199" t="s">
        <v>17</v>
      </c>
      <c r="D20" s="200" t="s">
        <v>44</v>
      </c>
      <c r="E20" s="201" t="s">
        <v>62</v>
      </c>
      <c r="F20" s="202" t="str">
        <f>VLOOKUP(D20,CSR!$D$4:$E$1180,2,FALSE)</f>
        <v>CSR_11416</v>
      </c>
      <c r="G20" s="203">
        <v>46162</v>
      </c>
      <c r="H20" s="204">
        <v>2</v>
      </c>
      <c r="I20" s="205">
        <f t="shared" si="0"/>
        <v>0.10526315789473684</v>
      </c>
      <c r="J20" s="206" t="s">
        <v>54</v>
      </c>
      <c r="K20" s="201"/>
    </row>
    <row r="21" spans="1:11" ht="30.5" customHeight="1">
      <c r="A21" s="198" t="s">
        <v>822</v>
      </c>
      <c r="B21" s="199" t="s">
        <v>16</v>
      </c>
      <c r="C21" s="199" t="s">
        <v>17</v>
      </c>
      <c r="D21" s="200" t="s">
        <v>44</v>
      </c>
      <c r="E21" s="201" t="s">
        <v>64</v>
      </c>
      <c r="F21" s="202" t="str">
        <f>VLOOKUP(D21,CSR!$D$4:$E$1180,2,FALSE)</f>
        <v>CSR_11416</v>
      </c>
      <c r="G21" s="203">
        <v>46162</v>
      </c>
      <c r="H21" s="204">
        <v>1</v>
      </c>
      <c r="I21" s="205">
        <f t="shared" si="0"/>
        <v>5.2631578947368418E-2</v>
      </c>
      <c r="J21" s="206" t="s">
        <v>54</v>
      </c>
      <c r="K21" s="201"/>
    </row>
    <row r="22" spans="1:11" ht="30.5" customHeight="1">
      <c r="A22" s="198" t="s">
        <v>821</v>
      </c>
      <c r="B22" s="199" t="s">
        <v>16</v>
      </c>
      <c r="C22" s="199" t="s">
        <v>17</v>
      </c>
      <c r="D22" s="200" t="s">
        <v>65</v>
      </c>
      <c r="E22" s="201" t="s">
        <v>66</v>
      </c>
      <c r="F22" s="202" t="str">
        <f>VLOOKUP(D22,CSR!$D$4:$E$1180,2,FALSE)</f>
        <v>CSR_10800</v>
      </c>
      <c r="G22" s="203">
        <v>46136</v>
      </c>
      <c r="H22" s="204">
        <v>2</v>
      </c>
      <c r="I22" s="205">
        <f t="shared" si="0"/>
        <v>0.10526315789473684</v>
      </c>
      <c r="J22" s="206" t="s">
        <v>68</v>
      </c>
      <c r="K22" s="201"/>
    </row>
    <row r="23" spans="1:11" ht="30.5" customHeight="1">
      <c r="A23" s="198" t="s">
        <v>821</v>
      </c>
      <c r="B23" s="199" t="s">
        <v>16</v>
      </c>
      <c r="C23" s="199" t="s">
        <v>17</v>
      </c>
      <c r="D23" s="200" t="s">
        <v>65</v>
      </c>
      <c r="E23" s="201" t="s">
        <v>69</v>
      </c>
      <c r="F23" s="202" t="str">
        <f>VLOOKUP(D23,CSR!$D$4:$E$1180,2,FALSE)</f>
        <v>CSR_10800</v>
      </c>
      <c r="G23" s="203">
        <v>46136</v>
      </c>
      <c r="H23" s="204">
        <v>2</v>
      </c>
      <c r="I23" s="205">
        <f t="shared" si="0"/>
        <v>0.10526315789473684</v>
      </c>
      <c r="J23" s="206" t="s">
        <v>68</v>
      </c>
      <c r="K23" s="201"/>
    </row>
    <row r="24" spans="1:11" ht="30.5" customHeight="1">
      <c r="A24" s="198" t="s">
        <v>822</v>
      </c>
      <c r="B24" s="199" t="s">
        <v>70</v>
      </c>
      <c r="C24" s="199" t="s">
        <v>71</v>
      </c>
      <c r="D24" s="200" t="s">
        <v>72</v>
      </c>
      <c r="E24" s="201" t="s">
        <v>73</v>
      </c>
      <c r="F24" s="202" t="str">
        <f>VLOOKUP(D24,CSR!$D$4:$E$1180,2,FALSE)</f>
        <v>CSR_20400</v>
      </c>
      <c r="G24" s="203">
        <v>46143</v>
      </c>
      <c r="H24" s="204">
        <v>2</v>
      </c>
      <c r="I24" s="205">
        <f t="shared" si="0"/>
        <v>0.10526315789473684</v>
      </c>
      <c r="J24" s="206" t="s">
        <v>68</v>
      </c>
      <c r="K24" s="201"/>
    </row>
    <row r="25" spans="1:11" ht="30.5" customHeight="1">
      <c r="A25" s="198" t="s">
        <v>822</v>
      </c>
      <c r="B25" s="199" t="s">
        <v>70</v>
      </c>
      <c r="C25" s="199" t="s">
        <v>71</v>
      </c>
      <c r="D25" s="200" t="s">
        <v>72</v>
      </c>
      <c r="E25" s="201" t="s">
        <v>75</v>
      </c>
      <c r="F25" s="202" t="str">
        <f>VLOOKUP(D25,CSR!$D$4:$E$1180,2,FALSE)</f>
        <v>CSR_20400</v>
      </c>
      <c r="G25" s="203">
        <v>46143</v>
      </c>
      <c r="H25" s="204">
        <v>2</v>
      </c>
      <c r="I25" s="205">
        <f t="shared" si="0"/>
        <v>0.10526315789473684</v>
      </c>
      <c r="J25" s="206" t="s">
        <v>68</v>
      </c>
      <c r="K25" s="201"/>
    </row>
    <row r="26" spans="1:11" ht="30.5" customHeight="1">
      <c r="A26" s="198" t="s">
        <v>822</v>
      </c>
      <c r="B26" s="199" t="s">
        <v>16</v>
      </c>
      <c r="C26" s="199" t="s">
        <v>17</v>
      </c>
      <c r="D26" s="200" t="s">
        <v>44</v>
      </c>
      <c r="E26" s="201" t="s">
        <v>76</v>
      </c>
      <c r="F26" s="202" t="str">
        <f>VLOOKUP(D26,CSR!$D$4:$E$1180,2,FALSE)</f>
        <v>CSR_11416</v>
      </c>
      <c r="G26" s="203">
        <v>46150</v>
      </c>
      <c r="H26" s="204">
        <v>2</v>
      </c>
      <c r="I26" s="205">
        <f t="shared" si="0"/>
        <v>0.10526315789473684</v>
      </c>
      <c r="J26" s="206" t="s">
        <v>68</v>
      </c>
      <c r="K26" s="201"/>
    </row>
    <row r="27" spans="1:11" ht="30.5" customHeight="1">
      <c r="A27" s="198" t="s">
        <v>822</v>
      </c>
      <c r="B27" s="199" t="s">
        <v>16</v>
      </c>
      <c r="C27" s="199" t="s">
        <v>17</v>
      </c>
      <c r="D27" s="200" t="s">
        <v>65</v>
      </c>
      <c r="E27" s="201" t="s">
        <v>77</v>
      </c>
      <c r="F27" s="202" t="str">
        <f>VLOOKUP(D27,CSR!$D$4:$E$1180,2,FALSE)</f>
        <v>CSR_10800</v>
      </c>
      <c r="G27" s="203">
        <v>46150</v>
      </c>
      <c r="H27" s="204">
        <v>2</v>
      </c>
      <c r="I27" s="205">
        <f t="shared" si="0"/>
        <v>0.10526315789473684</v>
      </c>
      <c r="J27" s="206" t="s">
        <v>68</v>
      </c>
      <c r="K27" s="201"/>
    </row>
    <row r="28" spans="1:11" ht="30.5" customHeight="1">
      <c r="A28" s="198" t="s">
        <v>822</v>
      </c>
      <c r="B28" s="199" t="s">
        <v>16</v>
      </c>
      <c r="C28" s="199" t="s">
        <v>17</v>
      </c>
      <c r="D28" s="200" t="s">
        <v>44</v>
      </c>
      <c r="E28" s="201" t="s">
        <v>78</v>
      </c>
      <c r="F28" s="202" t="str">
        <f>VLOOKUP(D28,CSR!$D$4:$E$1180,2,FALSE)</f>
        <v>CSR_11416</v>
      </c>
      <c r="G28" s="203">
        <v>46157</v>
      </c>
      <c r="H28" s="204">
        <v>2</v>
      </c>
      <c r="I28" s="205">
        <f t="shared" si="0"/>
        <v>0.10526315789473684</v>
      </c>
      <c r="J28" s="206" t="s">
        <v>68</v>
      </c>
      <c r="K28" s="201"/>
    </row>
    <row r="29" spans="1:11" ht="30.5" customHeight="1">
      <c r="A29" s="198" t="s">
        <v>822</v>
      </c>
      <c r="B29" s="199" t="s">
        <v>16</v>
      </c>
      <c r="C29" s="199" t="s">
        <v>17</v>
      </c>
      <c r="D29" s="200" t="s">
        <v>44</v>
      </c>
      <c r="E29" s="201" t="s">
        <v>79</v>
      </c>
      <c r="F29" s="202" t="str">
        <f>VLOOKUP(D29,CSR!$D$4:$E$1180,2,FALSE)</f>
        <v>CSR_11416</v>
      </c>
      <c r="G29" s="203">
        <v>46157</v>
      </c>
      <c r="H29" s="204">
        <v>2</v>
      </c>
      <c r="I29" s="205">
        <f t="shared" si="0"/>
        <v>0.10526315789473684</v>
      </c>
      <c r="J29" s="206" t="s">
        <v>68</v>
      </c>
      <c r="K29" s="201"/>
    </row>
    <row r="30" spans="1:11" ht="30.5" customHeight="1">
      <c r="A30" s="198" t="s">
        <v>822</v>
      </c>
      <c r="B30" s="199" t="s">
        <v>16</v>
      </c>
      <c r="C30" s="199" t="s">
        <v>17</v>
      </c>
      <c r="D30" s="200" t="s">
        <v>44</v>
      </c>
      <c r="E30" s="201" t="s">
        <v>80</v>
      </c>
      <c r="F30" s="202" t="str">
        <f>VLOOKUP(D30,CSR!$D$4:$E$1180,2,FALSE)</f>
        <v>CSR_11416</v>
      </c>
      <c r="G30" s="203">
        <v>46162</v>
      </c>
      <c r="H30" s="204">
        <v>2</v>
      </c>
      <c r="I30" s="205">
        <f t="shared" si="0"/>
        <v>0.10526315789473684</v>
      </c>
      <c r="J30" s="206" t="s">
        <v>68</v>
      </c>
      <c r="K30" s="201"/>
    </row>
    <row r="31" spans="1:11" ht="30.5" customHeight="1">
      <c r="A31" s="198" t="s">
        <v>822</v>
      </c>
      <c r="B31" s="199" t="s">
        <v>16</v>
      </c>
      <c r="C31" s="199" t="s">
        <v>17</v>
      </c>
      <c r="D31" s="200" t="s">
        <v>44</v>
      </c>
      <c r="E31" s="201" t="s">
        <v>81</v>
      </c>
      <c r="F31" s="202" t="str">
        <f>VLOOKUP(D31,CSR!$D$4:$E$1180,2,FALSE)</f>
        <v>CSR_11416</v>
      </c>
      <c r="G31" s="203">
        <v>46162</v>
      </c>
      <c r="H31" s="204">
        <v>1</v>
      </c>
      <c r="I31" s="205">
        <f t="shared" si="0"/>
        <v>5.2631578947368418E-2</v>
      </c>
      <c r="J31" s="206" t="s">
        <v>68</v>
      </c>
      <c r="K31" s="201"/>
    </row>
    <row r="32" spans="1:11" ht="30.5" customHeight="1">
      <c r="A32" s="198" t="s">
        <v>821</v>
      </c>
      <c r="B32" s="199" t="s">
        <v>16</v>
      </c>
      <c r="C32" s="199" t="s">
        <v>17</v>
      </c>
      <c r="D32" s="200" t="s">
        <v>65</v>
      </c>
      <c r="E32" s="201" t="s">
        <v>82</v>
      </c>
      <c r="F32" s="202" t="str">
        <f>VLOOKUP(D32,CSR!$D$4:$E$1180,2,FALSE)</f>
        <v>CSR_10800</v>
      </c>
      <c r="G32" s="203">
        <v>46136</v>
      </c>
      <c r="H32" s="204">
        <v>2</v>
      </c>
      <c r="I32" s="205">
        <f t="shared" si="0"/>
        <v>0.10526315789473684</v>
      </c>
      <c r="J32" s="206" t="s">
        <v>83</v>
      </c>
      <c r="K32" s="201"/>
    </row>
    <row r="33" spans="1:11" ht="30.5" customHeight="1">
      <c r="A33" s="198" t="s">
        <v>821</v>
      </c>
      <c r="B33" s="199" t="s">
        <v>16</v>
      </c>
      <c r="C33" s="199" t="s">
        <v>17</v>
      </c>
      <c r="D33" s="200" t="s">
        <v>18</v>
      </c>
      <c r="E33" s="201" t="s">
        <v>84</v>
      </c>
      <c r="F33" s="202" t="str">
        <f>VLOOKUP(D33,CSR!$D$4:$E$1180,2,FALSE)</f>
        <v>CSR_11300</v>
      </c>
      <c r="G33" s="203">
        <v>46136</v>
      </c>
      <c r="H33" s="204">
        <v>2</v>
      </c>
      <c r="I33" s="205">
        <f t="shared" si="0"/>
        <v>0.10526315789473684</v>
      </c>
      <c r="J33" s="206" t="s">
        <v>83</v>
      </c>
      <c r="K33" s="201"/>
    </row>
    <row r="34" spans="1:11" ht="30.5" customHeight="1">
      <c r="A34" s="198" t="s">
        <v>822</v>
      </c>
      <c r="B34" s="199" t="s">
        <v>49</v>
      </c>
      <c r="C34" s="199" t="s">
        <v>50</v>
      </c>
      <c r="D34" s="200" t="s">
        <v>51</v>
      </c>
      <c r="E34" s="201" t="s">
        <v>85</v>
      </c>
      <c r="F34" s="202" t="str">
        <f>VLOOKUP(D34,CSR!$D$4:$E$1180,2,FALSE)</f>
        <v>CSR_41103</v>
      </c>
      <c r="G34" s="203">
        <v>46143</v>
      </c>
      <c r="H34" s="204">
        <v>2</v>
      </c>
      <c r="I34" s="205">
        <f t="shared" si="0"/>
        <v>0.10526315789473684</v>
      </c>
      <c r="J34" s="206" t="s">
        <v>83</v>
      </c>
      <c r="K34" s="201"/>
    </row>
    <row r="35" spans="1:11" ht="30.5" customHeight="1">
      <c r="A35" s="198" t="s">
        <v>822</v>
      </c>
      <c r="B35" s="199" t="s">
        <v>16</v>
      </c>
      <c r="C35" s="199" t="s">
        <v>17</v>
      </c>
      <c r="D35" s="200" t="s">
        <v>18</v>
      </c>
      <c r="E35" s="201" t="s">
        <v>84</v>
      </c>
      <c r="F35" s="202" t="str">
        <f>VLOOKUP(D35,CSR!$D$4:$E$1180,2,FALSE)</f>
        <v>CSR_11300</v>
      </c>
      <c r="G35" s="203">
        <v>46143</v>
      </c>
      <c r="H35" s="204">
        <v>2</v>
      </c>
      <c r="I35" s="205">
        <f t="shared" si="0"/>
        <v>0.10526315789473684</v>
      </c>
      <c r="J35" s="206" t="s">
        <v>83</v>
      </c>
      <c r="K35" s="201"/>
    </row>
    <row r="36" spans="1:11" ht="30.5" customHeight="1">
      <c r="A36" s="198" t="s">
        <v>822</v>
      </c>
      <c r="B36" s="199" t="s">
        <v>16</v>
      </c>
      <c r="C36" s="199" t="s">
        <v>17</v>
      </c>
      <c r="D36" s="207" t="s">
        <v>55</v>
      </c>
      <c r="E36" s="201" t="s">
        <v>86</v>
      </c>
      <c r="F36" s="202" t="str">
        <f>VLOOKUP(D36,CSR!$D$4:$E$1180,2,FALSE)</f>
        <v>CSR_11314</v>
      </c>
      <c r="G36" s="203">
        <v>46150</v>
      </c>
      <c r="H36" s="204">
        <v>2</v>
      </c>
      <c r="I36" s="205">
        <f t="shared" si="0"/>
        <v>0.10526315789473684</v>
      </c>
      <c r="J36" s="206" t="s">
        <v>83</v>
      </c>
      <c r="K36" s="201"/>
    </row>
    <row r="37" spans="1:11" ht="30.5" customHeight="1">
      <c r="A37" s="198" t="s">
        <v>822</v>
      </c>
      <c r="B37" s="199" t="s">
        <v>16</v>
      </c>
      <c r="C37" s="199" t="s">
        <v>17</v>
      </c>
      <c r="D37" s="200" t="s">
        <v>44</v>
      </c>
      <c r="E37" s="201" t="s">
        <v>84</v>
      </c>
      <c r="F37" s="202" t="str">
        <f>VLOOKUP(D37,CSR!$D$4:$E$1180,2,FALSE)</f>
        <v>CSR_11416</v>
      </c>
      <c r="G37" s="203">
        <v>46150</v>
      </c>
      <c r="H37" s="204">
        <v>2</v>
      </c>
      <c r="I37" s="205">
        <f t="shared" si="0"/>
        <v>0.10526315789473684</v>
      </c>
      <c r="J37" s="206" t="s">
        <v>83</v>
      </c>
      <c r="K37" s="201"/>
    </row>
    <row r="38" spans="1:11" ht="30.5" customHeight="1">
      <c r="A38" s="198" t="s">
        <v>822</v>
      </c>
      <c r="B38" s="199" t="s">
        <v>16</v>
      </c>
      <c r="C38" s="199" t="s">
        <v>17</v>
      </c>
      <c r="D38" s="200" t="s">
        <v>44</v>
      </c>
      <c r="E38" s="201" t="s">
        <v>87</v>
      </c>
      <c r="F38" s="202" t="str">
        <f>VLOOKUP(D38,CSR!$D$4:$E$1180,2,FALSE)</f>
        <v>CSR_11416</v>
      </c>
      <c r="G38" s="203">
        <v>46157</v>
      </c>
      <c r="H38" s="204">
        <v>2</v>
      </c>
      <c r="I38" s="205">
        <f t="shared" si="0"/>
        <v>0.10526315789473684</v>
      </c>
      <c r="J38" s="206" t="s">
        <v>83</v>
      </c>
      <c r="K38" s="201"/>
    </row>
    <row r="39" spans="1:11" ht="30.5" customHeight="1">
      <c r="A39" s="198" t="s">
        <v>822</v>
      </c>
      <c r="B39" s="199" t="s">
        <v>16</v>
      </c>
      <c r="C39" s="199" t="s">
        <v>17</v>
      </c>
      <c r="D39" s="200" t="s">
        <v>44</v>
      </c>
      <c r="E39" s="201" t="s">
        <v>84</v>
      </c>
      <c r="F39" s="202" t="str">
        <f>VLOOKUP(D39,CSR!$D$4:$E$1180,2,FALSE)</f>
        <v>CSR_11416</v>
      </c>
      <c r="G39" s="203">
        <v>46157</v>
      </c>
      <c r="H39" s="204">
        <v>2</v>
      </c>
      <c r="I39" s="205">
        <f t="shared" si="0"/>
        <v>0.10526315789473684</v>
      </c>
      <c r="J39" s="206" t="s">
        <v>83</v>
      </c>
      <c r="K39" s="201"/>
    </row>
    <row r="40" spans="1:11" ht="30.5" customHeight="1">
      <c r="A40" s="198" t="s">
        <v>822</v>
      </c>
      <c r="B40" s="199" t="s">
        <v>16</v>
      </c>
      <c r="C40" s="199" t="s">
        <v>17</v>
      </c>
      <c r="D40" s="200" t="s">
        <v>44</v>
      </c>
      <c r="E40" s="201" t="s">
        <v>88</v>
      </c>
      <c r="F40" s="202" t="str">
        <f>VLOOKUP(D40,CSR!$D$4:$E$1180,2,FALSE)</f>
        <v>CSR_11416</v>
      </c>
      <c r="G40" s="203">
        <v>46162</v>
      </c>
      <c r="H40" s="204">
        <v>2</v>
      </c>
      <c r="I40" s="205">
        <f t="shared" si="0"/>
        <v>0.10526315789473684</v>
      </c>
      <c r="J40" s="206" t="s">
        <v>83</v>
      </c>
      <c r="K40" s="201"/>
    </row>
    <row r="41" spans="1:11" ht="30.5" customHeight="1">
      <c r="A41" s="198" t="s">
        <v>822</v>
      </c>
      <c r="B41" s="199" t="s">
        <v>16</v>
      </c>
      <c r="C41" s="199" t="s">
        <v>17</v>
      </c>
      <c r="D41" s="200" t="s">
        <v>44</v>
      </c>
      <c r="E41" s="201" t="s">
        <v>84</v>
      </c>
      <c r="F41" s="202" t="str">
        <f>VLOOKUP(D41,CSR!$D$4:$E$1180,2,FALSE)</f>
        <v>CSR_11416</v>
      </c>
      <c r="G41" s="203">
        <v>46162</v>
      </c>
      <c r="H41" s="204">
        <v>1</v>
      </c>
      <c r="I41" s="205">
        <f t="shared" si="0"/>
        <v>5.2631578947368418E-2</v>
      </c>
      <c r="J41" s="206" t="s">
        <v>83</v>
      </c>
      <c r="K41" s="201"/>
    </row>
    <row r="42" spans="1:11" ht="30.5" customHeight="1">
      <c r="A42" s="198" t="s">
        <v>821</v>
      </c>
      <c r="B42" s="199" t="s">
        <v>49</v>
      </c>
      <c r="C42" s="199" t="s">
        <v>50</v>
      </c>
      <c r="D42" s="200" t="s">
        <v>51</v>
      </c>
      <c r="E42" s="201" t="s">
        <v>89</v>
      </c>
      <c r="F42" s="202" t="str">
        <f>VLOOKUP(D42,CSR!$D$4:$E$1180,2,FALSE)</f>
        <v>CSR_41103</v>
      </c>
      <c r="G42" s="203">
        <v>46136</v>
      </c>
      <c r="H42" s="204">
        <v>2</v>
      </c>
      <c r="I42" s="205">
        <f t="shared" si="0"/>
        <v>0.10526315789473684</v>
      </c>
      <c r="J42" s="206" t="s">
        <v>90</v>
      </c>
      <c r="K42" s="201"/>
    </row>
    <row r="43" spans="1:11" ht="30.5" customHeight="1">
      <c r="A43" s="198" t="s">
        <v>821</v>
      </c>
      <c r="B43" s="199" t="s">
        <v>16</v>
      </c>
      <c r="C43" s="199" t="s">
        <v>17</v>
      </c>
      <c r="D43" s="200" t="s">
        <v>18</v>
      </c>
      <c r="E43" s="201" t="s">
        <v>91</v>
      </c>
      <c r="F43" s="202" t="str">
        <f>VLOOKUP(D43,CSR!$D$4:$E$1180,2,FALSE)</f>
        <v>CSR_11300</v>
      </c>
      <c r="G43" s="203">
        <v>46136</v>
      </c>
      <c r="H43" s="204">
        <v>2</v>
      </c>
      <c r="I43" s="205">
        <f t="shared" si="0"/>
        <v>0.10526315789473684</v>
      </c>
      <c r="J43" s="206" t="s">
        <v>90</v>
      </c>
      <c r="K43" s="201"/>
    </row>
    <row r="44" spans="1:11" ht="30.5" customHeight="1">
      <c r="A44" s="198" t="s">
        <v>822</v>
      </c>
      <c r="B44" s="199" t="s">
        <v>16</v>
      </c>
      <c r="C44" s="199" t="s">
        <v>17</v>
      </c>
      <c r="D44" s="200" t="s">
        <v>18</v>
      </c>
      <c r="E44" s="201" t="s">
        <v>92</v>
      </c>
      <c r="F44" s="202" t="str">
        <f>VLOOKUP(D44,CSR!$D$4:$E$1180,2,FALSE)</f>
        <v>CSR_11300</v>
      </c>
      <c r="G44" s="203">
        <v>46143</v>
      </c>
      <c r="H44" s="204">
        <v>2</v>
      </c>
      <c r="I44" s="205">
        <f t="shared" si="0"/>
        <v>0.10526315789473684</v>
      </c>
      <c r="J44" s="206" t="s">
        <v>90</v>
      </c>
      <c r="K44" s="201"/>
    </row>
    <row r="45" spans="1:11" ht="30.5" customHeight="1">
      <c r="A45" s="198" t="s">
        <v>822</v>
      </c>
      <c r="B45" s="199" t="s">
        <v>16</v>
      </c>
      <c r="C45" s="199" t="s">
        <v>17</v>
      </c>
      <c r="D45" s="200" t="s">
        <v>18</v>
      </c>
      <c r="E45" s="201" t="s">
        <v>93</v>
      </c>
      <c r="F45" s="202" t="str">
        <f>VLOOKUP(D45,CSR!$D$4:$E$1180,2,FALSE)</f>
        <v>CSR_11300</v>
      </c>
      <c r="G45" s="203">
        <v>46143</v>
      </c>
      <c r="H45" s="204">
        <v>2</v>
      </c>
      <c r="I45" s="205">
        <f t="shared" si="0"/>
        <v>0.10526315789473684</v>
      </c>
      <c r="J45" s="206" t="s">
        <v>90</v>
      </c>
      <c r="K45" s="201"/>
    </row>
    <row r="46" spans="1:11" ht="30.5" customHeight="1">
      <c r="A46" s="198" t="s">
        <v>822</v>
      </c>
      <c r="B46" s="199" t="s">
        <v>49</v>
      </c>
      <c r="C46" s="199" t="s">
        <v>50</v>
      </c>
      <c r="D46" s="200" t="s">
        <v>51</v>
      </c>
      <c r="E46" s="201" t="s">
        <v>94</v>
      </c>
      <c r="F46" s="202" t="str">
        <f>VLOOKUP(D46,CSR!$D$4:$E$1180,2,FALSE)</f>
        <v>CSR_41103</v>
      </c>
      <c r="G46" s="203">
        <v>46150</v>
      </c>
      <c r="H46" s="204">
        <v>2</v>
      </c>
      <c r="I46" s="205">
        <f t="shared" si="0"/>
        <v>0.10526315789473684</v>
      </c>
      <c r="J46" s="206" t="s">
        <v>90</v>
      </c>
      <c r="K46" s="201"/>
    </row>
    <row r="47" spans="1:11" ht="30.5" customHeight="1">
      <c r="A47" s="198" t="s">
        <v>822</v>
      </c>
      <c r="B47" s="199" t="s">
        <v>16</v>
      </c>
      <c r="C47" s="199" t="s">
        <v>17</v>
      </c>
      <c r="D47" s="200" t="s">
        <v>44</v>
      </c>
      <c r="E47" s="201" t="s">
        <v>91</v>
      </c>
      <c r="F47" s="202" t="str">
        <f>VLOOKUP(D47,CSR!$D$4:$E$1180,2,FALSE)</f>
        <v>CSR_11416</v>
      </c>
      <c r="G47" s="203">
        <v>46150</v>
      </c>
      <c r="H47" s="204">
        <v>2</v>
      </c>
      <c r="I47" s="205">
        <f t="shared" si="0"/>
        <v>0.10526315789473684</v>
      </c>
      <c r="J47" s="206" t="s">
        <v>90</v>
      </c>
      <c r="K47" s="201"/>
    </row>
    <row r="48" spans="1:11" ht="30.5" customHeight="1">
      <c r="A48" s="198" t="s">
        <v>822</v>
      </c>
      <c r="B48" s="199" t="s">
        <v>49</v>
      </c>
      <c r="C48" s="199" t="s">
        <v>50</v>
      </c>
      <c r="D48" s="200" t="s">
        <v>51</v>
      </c>
      <c r="E48" s="201" t="s">
        <v>95</v>
      </c>
      <c r="F48" s="202" t="str">
        <f>VLOOKUP(D48,CSR!$D$4:$E$1180,2,FALSE)</f>
        <v>CSR_41103</v>
      </c>
      <c r="G48" s="203">
        <v>46157</v>
      </c>
      <c r="H48" s="204">
        <v>2</v>
      </c>
      <c r="I48" s="205">
        <f t="shared" si="0"/>
        <v>0.10526315789473684</v>
      </c>
      <c r="J48" s="206" t="s">
        <v>90</v>
      </c>
      <c r="K48" s="201"/>
    </row>
    <row r="49" spans="1:11" ht="30.5" customHeight="1">
      <c r="A49" s="198" t="s">
        <v>822</v>
      </c>
      <c r="B49" s="199" t="s">
        <v>16</v>
      </c>
      <c r="C49" s="199" t="s">
        <v>17</v>
      </c>
      <c r="D49" s="200" t="s">
        <v>44</v>
      </c>
      <c r="E49" s="201" t="s">
        <v>91</v>
      </c>
      <c r="F49" s="202" t="str">
        <f>VLOOKUP(D49,CSR!$D$4:$E$1180,2,FALSE)</f>
        <v>CSR_11416</v>
      </c>
      <c r="G49" s="203">
        <v>46157</v>
      </c>
      <c r="H49" s="204">
        <v>2</v>
      </c>
      <c r="I49" s="205">
        <f t="shared" si="0"/>
        <v>0.10526315789473684</v>
      </c>
      <c r="J49" s="206" t="s">
        <v>90</v>
      </c>
      <c r="K49" s="201"/>
    </row>
    <row r="50" spans="1:11" ht="30.5" customHeight="1">
      <c r="A50" s="198" t="s">
        <v>822</v>
      </c>
      <c r="B50" s="199" t="s">
        <v>16</v>
      </c>
      <c r="C50" s="199" t="s">
        <v>17</v>
      </c>
      <c r="D50" s="200" t="s">
        <v>18</v>
      </c>
      <c r="E50" s="201" t="s">
        <v>96</v>
      </c>
      <c r="F50" s="202" t="str">
        <f>VLOOKUP(D50,CSR!$D$4:$E$1180,2,FALSE)</f>
        <v>CSR_11300</v>
      </c>
      <c r="G50" s="203">
        <v>46162</v>
      </c>
      <c r="H50" s="204">
        <v>2</v>
      </c>
      <c r="I50" s="205">
        <f t="shared" si="0"/>
        <v>0.10526315789473684</v>
      </c>
      <c r="J50" s="206" t="s">
        <v>90</v>
      </c>
      <c r="K50" s="201"/>
    </row>
    <row r="51" spans="1:11" ht="30.5" customHeight="1">
      <c r="A51" s="198" t="s">
        <v>822</v>
      </c>
      <c r="B51" s="199" t="s">
        <v>16</v>
      </c>
      <c r="C51" s="199" t="s">
        <v>17</v>
      </c>
      <c r="D51" s="200" t="s">
        <v>44</v>
      </c>
      <c r="E51" s="201" t="s">
        <v>93</v>
      </c>
      <c r="F51" s="202" t="str">
        <f>VLOOKUP(D51,CSR!$D$4:$E$1180,2,FALSE)</f>
        <v>CSR_11416</v>
      </c>
      <c r="G51" s="203">
        <v>46162</v>
      </c>
      <c r="H51" s="204">
        <v>1</v>
      </c>
      <c r="I51" s="205">
        <f t="shared" si="0"/>
        <v>5.2631578947368418E-2</v>
      </c>
      <c r="J51" s="206" t="s">
        <v>90</v>
      </c>
      <c r="K51" s="201"/>
    </row>
    <row r="52" spans="1:11" ht="30.5" customHeight="1">
      <c r="A52" s="198" t="s">
        <v>822</v>
      </c>
      <c r="B52" s="199" t="s">
        <v>758</v>
      </c>
      <c r="C52" s="199" t="s">
        <v>759</v>
      </c>
      <c r="D52" s="200" t="s">
        <v>97</v>
      </c>
      <c r="E52" s="201" t="s">
        <v>823</v>
      </c>
      <c r="F52" s="202" t="str">
        <f>VLOOKUP(D52,CSR!$D$4:$E$1180,2,FALSE)</f>
        <v>CSR_30300</v>
      </c>
      <c r="G52" s="203">
        <v>46162</v>
      </c>
      <c r="H52" s="208">
        <v>2</v>
      </c>
      <c r="I52" s="205">
        <f t="shared" si="0"/>
        <v>0.10526315789473684</v>
      </c>
      <c r="J52" s="206" t="s">
        <v>824</v>
      </c>
      <c r="K52" s="204"/>
    </row>
    <row r="53" spans="1:11" ht="30.5" customHeight="1">
      <c r="A53" s="198" t="s">
        <v>822</v>
      </c>
      <c r="B53" s="199" t="s">
        <v>758</v>
      </c>
      <c r="C53" s="199" t="s">
        <v>759</v>
      </c>
      <c r="D53" s="200" t="s">
        <v>97</v>
      </c>
      <c r="E53" s="201" t="s">
        <v>823</v>
      </c>
      <c r="F53" s="202" t="str">
        <f>VLOOKUP(D53,CSR!$D$4:$E$1180,2,FALSE)</f>
        <v>CSR_30300</v>
      </c>
      <c r="G53" s="203">
        <v>46162</v>
      </c>
      <c r="H53" s="208">
        <v>2</v>
      </c>
      <c r="I53" s="205">
        <f t="shared" si="0"/>
        <v>0.10526315789473684</v>
      </c>
      <c r="J53" s="206" t="s">
        <v>101</v>
      </c>
      <c r="K53" s="204"/>
    </row>
    <row r="54" spans="1:11" ht="30.5" customHeight="1">
      <c r="A54" s="198" t="s">
        <v>822</v>
      </c>
      <c r="B54" s="199" t="s">
        <v>758</v>
      </c>
      <c r="C54" s="199" t="s">
        <v>759</v>
      </c>
      <c r="D54" s="200" t="s">
        <v>97</v>
      </c>
      <c r="E54" s="201" t="s">
        <v>823</v>
      </c>
      <c r="F54" s="202" t="str">
        <f>VLOOKUP(D54,CSR!$D$4:$E$1180,2,FALSE)</f>
        <v>CSR_30300</v>
      </c>
      <c r="G54" s="203">
        <v>46162</v>
      </c>
      <c r="H54" s="208">
        <v>2</v>
      </c>
      <c r="I54" s="205">
        <f t="shared" si="0"/>
        <v>0.10526315789473684</v>
      </c>
      <c r="J54" s="206" t="s">
        <v>102</v>
      </c>
      <c r="K54" s="204"/>
    </row>
    <row r="55" spans="1:11" ht="30.5" customHeight="1">
      <c r="A55" s="198" t="s">
        <v>821</v>
      </c>
      <c r="B55" s="199" t="s">
        <v>49</v>
      </c>
      <c r="C55" s="199" t="s">
        <v>50</v>
      </c>
      <c r="D55" s="200" t="s">
        <v>51</v>
      </c>
      <c r="E55" s="201" t="s">
        <v>103</v>
      </c>
      <c r="F55" s="202" t="str">
        <f>VLOOKUP(D55,CSR!$D$4:$E$1180,2,FALSE)</f>
        <v>CSR_41103</v>
      </c>
      <c r="G55" s="203">
        <v>46136</v>
      </c>
      <c r="H55" s="204">
        <v>2</v>
      </c>
      <c r="I55" s="205">
        <f t="shared" si="0"/>
        <v>0.10526315789473684</v>
      </c>
      <c r="J55" s="206" t="s">
        <v>2432</v>
      </c>
      <c r="K55" s="201"/>
    </row>
    <row r="56" spans="1:11" ht="30.5" customHeight="1">
      <c r="A56" s="198" t="s">
        <v>821</v>
      </c>
      <c r="B56" s="199" t="s">
        <v>16</v>
      </c>
      <c r="C56" s="199" t="s">
        <v>17</v>
      </c>
      <c r="D56" s="200" t="s">
        <v>18</v>
      </c>
      <c r="E56" s="201" t="s">
        <v>105</v>
      </c>
      <c r="F56" s="202" t="str">
        <f>VLOOKUP(D56,CSR!$D$4:$E$1180,2,FALSE)</f>
        <v>CSR_11300</v>
      </c>
      <c r="G56" s="203">
        <v>46136</v>
      </c>
      <c r="H56" s="204">
        <v>2</v>
      </c>
      <c r="I56" s="205">
        <f t="shared" si="0"/>
        <v>0.10526315789473684</v>
      </c>
      <c r="J56" s="206" t="s">
        <v>104</v>
      </c>
      <c r="K56" s="201"/>
    </row>
    <row r="57" spans="1:11" ht="30.5" customHeight="1">
      <c r="A57" s="198" t="s">
        <v>822</v>
      </c>
      <c r="B57" s="199" t="s">
        <v>49</v>
      </c>
      <c r="C57" s="199" t="s">
        <v>50</v>
      </c>
      <c r="D57" s="200" t="s">
        <v>51</v>
      </c>
      <c r="E57" s="201" t="s">
        <v>106</v>
      </c>
      <c r="F57" s="202" t="str">
        <f>VLOOKUP(D57,CSR!$D$4:$E$1180,2,FALSE)</f>
        <v>CSR_41103</v>
      </c>
      <c r="G57" s="203">
        <v>46143</v>
      </c>
      <c r="H57" s="204">
        <v>2</v>
      </c>
      <c r="I57" s="205">
        <f t="shared" si="0"/>
        <v>0.10526315789473684</v>
      </c>
      <c r="J57" s="206" t="s">
        <v>104</v>
      </c>
      <c r="K57" s="201"/>
    </row>
    <row r="58" spans="1:11" ht="30.5" customHeight="1">
      <c r="A58" s="198" t="s">
        <v>822</v>
      </c>
      <c r="B58" s="199" t="s">
        <v>16</v>
      </c>
      <c r="C58" s="199" t="s">
        <v>17</v>
      </c>
      <c r="D58" s="200" t="s">
        <v>18</v>
      </c>
      <c r="E58" s="201" t="s">
        <v>107</v>
      </c>
      <c r="F58" s="202" t="str">
        <f>VLOOKUP(D58,CSR!$D$4:$E$1180,2,FALSE)</f>
        <v>CSR_11300</v>
      </c>
      <c r="G58" s="203">
        <v>46143</v>
      </c>
      <c r="H58" s="204">
        <v>2</v>
      </c>
      <c r="I58" s="205">
        <f t="shared" si="0"/>
        <v>0.10526315789473684</v>
      </c>
      <c r="J58" s="206" t="s">
        <v>104</v>
      </c>
      <c r="K58" s="201"/>
    </row>
    <row r="59" spans="1:11" ht="30.5" customHeight="1">
      <c r="A59" s="198" t="s">
        <v>822</v>
      </c>
      <c r="B59" s="199" t="s">
        <v>49</v>
      </c>
      <c r="C59" s="199" t="s">
        <v>50</v>
      </c>
      <c r="D59" s="200" t="s">
        <v>51</v>
      </c>
      <c r="E59" s="201" t="s">
        <v>108</v>
      </c>
      <c r="F59" s="202" t="str">
        <f>VLOOKUP(D59,CSR!$D$4:$E$1180,2,FALSE)</f>
        <v>CSR_41103</v>
      </c>
      <c r="G59" s="203">
        <v>46150</v>
      </c>
      <c r="H59" s="204">
        <v>2</v>
      </c>
      <c r="I59" s="205">
        <f t="shared" si="0"/>
        <v>0.10526315789473684</v>
      </c>
      <c r="J59" s="206" t="s">
        <v>104</v>
      </c>
      <c r="K59" s="201"/>
    </row>
    <row r="60" spans="1:11" ht="30.5" customHeight="1">
      <c r="A60" s="198" t="s">
        <v>822</v>
      </c>
      <c r="B60" s="199" t="s">
        <v>16</v>
      </c>
      <c r="C60" s="199" t="s">
        <v>17</v>
      </c>
      <c r="D60" s="200" t="s">
        <v>65</v>
      </c>
      <c r="E60" s="201" t="s">
        <v>109</v>
      </c>
      <c r="F60" s="202" t="str">
        <f>VLOOKUP(D60,CSR!$D$4:$E$1180,2,FALSE)</f>
        <v>CSR_10800</v>
      </c>
      <c r="G60" s="203">
        <v>46150</v>
      </c>
      <c r="H60" s="204">
        <v>2</v>
      </c>
      <c r="I60" s="205">
        <f t="shared" si="0"/>
        <v>0.10526315789473684</v>
      </c>
      <c r="J60" s="206" t="s">
        <v>104</v>
      </c>
      <c r="K60" s="201"/>
    </row>
    <row r="61" spans="1:11" ht="30.5" customHeight="1">
      <c r="A61" s="198" t="s">
        <v>822</v>
      </c>
      <c r="B61" s="199" t="s">
        <v>16</v>
      </c>
      <c r="C61" s="199" t="s">
        <v>17</v>
      </c>
      <c r="D61" s="200" t="s">
        <v>44</v>
      </c>
      <c r="E61" s="201" t="s">
        <v>110</v>
      </c>
      <c r="F61" s="202" t="str">
        <f>VLOOKUP(D61,CSR!$D$4:$E$1180,2,FALSE)</f>
        <v>CSR_11416</v>
      </c>
      <c r="G61" s="203">
        <v>46157</v>
      </c>
      <c r="H61" s="204">
        <v>2</v>
      </c>
      <c r="I61" s="205">
        <f t="shared" si="0"/>
        <v>0.10526315789473684</v>
      </c>
      <c r="J61" s="206" t="s">
        <v>104</v>
      </c>
      <c r="K61" s="201"/>
    </row>
    <row r="62" spans="1:11" ht="30.5" customHeight="1">
      <c r="A62" s="198" t="s">
        <v>822</v>
      </c>
      <c r="B62" s="199" t="s">
        <v>49</v>
      </c>
      <c r="C62" s="199" t="s">
        <v>50</v>
      </c>
      <c r="D62" s="200" t="s">
        <v>51</v>
      </c>
      <c r="E62" s="201" t="s">
        <v>111</v>
      </c>
      <c r="F62" s="202" t="str">
        <f>VLOOKUP(D62,CSR!$D$4:$E$1180,2,FALSE)</f>
        <v>CSR_41103</v>
      </c>
      <c r="G62" s="203">
        <v>46157</v>
      </c>
      <c r="H62" s="204">
        <v>2</v>
      </c>
      <c r="I62" s="205">
        <f t="shared" si="0"/>
        <v>0.10526315789473684</v>
      </c>
      <c r="J62" s="206" t="s">
        <v>104</v>
      </c>
      <c r="K62" s="201"/>
    </row>
    <row r="63" spans="1:11" ht="30.5" customHeight="1">
      <c r="A63" s="198" t="s">
        <v>822</v>
      </c>
      <c r="B63" s="199" t="s">
        <v>16</v>
      </c>
      <c r="C63" s="199" t="s">
        <v>17</v>
      </c>
      <c r="D63" s="200" t="s">
        <v>44</v>
      </c>
      <c r="E63" s="201" t="s">
        <v>110</v>
      </c>
      <c r="F63" s="202" t="str">
        <f>VLOOKUP(D63,CSR!$D$4:$E$1180,2,FALSE)</f>
        <v>CSR_11416</v>
      </c>
      <c r="G63" s="203">
        <v>46162</v>
      </c>
      <c r="H63" s="204">
        <v>2</v>
      </c>
      <c r="I63" s="205">
        <f t="shared" si="0"/>
        <v>0.10526315789473684</v>
      </c>
      <c r="J63" s="206" t="s">
        <v>104</v>
      </c>
      <c r="K63" s="201"/>
    </row>
    <row r="64" spans="1:11" ht="30.5" customHeight="1">
      <c r="A64" s="198" t="s">
        <v>822</v>
      </c>
      <c r="B64" s="199" t="s">
        <v>16</v>
      </c>
      <c r="C64" s="199" t="s">
        <v>17</v>
      </c>
      <c r="D64" s="200" t="s">
        <v>44</v>
      </c>
      <c r="E64" s="201" t="s">
        <v>112</v>
      </c>
      <c r="F64" s="202" t="str">
        <f>VLOOKUP(D64,CSR!$D$4:$E$1180,2,FALSE)</f>
        <v>CSR_11416</v>
      </c>
      <c r="G64" s="203">
        <v>46162</v>
      </c>
      <c r="H64" s="204">
        <v>1</v>
      </c>
      <c r="I64" s="205">
        <f t="shared" si="0"/>
        <v>5.2631578947368418E-2</v>
      </c>
      <c r="J64" s="206" t="s">
        <v>104</v>
      </c>
      <c r="K64" s="201"/>
    </row>
    <row r="65" spans="1:11" ht="30.5" customHeight="1">
      <c r="A65" s="198" t="s">
        <v>821</v>
      </c>
      <c r="B65" s="199" t="s">
        <v>16</v>
      </c>
      <c r="C65" s="199" t="s">
        <v>17</v>
      </c>
      <c r="D65" s="200" t="s">
        <v>18</v>
      </c>
      <c r="E65" s="201" t="s">
        <v>113</v>
      </c>
      <c r="F65" s="202" t="str">
        <f>VLOOKUP(D65,CSR!$D$4:$E$1180,2,FALSE)</f>
        <v>CSR_11300</v>
      </c>
      <c r="G65" s="203">
        <v>46136</v>
      </c>
      <c r="H65" s="204">
        <v>2</v>
      </c>
      <c r="I65" s="205">
        <f t="shared" si="0"/>
        <v>0.10526315789473684</v>
      </c>
      <c r="J65" s="206" t="s">
        <v>114</v>
      </c>
      <c r="K65" s="201"/>
    </row>
    <row r="66" spans="1:11" ht="30.5" customHeight="1">
      <c r="A66" s="198" t="s">
        <v>821</v>
      </c>
      <c r="B66" s="199" t="s">
        <v>16</v>
      </c>
      <c r="C66" s="199" t="s">
        <v>17</v>
      </c>
      <c r="D66" s="200" t="s">
        <v>18</v>
      </c>
      <c r="E66" s="201" t="s">
        <v>115</v>
      </c>
      <c r="F66" s="202" t="str">
        <f>VLOOKUP(D66,CSR!$D$4:$E$1180,2,FALSE)</f>
        <v>CSR_11300</v>
      </c>
      <c r="G66" s="203">
        <v>46136</v>
      </c>
      <c r="H66" s="204">
        <v>2</v>
      </c>
      <c r="I66" s="205">
        <f t="shared" ref="I66:I129" si="1">H66*10/190</f>
        <v>0.10526315789473684</v>
      </c>
      <c r="J66" s="206" t="s">
        <v>114</v>
      </c>
      <c r="K66" s="201"/>
    </row>
    <row r="67" spans="1:11" ht="30.5" customHeight="1">
      <c r="A67" s="198" t="s">
        <v>822</v>
      </c>
      <c r="B67" s="199" t="s">
        <v>70</v>
      </c>
      <c r="C67" s="199" t="s">
        <v>71</v>
      </c>
      <c r="D67" s="200" t="s">
        <v>72</v>
      </c>
      <c r="E67" s="201" t="s">
        <v>116</v>
      </c>
      <c r="F67" s="202" t="str">
        <f>VLOOKUP(D67,CSR!$D$4:$E$1180,2,FALSE)</f>
        <v>CSR_20400</v>
      </c>
      <c r="G67" s="203">
        <v>46143</v>
      </c>
      <c r="H67" s="204">
        <v>2</v>
      </c>
      <c r="I67" s="205">
        <f t="shared" si="1"/>
        <v>0.10526315789473684</v>
      </c>
      <c r="J67" s="206" t="s">
        <v>114</v>
      </c>
      <c r="K67" s="201"/>
    </row>
    <row r="68" spans="1:11" ht="30.5" customHeight="1">
      <c r="A68" s="198" t="s">
        <v>822</v>
      </c>
      <c r="B68" s="199" t="s">
        <v>70</v>
      </c>
      <c r="C68" s="199" t="s">
        <v>71</v>
      </c>
      <c r="D68" s="200" t="s">
        <v>72</v>
      </c>
      <c r="E68" s="201" t="s">
        <v>117</v>
      </c>
      <c r="F68" s="202" t="str">
        <f>VLOOKUP(D68,CSR!$D$4:$E$1180,2,FALSE)</f>
        <v>CSR_20400</v>
      </c>
      <c r="G68" s="203">
        <v>46143</v>
      </c>
      <c r="H68" s="204">
        <v>2</v>
      </c>
      <c r="I68" s="205">
        <f t="shared" si="1"/>
        <v>0.10526315789473684</v>
      </c>
      <c r="J68" s="206" t="s">
        <v>114</v>
      </c>
      <c r="K68" s="201"/>
    </row>
    <row r="69" spans="1:11" ht="30.5" customHeight="1">
      <c r="A69" s="198" t="s">
        <v>822</v>
      </c>
      <c r="B69" s="199" t="s">
        <v>16</v>
      </c>
      <c r="C69" s="199" t="s">
        <v>17</v>
      </c>
      <c r="D69" s="200" t="s">
        <v>44</v>
      </c>
      <c r="E69" s="201" t="s">
        <v>118</v>
      </c>
      <c r="F69" s="202" t="str">
        <f>VLOOKUP(D69,CSR!$D$4:$E$1180,2,FALSE)</f>
        <v>CSR_11416</v>
      </c>
      <c r="G69" s="203">
        <v>46150</v>
      </c>
      <c r="H69" s="204">
        <v>2</v>
      </c>
      <c r="I69" s="205">
        <f t="shared" si="1"/>
        <v>0.10526315789473684</v>
      </c>
      <c r="J69" s="206" t="s">
        <v>114</v>
      </c>
      <c r="K69" s="201"/>
    </row>
    <row r="70" spans="1:11" ht="30.5" customHeight="1">
      <c r="A70" s="198" t="s">
        <v>822</v>
      </c>
      <c r="B70" s="199" t="s">
        <v>16</v>
      </c>
      <c r="C70" s="199" t="s">
        <v>17</v>
      </c>
      <c r="D70" s="200" t="s">
        <v>44</v>
      </c>
      <c r="E70" s="201" t="s">
        <v>119</v>
      </c>
      <c r="F70" s="202" t="str">
        <f>VLOOKUP(D70,CSR!$D$4:$E$1180,2,FALSE)</f>
        <v>CSR_11416</v>
      </c>
      <c r="G70" s="203">
        <v>46150</v>
      </c>
      <c r="H70" s="204">
        <v>2</v>
      </c>
      <c r="I70" s="205">
        <f t="shared" si="1"/>
        <v>0.10526315789473684</v>
      </c>
      <c r="J70" s="206" t="s">
        <v>114</v>
      </c>
      <c r="K70" s="201"/>
    </row>
    <row r="71" spans="1:11" ht="30.5" customHeight="1">
      <c r="A71" s="198" t="s">
        <v>822</v>
      </c>
      <c r="B71" s="199" t="s">
        <v>16</v>
      </c>
      <c r="C71" s="199" t="s">
        <v>17</v>
      </c>
      <c r="D71" s="200" t="s">
        <v>44</v>
      </c>
      <c r="E71" s="201" t="s">
        <v>120</v>
      </c>
      <c r="F71" s="202" t="str">
        <f>VLOOKUP(D71,CSR!$D$4:$E$1180,2,FALSE)</f>
        <v>CSR_11416</v>
      </c>
      <c r="G71" s="203">
        <v>46157</v>
      </c>
      <c r="H71" s="204">
        <v>2</v>
      </c>
      <c r="I71" s="205">
        <f t="shared" si="1"/>
        <v>0.10526315789473684</v>
      </c>
      <c r="J71" s="206" t="s">
        <v>114</v>
      </c>
      <c r="K71" s="201"/>
    </row>
    <row r="72" spans="1:11" ht="30.5" customHeight="1">
      <c r="A72" s="198" t="s">
        <v>822</v>
      </c>
      <c r="B72" s="199" t="s">
        <v>16</v>
      </c>
      <c r="C72" s="199" t="s">
        <v>17</v>
      </c>
      <c r="D72" s="200" t="s">
        <v>44</v>
      </c>
      <c r="E72" s="201" t="s">
        <v>121</v>
      </c>
      <c r="F72" s="202" t="str">
        <f>VLOOKUP(D72,CSR!$D$4:$E$1180,2,FALSE)</f>
        <v>CSR_11416</v>
      </c>
      <c r="G72" s="203">
        <v>46157</v>
      </c>
      <c r="H72" s="204">
        <v>2</v>
      </c>
      <c r="I72" s="205">
        <f t="shared" si="1"/>
        <v>0.10526315789473684</v>
      </c>
      <c r="J72" s="206" t="s">
        <v>114</v>
      </c>
      <c r="K72" s="201"/>
    </row>
    <row r="73" spans="1:11" ht="30.5" customHeight="1">
      <c r="A73" s="198" t="s">
        <v>822</v>
      </c>
      <c r="B73" s="199" t="s">
        <v>16</v>
      </c>
      <c r="C73" s="199" t="s">
        <v>17</v>
      </c>
      <c r="D73" s="200" t="s">
        <v>44</v>
      </c>
      <c r="E73" s="201" t="s">
        <v>122</v>
      </c>
      <c r="F73" s="202" t="str">
        <f>VLOOKUP(D73,CSR!$D$4:$E$1180,2,FALSE)</f>
        <v>CSR_11416</v>
      </c>
      <c r="G73" s="203">
        <v>46162</v>
      </c>
      <c r="H73" s="204">
        <v>2</v>
      </c>
      <c r="I73" s="205">
        <f t="shared" si="1"/>
        <v>0.10526315789473684</v>
      </c>
      <c r="J73" s="206" t="s">
        <v>114</v>
      </c>
      <c r="K73" s="201"/>
    </row>
    <row r="74" spans="1:11" ht="30.5" customHeight="1">
      <c r="A74" s="198" t="s">
        <v>822</v>
      </c>
      <c r="B74" s="199" t="s">
        <v>16</v>
      </c>
      <c r="C74" s="199" t="s">
        <v>17</v>
      </c>
      <c r="D74" s="200" t="s">
        <v>44</v>
      </c>
      <c r="E74" s="201" t="s">
        <v>123</v>
      </c>
      <c r="F74" s="202" t="str">
        <f>VLOOKUP(D74,CSR!$D$4:$E$1180,2,FALSE)</f>
        <v>CSR_11416</v>
      </c>
      <c r="G74" s="203">
        <v>46162</v>
      </c>
      <c r="H74" s="204">
        <v>1</v>
      </c>
      <c r="I74" s="205">
        <f t="shared" si="1"/>
        <v>5.2631578947368418E-2</v>
      </c>
      <c r="J74" s="206" t="s">
        <v>114</v>
      </c>
      <c r="K74" s="201"/>
    </row>
    <row r="75" spans="1:11" ht="30.5" customHeight="1">
      <c r="A75" s="198" t="s">
        <v>821</v>
      </c>
      <c r="B75" s="199" t="s">
        <v>49</v>
      </c>
      <c r="C75" s="199" t="s">
        <v>50</v>
      </c>
      <c r="D75" s="200" t="s">
        <v>51</v>
      </c>
      <c r="E75" s="201" t="s">
        <v>124</v>
      </c>
      <c r="F75" s="202" t="str">
        <f>VLOOKUP(D75,CSR!$D$4:$E$1180,2,FALSE)</f>
        <v>CSR_41103</v>
      </c>
      <c r="G75" s="203">
        <v>46136</v>
      </c>
      <c r="H75" s="204">
        <v>2</v>
      </c>
      <c r="I75" s="205">
        <f t="shared" si="1"/>
        <v>0.10526315789473684</v>
      </c>
      <c r="J75" s="206" t="s">
        <v>125</v>
      </c>
      <c r="K75" s="201"/>
    </row>
    <row r="76" spans="1:11" ht="30.5" customHeight="1">
      <c r="A76" s="198" t="s">
        <v>821</v>
      </c>
      <c r="B76" s="199" t="s">
        <v>16</v>
      </c>
      <c r="C76" s="199" t="s">
        <v>17</v>
      </c>
      <c r="D76" s="200" t="s">
        <v>18</v>
      </c>
      <c r="E76" s="201" t="s">
        <v>126</v>
      </c>
      <c r="F76" s="202" t="str">
        <f>VLOOKUP(D76,CSR!$D$4:$E$1180,2,FALSE)</f>
        <v>CSR_11300</v>
      </c>
      <c r="G76" s="203">
        <v>46136</v>
      </c>
      <c r="H76" s="204">
        <v>2</v>
      </c>
      <c r="I76" s="205">
        <f t="shared" si="1"/>
        <v>0.10526315789473684</v>
      </c>
      <c r="J76" s="206" t="s">
        <v>125</v>
      </c>
      <c r="K76" s="201"/>
    </row>
    <row r="77" spans="1:11" ht="30.5" customHeight="1">
      <c r="A77" s="198" t="s">
        <v>822</v>
      </c>
      <c r="B77" s="199" t="s">
        <v>49</v>
      </c>
      <c r="C77" s="199" t="s">
        <v>50</v>
      </c>
      <c r="D77" s="200" t="s">
        <v>51</v>
      </c>
      <c r="E77" s="201" t="s">
        <v>127</v>
      </c>
      <c r="F77" s="202" t="str">
        <f>VLOOKUP(D77,CSR!$D$4:$E$1180,2,FALSE)</f>
        <v>CSR_41103</v>
      </c>
      <c r="G77" s="203">
        <v>46143</v>
      </c>
      <c r="H77" s="204">
        <v>2</v>
      </c>
      <c r="I77" s="205">
        <f t="shared" si="1"/>
        <v>0.10526315789473684</v>
      </c>
      <c r="J77" s="206" t="s">
        <v>125</v>
      </c>
      <c r="K77" s="201"/>
    </row>
    <row r="78" spans="1:11" ht="30.5" customHeight="1">
      <c r="A78" s="198" t="s">
        <v>822</v>
      </c>
      <c r="B78" s="199" t="s">
        <v>16</v>
      </c>
      <c r="C78" s="199" t="s">
        <v>17</v>
      </c>
      <c r="D78" s="200" t="s">
        <v>18</v>
      </c>
      <c r="E78" s="201" t="s">
        <v>126</v>
      </c>
      <c r="F78" s="202" t="str">
        <f>VLOOKUP(D78,CSR!$D$4:$E$1180,2,FALSE)</f>
        <v>CSR_11300</v>
      </c>
      <c r="G78" s="203">
        <v>46143</v>
      </c>
      <c r="H78" s="204">
        <v>2</v>
      </c>
      <c r="I78" s="205">
        <f t="shared" si="1"/>
        <v>0.10526315789473684</v>
      </c>
      <c r="J78" s="206" t="s">
        <v>125</v>
      </c>
      <c r="K78" s="201"/>
    </row>
    <row r="79" spans="1:11" ht="30.5" customHeight="1">
      <c r="A79" s="198" t="s">
        <v>822</v>
      </c>
      <c r="B79" s="199" t="s">
        <v>49</v>
      </c>
      <c r="C79" s="199" t="s">
        <v>50</v>
      </c>
      <c r="D79" s="200" t="s">
        <v>51</v>
      </c>
      <c r="E79" s="201" t="s">
        <v>128</v>
      </c>
      <c r="F79" s="202" t="str">
        <f>VLOOKUP(D79,CSR!$D$4:$E$1180,2,FALSE)</f>
        <v>CSR_41103</v>
      </c>
      <c r="G79" s="203">
        <v>46150</v>
      </c>
      <c r="H79" s="204">
        <v>2</v>
      </c>
      <c r="I79" s="205">
        <f t="shared" si="1"/>
        <v>0.10526315789473684</v>
      </c>
      <c r="J79" s="206" t="s">
        <v>125</v>
      </c>
      <c r="K79" s="201"/>
    </row>
    <row r="80" spans="1:11" ht="30.5" customHeight="1">
      <c r="A80" s="198" t="s">
        <v>822</v>
      </c>
      <c r="B80" s="199" t="s">
        <v>16</v>
      </c>
      <c r="C80" s="199" t="s">
        <v>17</v>
      </c>
      <c r="D80" s="200" t="s">
        <v>44</v>
      </c>
      <c r="E80" s="201" t="s">
        <v>126</v>
      </c>
      <c r="F80" s="202" t="str">
        <f>VLOOKUP(D80,CSR!$D$4:$E$1180,2,FALSE)</f>
        <v>CSR_11416</v>
      </c>
      <c r="G80" s="203">
        <v>46150</v>
      </c>
      <c r="H80" s="204">
        <v>2</v>
      </c>
      <c r="I80" s="205">
        <f t="shared" si="1"/>
        <v>0.10526315789473684</v>
      </c>
      <c r="J80" s="206" t="s">
        <v>125</v>
      </c>
      <c r="K80" s="201"/>
    </row>
    <row r="81" spans="1:11" ht="30.5" customHeight="1">
      <c r="A81" s="198" t="s">
        <v>822</v>
      </c>
      <c r="B81" s="199" t="s">
        <v>16</v>
      </c>
      <c r="C81" s="199" t="s">
        <v>17</v>
      </c>
      <c r="D81" s="200" t="s">
        <v>18</v>
      </c>
      <c r="E81" s="201" t="s">
        <v>129</v>
      </c>
      <c r="F81" s="202" t="str">
        <f>VLOOKUP(D81,CSR!$D$4:$E$1180,2,FALSE)</f>
        <v>CSR_11300</v>
      </c>
      <c r="G81" s="203">
        <v>46157</v>
      </c>
      <c r="H81" s="204">
        <v>2</v>
      </c>
      <c r="I81" s="205">
        <f t="shared" si="1"/>
        <v>0.10526315789473684</v>
      </c>
      <c r="J81" s="206" t="s">
        <v>125</v>
      </c>
      <c r="K81" s="201"/>
    </row>
    <row r="82" spans="1:11" ht="30.5" customHeight="1">
      <c r="A82" s="198" t="s">
        <v>822</v>
      </c>
      <c r="B82" s="199" t="s">
        <v>16</v>
      </c>
      <c r="C82" s="199" t="s">
        <v>17</v>
      </c>
      <c r="D82" s="200" t="s">
        <v>18</v>
      </c>
      <c r="E82" s="201" t="s">
        <v>126</v>
      </c>
      <c r="F82" s="202" t="str">
        <f>VLOOKUP(D82,CSR!$D$4:$E$1180,2,FALSE)</f>
        <v>CSR_11300</v>
      </c>
      <c r="G82" s="203">
        <v>46157</v>
      </c>
      <c r="H82" s="204">
        <v>2</v>
      </c>
      <c r="I82" s="205">
        <f t="shared" si="1"/>
        <v>0.10526315789473684</v>
      </c>
      <c r="J82" s="206" t="s">
        <v>125</v>
      </c>
      <c r="K82" s="201"/>
    </row>
    <row r="83" spans="1:11" ht="30.5" customHeight="1">
      <c r="A83" s="198" t="s">
        <v>822</v>
      </c>
      <c r="B83" s="199" t="s">
        <v>16</v>
      </c>
      <c r="C83" s="199" t="s">
        <v>17</v>
      </c>
      <c r="D83" s="200" t="s">
        <v>44</v>
      </c>
      <c r="E83" s="201" t="s">
        <v>130</v>
      </c>
      <c r="F83" s="202" t="str">
        <f>VLOOKUP(D83,CSR!$D$4:$E$1180,2,FALSE)</f>
        <v>CSR_11416</v>
      </c>
      <c r="G83" s="203">
        <v>46162</v>
      </c>
      <c r="H83" s="204">
        <v>2</v>
      </c>
      <c r="I83" s="205">
        <f t="shared" si="1"/>
        <v>0.10526315789473684</v>
      </c>
      <c r="J83" s="206" t="s">
        <v>125</v>
      </c>
      <c r="K83" s="201"/>
    </row>
    <row r="84" spans="1:11" ht="30.5" customHeight="1">
      <c r="A84" s="198" t="s">
        <v>822</v>
      </c>
      <c r="B84" s="199" t="s">
        <v>16</v>
      </c>
      <c r="C84" s="199" t="s">
        <v>17</v>
      </c>
      <c r="D84" s="200" t="s">
        <v>44</v>
      </c>
      <c r="E84" s="201" t="s">
        <v>126</v>
      </c>
      <c r="F84" s="202" t="str">
        <f>VLOOKUP(D84,CSR!$D$4:$E$1180,2,FALSE)</f>
        <v>CSR_11416</v>
      </c>
      <c r="G84" s="203">
        <v>46162</v>
      </c>
      <c r="H84" s="204">
        <v>1</v>
      </c>
      <c r="I84" s="205">
        <f t="shared" si="1"/>
        <v>5.2631578947368418E-2</v>
      </c>
      <c r="J84" s="206" t="s">
        <v>125</v>
      </c>
      <c r="K84" s="201"/>
    </row>
    <row r="85" spans="1:11" ht="30.5" customHeight="1">
      <c r="A85" s="198" t="s">
        <v>821</v>
      </c>
      <c r="B85" s="199" t="s">
        <v>16</v>
      </c>
      <c r="C85" s="199" t="s">
        <v>17</v>
      </c>
      <c r="D85" s="209" t="s">
        <v>131</v>
      </c>
      <c r="E85" s="201" t="s">
        <v>132</v>
      </c>
      <c r="F85" s="202" t="str">
        <f>VLOOKUP(D85,CSR!$D$4:$E$1180,2,FALSE)</f>
        <v>CSR_10400</v>
      </c>
      <c r="G85" s="203">
        <v>46136</v>
      </c>
      <c r="H85" s="204">
        <v>2</v>
      </c>
      <c r="I85" s="205">
        <f t="shared" si="1"/>
        <v>0.10526315789473684</v>
      </c>
      <c r="J85" s="206" t="s">
        <v>134</v>
      </c>
      <c r="K85" s="201"/>
    </row>
    <row r="86" spans="1:11" ht="30.5" customHeight="1">
      <c r="A86" s="198" t="s">
        <v>821</v>
      </c>
      <c r="B86" s="199" t="s">
        <v>16</v>
      </c>
      <c r="C86" s="199" t="s">
        <v>17</v>
      </c>
      <c r="D86" s="200" t="s">
        <v>18</v>
      </c>
      <c r="E86" s="201" t="s">
        <v>135</v>
      </c>
      <c r="F86" s="202" t="str">
        <f>VLOOKUP(D86,CSR!$D$4:$E$1180,2,FALSE)</f>
        <v>CSR_11300</v>
      </c>
      <c r="G86" s="203">
        <v>46136</v>
      </c>
      <c r="H86" s="204">
        <v>2</v>
      </c>
      <c r="I86" s="205">
        <f t="shared" si="1"/>
        <v>0.10526315789473684</v>
      </c>
      <c r="J86" s="206" t="s">
        <v>134</v>
      </c>
      <c r="K86" s="201"/>
    </row>
    <row r="87" spans="1:11" ht="30.5" customHeight="1">
      <c r="A87" s="198" t="s">
        <v>822</v>
      </c>
      <c r="B87" s="199" t="s">
        <v>70</v>
      </c>
      <c r="C87" s="199" t="s">
        <v>71</v>
      </c>
      <c r="D87" s="200" t="s">
        <v>72</v>
      </c>
      <c r="E87" s="201" t="s">
        <v>136</v>
      </c>
      <c r="F87" s="202" t="str">
        <f>VLOOKUP(D87,CSR!$D$4:$E$1180,2,FALSE)</f>
        <v>CSR_20400</v>
      </c>
      <c r="G87" s="203">
        <v>46143</v>
      </c>
      <c r="H87" s="204">
        <v>2</v>
      </c>
      <c r="I87" s="205">
        <f t="shared" si="1"/>
        <v>0.10526315789473684</v>
      </c>
      <c r="J87" s="206" t="s">
        <v>134</v>
      </c>
      <c r="K87" s="201"/>
    </row>
    <row r="88" spans="1:11" ht="30.5" customHeight="1">
      <c r="A88" s="198" t="s">
        <v>822</v>
      </c>
      <c r="B88" s="199" t="s">
        <v>16</v>
      </c>
      <c r="C88" s="199" t="s">
        <v>17</v>
      </c>
      <c r="D88" s="200" t="s">
        <v>18</v>
      </c>
      <c r="E88" s="201" t="s">
        <v>135</v>
      </c>
      <c r="F88" s="202" t="str">
        <f>VLOOKUP(D88,CSR!$D$4:$E$1180,2,FALSE)</f>
        <v>CSR_11300</v>
      </c>
      <c r="G88" s="203">
        <v>46143</v>
      </c>
      <c r="H88" s="204">
        <v>2</v>
      </c>
      <c r="I88" s="205">
        <f t="shared" si="1"/>
        <v>0.10526315789473684</v>
      </c>
      <c r="J88" s="206" t="s">
        <v>134</v>
      </c>
      <c r="K88" s="201"/>
    </row>
    <row r="89" spans="1:11" ht="30.5" customHeight="1">
      <c r="A89" s="198" t="s">
        <v>822</v>
      </c>
      <c r="B89" s="199" t="s">
        <v>16</v>
      </c>
      <c r="C89" s="199" t="s">
        <v>17</v>
      </c>
      <c r="D89" s="200" t="s">
        <v>18</v>
      </c>
      <c r="E89" s="201" t="s">
        <v>137</v>
      </c>
      <c r="F89" s="202" t="str">
        <f>VLOOKUP(D89,CSR!$D$4:$E$1180,2,FALSE)</f>
        <v>CSR_11300</v>
      </c>
      <c r="G89" s="203">
        <v>46150</v>
      </c>
      <c r="H89" s="204">
        <v>2</v>
      </c>
      <c r="I89" s="205">
        <f t="shared" si="1"/>
        <v>0.10526315789473684</v>
      </c>
      <c r="J89" s="206" t="s">
        <v>134</v>
      </c>
      <c r="K89" s="201"/>
    </row>
    <row r="90" spans="1:11" ht="30.5" customHeight="1">
      <c r="A90" s="198" t="s">
        <v>822</v>
      </c>
      <c r="B90" s="199" t="s">
        <v>16</v>
      </c>
      <c r="C90" s="199" t="s">
        <v>17</v>
      </c>
      <c r="D90" s="200" t="s">
        <v>44</v>
      </c>
      <c r="E90" s="201" t="s">
        <v>135</v>
      </c>
      <c r="F90" s="202" t="str">
        <f>VLOOKUP(D90,CSR!$D$4:$E$1180,2,FALSE)</f>
        <v>CSR_11416</v>
      </c>
      <c r="G90" s="203">
        <v>46150</v>
      </c>
      <c r="H90" s="204">
        <v>2</v>
      </c>
      <c r="I90" s="205">
        <f t="shared" si="1"/>
        <v>0.10526315789473684</v>
      </c>
      <c r="J90" s="206" t="s">
        <v>134</v>
      </c>
      <c r="K90" s="201"/>
    </row>
    <row r="91" spans="1:11" ht="30.5" customHeight="1">
      <c r="A91" s="198" t="s">
        <v>822</v>
      </c>
      <c r="B91" s="199" t="s">
        <v>49</v>
      </c>
      <c r="C91" s="199" t="s">
        <v>50</v>
      </c>
      <c r="D91" s="200" t="s">
        <v>51</v>
      </c>
      <c r="E91" s="201" t="s">
        <v>138</v>
      </c>
      <c r="F91" s="202" t="str">
        <f>VLOOKUP(D91,CSR!$D$4:$E$1180,2,FALSE)</f>
        <v>CSR_41103</v>
      </c>
      <c r="G91" s="203">
        <v>46157</v>
      </c>
      <c r="H91" s="204">
        <v>2</v>
      </c>
      <c r="I91" s="205">
        <f t="shared" si="1"/>
        <v>0.10526315789473684</v>
      </c>
      <c r="J91" s="206" t="s">
        <v>134</v>
      </c>
      <c r="K91" s="201"/>
    </row>
    <row r="92" spans="1:11" ht="30.5" customHeight="1">
      <c r="A92" s="198" t="s">
        <v>822</v>
      </c>
      <c r="B92" s="199" t="s">
        <v>16</v>
      </c>
      <c r="C92" s="199" t="s">
        <v>17</v>
      </c>
      <c r="D92" s="200" t="s">
        <v>44</v>
      </c>
      <c r="E92" s="201" t="s">
        <v>135</v>
      </c>
      <c r="F92" s="202" t="str">
        <f>VLOOKUP(D92,CSR!$D$4:$E$1180,2,FALSE)</f>
        <v>CSR_11416</v>
      </c>
      <c r="G92" s="203">
        <v>46157</v>
      </c>
      <c r="H92" s="204">
        <v>2</v>
      </c>
      <c r="I92" s="205">
        <f t="shared" si="1"/>
        <v>0.10526315789473684</v>
      </c>
      <c r="J92" s="206" t="s">
        <v>134</v>
      </c>
      <c r="K92" s="201"/>
    </row>
    <row r="93" spans="1:11" ht="30.5" customHeight="1">
      <c r="A93" s="198" t="s">
        <v>822</v>
      </c>
      <c r="B93" s="199" t="s">
        <v>16</v>
      </c>
      <c r="C93" s="199" t="s">
        <v>17</v>
      </c>
      <c r="D93" s="200" t="s">
        <v>18</v>
      </c>
      <c r="E93" s="201" t="s">
        <v>139</v>
      </c>
      <c r="F93" s="202" t="str">
        <f>VLOOKUP(D93,CSR!$D$4:$E$1180,2,FALSE)</f>
        <v>CSR_11300</v>
      </c>
      <c r="G93" s="203">
        <v>46162</v>
      </c>
      <c r="H93" s="204">
        <v>2</v>
      </c>
      <c r="I93" s="205">
        <f t="shared" si="1"/>
        <v>0.10526315789473684</v>
      </c>
      <c r="J93" s="206" t="s">
        <v>134</v>
      </c>
      <c r="K93" s="201"/>
    </row>
    <row r="94" spans="1:11" ht="30.5" customHeight="1">
      <c r="A94" s="198" t="s">
        <v>822</v>
      </c>
      <c r="B94" s="199" t="s">
        <v>16</v>
      </c>
      <c r="C94" s="199" t="s">
        <v>17</v>
      </c>
      <c r="D94" s="200" t="s">
        <v>44</v>
      </c>
      <c r="E94" s="201" t="s">
        <v>135</v>
      </c>
      <c r="F94" s="202" t="str">
        <f>VLOOKUP(D94,CSR!$D$4:$E$1180,2,FALSE)</f>
        <v>CSR_11416</v>
      </c>
      <c r="G94" s="203">
        <v>46162</v>
      </c>
      <c r="H94" s="204">
        <v>1</v>
      </c>
      <c r="I94" s="205">
        <f t="shared" si="1"/>
        <v>5.2631578947368418E-2</v>
      </c>
      <c r="J94" s="206" t="s">
        <v>134</v>
      </c>
      <c r="K94" s="201"/>
    </row>
    <row r="95" spans="1:11" ht="30.5" customHeight="1">
      <c r="A95" s="198" t="s">
        <v>821</v>
      </c>
      <c r="B95" s="199" t="s">
        <v>16</v>
      </c>
      <c r="C95" s="199" t="s">
        <v>17</v>
      </c>
      <c r="D95" s="200" t="s">
        <v>44</v>
      </c>
      <c r="E95" s="210" t="s">
        <v>825</v>
      </c>
      <c r="F95" s="202" t="str">
        <f>VLOOKUP(D95,CSR!$D$4:$E$1180,2,FALSE)</f>
        <v>CSR_11416</v>
      </c>
      <c r="G95" s="203" t="s">
        <v>826</v>
      </c>
      <c r="H95" s="208">
        <v>3</v>
      </c>
      <c r="I95" s="205">
        <f t="shared" si="1"/>
        <v>0.15789473684210525</v>
      </c>
      <c r="J95" s="211" t="s">
        <v>827</v>
      </c>
      <c r="K95" s="204"/>
    </row>
    <row r="96" spans="1:11" ht="30.5" customHeight="1">
      <c r="A96" s="198" t="s">
        <v>821</v>
      </c>
      <c r="B96" s="199" t="s">
        <v>16</v>
      </c>
      <c r="C96" s="199" t="s">
        <v>17</v>
      </c>
      <c r="D96" s="200" t="s">
        <v>44</v>
      </c>
      <c r="E96" s="201" t="s">
        <v>828</v>
      </c>
      <c r="F96" s="202" t="str">
        <f>VLOOKUP(D96,CSR!$D$4:$E$1180,2,FALSE)</f>
        <v>CSR_11416</v>
      </c>
      <c r="G96" s="203" t="s">
        <v>829</v>
      </c>
      <c r="H96" s="208">
        <v>4</v>
      </c>
      <c r="I96" s="205">
        <f t="shared" si="1"/>
        <v>0.21052631578947367</v>
      </c>
      <c r="J96" s="211" t="s">
        <v>827</v>
      </c>
      <c r="K96" s="204"/>
    </row>
    <row r="97" spans="1:11" ht="30.5" customHeight="1">
      <c r="A97" s="198" t="s">
        <v>822</v>
      </c>
      <c r="B97" s="199" t="s">
        <v>16</v>
      </c>
      <c r="C97" s="199" t="s">
        <v>17</v>
      </c>
      <c r="D97" s="200" t="s">
        <v>44</v>
      </c>
      <c r="E97" s="201" t="s">
        <v>830</v>
      </c>
      <c r="F97" s="202" t="str">
        <f>VLOOKUP(D97,CSR!$D$4:$E$1180,2,FALSE)</f>
        <v>CSR_11416</v>
      </c>
      <c r="G97" s="203" t="s">
        <v>831</v>
      </c>
      <c r="H97" s="204">
        <v>4</v>
      </c>
      <c r="I97" s="205">
        <f t="shared" si="1"/>
        <v>0.21052631578947367</v>
      </c>
      <c r="J97" s="211" t="s">
        <v>827</v>
      </c>
      <c r="K97" s="204"/>
    </row>
    <row r="98" spans="1:11" ht="30.5" customHeight="1">
      <c r="A98" s="198" t="s">
        <v>822</v>
      </c>
      <c r="B98" s="199" t="s">
        <v>16</v>
      </c>
      <c r="C98" s="199" t="s">
        <v>17</v>
      </c>
      <c r="D98" s="200" t="s">
        <v>44</v>
      </c>
      <c r="E98" s="201" t="s">
        <v>832</v>
      </c>
      <c r="F98" s="202" t="str">
        <f>VLOOKUP(D98,CSR!$D$4:$E$1180,2,FALSE)</f>
        <v>CSR_11416</v>
      </c>
      <c r="G98" s="203" t="s">
        <v>833</v>
      </c>
      <c r="H98" s="208">
        <v>4</v>
      </c>
      <c r="I98" s="205">
        <f t="shared" si="1"/>
        <v>0.21052631578947367</v>
      </c>
      <c r="J98" s="211" t="s">
        <v>827</v>
      </c>
      <c r="K98" s="204"/>
    </row>
    <row r="99" spans="1:11" ht="30.5" customHeight="1">
      <c r="A99" s="198" t="s">
        <v>822</v>
      </c>
      <c r="B99" s="199" t="s">
        <v>16</v>
      </c>
      <c r="C99" s="199" t="s">
        <v>17</v>
      </c>
      <c r="D99" s="200" t="s">
        <v>44</v>
      </c>
      <c r="E99" s="201" t="s">
        <v>834</v>
      </c>
      <c r="F99" s="202" t="str">
        <f>VLOOKUP(D99,CSR!$D$4:$E$1180,2,FALSE)</f>
        <v>CSR_11416</v>
      </c>
      <c r="G99" s="203" t="s">
        <v>835</v>
      </c>
      <c r="H99" s="212">
        <v>2</v>
      </c>
      <c r="I99" s="205">
        <f t="shared" si="1"/>
        <v>0.10526315789473684</v>
      </c>
      <c r="J99" s="211" t="s">
        <v>827</v>
      </c>
      <c r="K99" s="204"/>
    </row>
    <row r="100" spans="1:11" ht="30.5" customHeight="1">
      <c r="A100" s="198" t="s">
        <v>822</v>
      </c>
      <c r="B100" s="199" t="s">
        <v>16</v>
      </c>
      <c r="C100" s="199" t="s">
        <v>17</v>
      </c>
      <c r="D100" s="200" t="s">
        <v>44</v>
      </c>
      <c r="E100" s="201" t="s">
        <v>836</v>
      </c>
      <c r="F100" s="202" t="str">
        <f>VLOOKUP(D100,CSR!$D$4:$E$1180,2,FALSE)</f>
        <v>CSR_11416</v>
      </c>
      <c r="G100" s="203" t="s">
        <v>837</v>
      </c>
      <c r="H100" s="208">
        <v>2</v>
      </c>
      <c r="I100" s="205">
        <f t="shared" si="1"/>
        <v>0.10526315789473684</v>
      </c>
      <c r="J100" s="211" t="s">
        <v>827</v>
      </c>
      <c r="K100" s="204"/>
    </row>
    <row r="101" spans="1:11" ht="30.5" customHeight="1">
      <c r="A101" s="198" t="s">
        <v>821</v>
      </c>
      <c r="B101" s="199" t="s">
        <v>16</v>
      </c>
      <c r="C101" s="199" t="s">
        <v>17</v>
      </c>
      <c r="D101" s="200" t="s">
        <v>44</v>
      </c>
      <c r="E101" s="210" t="s">
        <v>838</v>
      </c>
      <c r="F101" s="202" t="str">
        <f>VLOOKUP(D101,CSR!$D$4:$E$1180,2,FALSE)</f>
        <v>CSR_11416</v>
      </c>
      <c r="G101" s="203" t="s">
        <v>141</v>
      </c>
      <c r="H101" s="208">
        <v>3</v>
      </c>
      <c r="I101" s="205">
        <f t="shared" si="1"/>
        <v>0.15789473684210525</v>
      </c>
      <c r="J101" s="211" t="s">
        <v>839</v>
      </c>
      <c r="K101" s="204"/>
    </row>
    <row r="102" spans="1:11" ht="30.5" customHeight="1">
      <c r="A102" s="198" t="s">
        <v>821</v>
      </c>
      <c r="B102" s="199" t="s">
        <v>16</v>
      </c>
      <c r="C102" s="199" t="s">
        <v>17</v>
      </c>
      <c r="D102" s="200" t="s">
        <v>44</v>
      </c>
      <c r="E102" s="210" t="s">
        <v>840</v>
      </c>
      <c r="F102" s="202" t="str">
        <f>VLOOKUP(D102,CSR!$D$4:$E$1180,2,FALSE)</f>
        <v>CSR_11416</v>
      </c>
      <c r="G102" s="203" t="s">
        <v>144</v>
      </c>
      <c r="H102" s="208">
        <v>4</v>
      </c>
      <c r="I102" s="205">
        <f t="shared" si="1"/>
        <v>0.21052631578947367</v>
      </c>
      <c r="J102" s="211" t="s">
        <v>839</v>
      </c>
      <c r="K102" s="204"/>
    </row>
    <row r="103" spans="1:11" ht="30.5" customHeight="1">
      <c r="A103" s="198" t="s">
        <v>822</v>
      </c>
      <c r="B103" s="199" t="s">
        <v>16</v>
      </c>
      <c r="C103" s="199" t="s">
        <v>17</v>
      </c>
      <c r="D103" s="200" t="s">
        <v>44</v>
      </c>
      <c r="E103" s="210" t="s">
        <v>840</v>
      </c>
      <c r="F103" s="202" t="str">
        <f>VLOOKUP(D103,CSR!$D$4:$E$1180,2,FALSE)</f>
        <v>CSR_11416</v>
      </c>
      <c r="G103" s="203" t="s">
        <v>146</v>
      </c>
      <c r="H103" s="204">
        <v>4</v>
      </c>
      <c r="I103" s="205">
        <f t="shared" si="1"/>
        <v>0.21052631578947367</v>
      </c>
      <c r="J103" s="211" t="s">
        <v>839</v>
      </c>
      <c r="K103" s="204"/>
    </row>
    <row r="104" spans="1:11" ht="30.5" customHeight="1">
      <c r="A104" s="198" t="s">
        <v>822</v>
      </c>
      <c r="B104" s="199" t="s">
        <v>16</v>
      </c>
      <c r="C104" s="199" t="s">
        <v>17</v>
      </c>
      <c r="D104" s="200" t="s">
        <v>44</v>
      </c>
      <c r="E104" s="210" t="s">
        <v>840</v>
      </c>
      <c r="F104" s="202" t="str">
        <f>VLOOKUP(D104,CSR!$D$4:$E$1180,2,FALSE)</f>
        <v>CSR_11416</v>
      </c>
      <c r="G104" s="203" t="s">
        <v>833</v>
      </c>
      <c r="H104" s="208">
        <v>4</v>
      </c>
      <c r="I104" s="205">
        <f t="shared" si="1"/>
        <v>0.21052631578947367</v>
      </c>
      <c r="J104" s="211" t="s">
        <v>839</v>
      </c>
      <c r="K104" s="204"/>
    </row>
    <row r="105" spans="1:11" ht="30.5" customHeight="1">
      <c r="A105" s="198" t="s">
        <v>822</v>
      </c>
      <c r="B105" s="199" t="s">
        <v>16</v>
      </c>
      <c r="C105" s="199" t="s">
        <v>17</v>
      </c>
      <c r="D105" s="200" t="s">
        <v>44</v>
      </c>
      <c r="E105" s="210" t="s">
        <v>840</v>
      </c>
      <c r="F105" s="202" t="str">
        <f>VLOOKUP(D105,CSR!$D$4:$E$1180,2,FALSE)</f>
        <v>CSR_11416</v>
      </c>
      <c r="G105" s="203" t="s">
        <v>835</v>
      </c>
      <c r="H105" s="208">
        <v>2</v>
      </c>
      <c r="I105" s="205">
        <f t="shared" si="1"/>
        <v>0.10526315789473684</v>
      </c>
      <c r="J105" s="211" t="s">
        <v>839</v>
      </c>
      <c r="K105" s="204"/>
    </row>
    <row r="106" spans="1:11" ht="30.5" customHeight="1">
      <c r="A106" s="198" t="s">
        <v>822</v>
      </c>
      <c r="B106" s="199" t="s">
        <v>16</v>
      </c>
      <c r="C106" s="199" t="s">
        <v>17</v>
      </c>
      <c r="D106" s="200" t="s">
        <v>44</v>
      </c>
      <c r="E106" s="201" t="s">
        <v>841</v>
      </c>
      <c r="F106" s="202" t="str">
        <f>VLOOKUP(D106,CSR!$D$4:$E$1180,2,FALSE)</f>
        <v>CSR_11416</v>
      </c>
      <c r="G106" s="203" t="s">
        <v>837</v>
      </c>
      <c r="H106" s="208">
        <v>2</v>
      </c>
      <c r="I106" s="205">
        <f t="shared" si="1"/>
        <v>0.10526315789473684</v>
      </c>
      <c r="J106" s="211" t="s">
        <v>839</v>
      </c>
      <c r="K106" s="204"/>
    </row>
    <row r="107" spans="1:11" ht="30.5" customHeight="1">
      <c r="A107" s="198" t="s">
        <v>821</v>
      </c>
      <c r="B107" s="198" t="s">
        <v>31</v>
      </c>
      <c r="C107" s="198" t="s">
        <v>32</v>
      </c>
      <c r="D107" s="200" t="s">
        <v>157</v>
      </c>
      <c r="E107" s="210" t="s">
        <v>842</v>
      </c>
      <c r="F107" s="202" t="str">
        <f>VLOOKUP(D107,CSR!$D$4:$E$1180,2,FALSE)</f>
        <v>CSR_30600</v>
      </c>
      <c r="G107" s="203">
        <v>46136</v>
      </c>
      <c r="H107" s="204">
        <v>4</v>
      </c>
      <c r="I107" s="205">
        <f t="shared" si="1"/>
        <v>0.21052631578947367</v>
      </c>
      <c r="J107" s="206" t="s">
        <v>160</v>
      </c>
      <c r="K107" s="201"/>
    </row>
    <row r="108" spans="1:11" ht="30.5" customHeight="1">
      <c r="A108" s="198" t="s">
        <v>822</v>
      </c>
      <c r="B108" s="198" t="s">
        <v>31</v>
      </c>
      <c r="C108" s="198" t="s">
        <v>32</v>
      </c>
      <c r="D108" s="200" t="s">
        <v>157</v>
      </c>
      <c r="E108" s="210" t="s">
        <v>842</v>
      </c>
      <c r="F108" s="202" t="str">
        <f>VLOOKUP(D108,CSR!$D$4:$E$1180,2,FALSE)</f>
        <v>CSR_30600</v>
      </c>
      <c r="G108" s="203">
        <v>46143</v>
      </c>
      <c r="H108" s="204">
        <v>4</v>
      </c>
      <c r="I108" s="205">
        <f t="shared" si="1"/>
        <v>0.21052631578947367</v>
      </c>
      <c r="J108" s="206" t="s">
        <v>160</v>
      </c>
      <c r="K108" s="201"/>
    </row>
    <row r="109" spans="1:11" ht="30.5" customHeight="1">
      <c r="A109" s="198" t="s">
        <v>822</v>
      </c>
      <c r="B109" s="198" t="s">
        <v>31</v>
      </c>
      <c r="C109" s="198" t="s">
        <v>32</v>
      </c>
      <c r="D109" s="200" t="s">
        <v>157</v>
      </c>
      <c r="E109" s="210" t="s">
        <v>842</v>
      </c>
      <c r="F109" s="202" t="str">
        <f>VLOOKUP(D109,CSR!$D$4:$E$1180,2,FALSE)</f>
        <v>CSR_30600</v>
      </c>
      <c r="G109" s="203">
        <v>46150</v>
      </c>
      <c r="H109" s="204">
        <v>4</v>
      </c>
      <c r="I109" s="205">
        <f t="shared" si="1"/>
        <v>0.21052631578947367</v>
      </c>
      <c r="J109" s="206" t="s">
        <v>160</v>
      </c>
      <c r="K109" s="201"/>
    </row>
    <row r="110" spans="1:11" ht="30.5" customHeight="1">
      <c r="A110" s="198" t="s">
        <v>822</v>
      </c>
      <c r="B110" s="198" t="s">
        <v>31</v>
      </c>
      <c r="C110" s="198" t="s">
        <v>32</v>
      </c>
      <c r="D110" s="200" t="s">
        <v>157</v>
      </c>
      <c r="E110" s="210" t="s">
        <v>842</v>
      </c>
      <c r="F110" s="202" t="str">
        <f>VLOOKUP(D110,CSR!$D$4:$E$1180,2,FALSE)</f>
        <v>CSR_30600</v>
      </c>
      <c r="G110" s="203">
        <v>46157</v>
      </c>
      <c r="H110" s="204">
        <v>4</v>
      </c>
      <c r="I110" s="205">
        <f t="shared" si="1"/>
        <v>0.21052631578947367</v>
      </c>
      <c r="J110" s="206" t="s">
        <v>160</v>
      </c>
      <c r="K110" s="201"/>
    </row>
    <row r="111" spans="1:11" ht="30.5" customHeight="1">
      <c r="A111" s="198" t="s">
        <v>822</v>
      </c>
      <c r="B111" s="198" t="s">
        <v>31</v>
      </c>
      <c r="C111" s="198" t="s">
        <v>32</v>
      </c>
      <c r="D111" s="200" t="s">
        <v>157</v>
      </c>
      <c r="E111" s="210" t="s">
        <v>842</v>
      </c>
      <c r="F111" s="202" t="str">
        <f>VLOOKUP(D111,CSR!$D$4:$E$1180,2,FALSE)</f>
        <v>CSR_30600</v>
      </c>
      <c r="G111" s="203">
        <v>46162</v>
      </c>
      <c r="H111" s="204">
        <v>3</v>
      </c>
      <c r="I111" s="205">
        <f t="shared" si="1"/>
        <v>0.15789473684210525</v>
      </c>
      <c r="J111" s="206" t="s">
        <v>160</v>
      </c>
      <c r="K111" s="204"/>
    </row>
    <row r="112" spans="1:11" ht="30.5" customHeight="1">
      <c r="A112" s="198" t="s">
        <v>821</v>
      </c>
      <c r="B112" s="198" t="s">
        <v>31</v>
      </c>
      <c r="C112" s="198" t="s">
        <v>32</v>
      </c>
      <c r="D112" s="200" t="s">
        <v>157</v>
      </c>
      <c r="E112" s="210" t="s">
        <v>842</v>
      </c>
      <c r="F112" s="202" t="str">
        <f>VLOOKUP(D112,CSR!$D$4:$E$1180,2,FALSE)</f>
        <v>CSR_30600</v>
      </c>
      <c r="G112" s="203">
        <v>46136</v>
      </c>
      <c r="H112" s="208">
        <v>3</v>
      </c>
      <c r="I112" s="205">
        <f t="shared" si="1"/>
        <v>0.15789473684210525</v>
      </c>
      <c r="J112" s="211" t="s">
        <v>843</v>
      </c>
      <c r="K112" s="204"/>
    </row>
    <row r="113" spans="1:11" ht="30.5" customHeight="1">
      <c r="A113" s="198" t="s">
        <v>821</v>
      </c>
      <c r="B113" s="198" t="s">
        <v>31</v>
      </c>
      <c r="C113" s="198" t="s">
        <v>32</v>
      </c>
      <c r="D113" s="200" t="s">
        <v>157</v>
      </c>
      <c r="E113" s="210" t="s">
        <v>842</v>
      </c>
      <c r="F113" s="202" t="str">
        <f>VLOOKUP(D113,CSR!$D$4:$E$1180,2,FALSE)</f>
        <v>CSR_30600</v>
      </c>
      <c r="G113" s="203">
        <v>46142</v>
      </c>
      <c r="H113" s="208">
        <v>3</v>
      </c>
      <c r="I113" s="205">
        <f t="shared" si="1"/>
        <v>0.15789473684210525</v>
      </c>
      <c r="J113" s="211" t="s">
        <v>843</v>
      </c>
      <c r="K113" s="204"/>
    </row>
    <row r="114" spans="1:11" ht="30.5" customHeight="1">
      <c r="A114" s="198" t="s">
        <v>27</v>
      </c>
      <c r="B114" s="198" t="s">
        <v>31</v>
      </c>
      <c r="C114" s="198" t="s">
        <v>32</v>
      </c>
      <c r="D114" s="200" t="s">
        <v>157</v>
      </c>
      <c r="E114" s="210" t="s">
        <v>842</v>
      </c>
      <c r="F114" s="202" t="str">
        <f>VLOOKUP(D114,CSR!$D$4:$E$1180,2,FALSE)</f>
        <v>CSR_30600</v>
      </c>
      <c r="G114" s="203">
        <v>46150</v>
      </c>
      <c r="H114" s="212">
        <v>3</v>
      </c>
      <c r="I114" s="205">
        <f t="shared" si="1"/>
        <v>0.15789473684210525</v>
      </c>
      <c r="J114" s="211" t="s">
        <v>843</v>
      </c>
      <c r="K114" s="204"/>
    </row>
    <row r="115" spans="1:11" ht="30.5" customHeight="1">
      <c r="A115" s="198" t="s">
        <v>27</v>
      </c>
      <c r="B115" s="199" t="s">
        <v>775</v>
      </c>
      <c r="C115" s="199" t="s">
        <v>844</v>
      </c>
      <c r="D115" s="200" t="s">
        <v>164</v>
      </c>
      <c r="E115" s="201" t="s">
        <v>845</v>
      </c>
      <c r="F115" s="202" t="str">
        <f>VLOOKUP(D115,CSR!$D$4:$E$1180,2,FALSE)</f>
        <v>CSR_41201</v>
      </c>
      <c r="G115" s="203">
        <v>46162</v>
      </c>
      <c r="H115" s="208">
        <v>2</v>
      </c>
      <c r="I115" s="205">
        <f t="shared" si="1"/>
        <v>0.10526315789473684</v>
      </c>
      <c r="J115" s="211" t="s">
        <v>843</v>
      </c>
      <c r="K115" s="204"/>
    </row>
    <row r="116" spans="1:11" ht="30.5" customHeight="1">
      <c r="A116" s="198" t="s">
        <v>27</v>
      </c>
      <c r="B116" s="198" t="s">
        <v>31</v>
      </c>
      <c r="C116" s="198" t="s">
        <v>32</v>
      </c>
      <c r="D116" s="200" t="s">
        <v>157</v>
      </c>
      <c r="E116" s="210" t="s">
        <v>842</v>
      </c>
      <c r="F116" s="202" t="str">
        <f>VLOOKUP(D116,CSR!$D$4:$E$1180,2,FALSE)</f>
        <v>CSR_30600</v>
      </c>
      <c r="G116" s="203">
        <v>46157</v>
      </c>
      <c r="H116" s="204">
        <v>3</v>
      </c>
      <c r="I116" s="205">
        <f t="shared" si="1"/>
        <v>0.15789473684210525</v>
      </c>
      <c r="J116" s="211" t="s">
        <v>843</v>
      </c>
      <c r="K116" s="204"/>
    </row>
    <row r="117" spans="1:11" ht="30.5" customHeight="1">
      <c r="A117" s="198" t="s">
        <v>27</v>
      </c>
      <c r="B117" s="199" t="s">
        <v>846</v>
      </c>
      <c r="C117" s="199" t="s">
        <v>17</v>
      </c>
      <c r="D117" s="200" t="s">
        <v>168</v>
      </c>
      <c r="E117" s="201" t="s">
        <v>847</v>
      </c>
      <c r="F117" s="202" t="str">
        <f>VLOOKUP(D117,CSR!$D$4:$E$1180,2,FALSE)</f>
        <v>CSR_11500</v>
      </c>
      <c r="G117" s="203">
        <v>46156</v>
      </c>
      <c r="H117" s="204">
        <v>2</v>
      </c>
      <c r="I117" s="205">
        <f t="shared" si="1"/>
        <v>0.10526315789473684</v>
      </c>
      <c r="J117" s="211" t="s">
        <v>843</v>
      </c>
      <c r="K117" s="204"/>
    </row>
    <row r="118" spans="1:11" ht="30.5" customHeight="1">
      <c r="A118" s="198" t="s">
        <v>27</v>
      </c>
      <c r="B118" s="199" t="s">
        <v>775</v>
      </c>
      <c r="C118" s="199" t="s">
        <v>844</v>
      </c>
      <c r="D118" s="207" t="s">
        <v>810</v>
      </c>
      <c r="E118" s="201" t="s">
        <v>848</v>
      </c>
      <c r="F118" s="202" t="str">
        <f>VLOOKUP(D118,CSR!$D$4:$E$1180,2,FALSE)</f>
        <v>CSR_41202</v>
      </c>
      <c r="G118" s="203">
        <v>46157</v>
      </c>
      <c r="H118" s="204">
        <v>3</v>
      </c>
      <c r="I118" s="205">
        <f t="shared" si="1"/>
        <v>0.15789473684210525</v>
      </c>
      <c r="J118" s="211" t="s">
        <v>843</v>
      </c>
      <c r="K118" s="204"/>
    </row>
    <row r="119" spans="1:11" ht="30.5" customHeight="1">
      <c r="A119" s="198" t="s">
        <v>27</v>
      </c>
      <c r="B119" s="213" t="s">
        <v>49</v>
      </c>
      <c r="C119" s="213" t="s">
        <v>175</v>
      </c>
      <c r="D119" s="214" t="s">
        <v>176</v>
      </c>
      <c r="E119" s="210" t="s">
        <v>177</v>
      </c>
      <c r="F119" s="202" t="str">
        <f>VLOOKUP(D119,CSR!$D$4:$E$1180,2,FALSE)</f>
        <v>CSR_40700</v>
      </c>
      <c r="G119" s="203">
        <v>46162</v>
      </c>
      <c r="H119" s="212">
        <v>1</v>
      </c>
      <c r="I119" s="205">
        <f t="shared" si="1"/>
        <v>5.2631578947368418E-2</v>
      </c>
      <c r="J119" s="206" t="s">
        <v>179</v>
      </c>
      <c r="K119" s="204"/>
    </row>
    <row r="120" spans="1:11" ht="30.5" customHeight="1">
      <c r="A120" s="198" t="s">
        <v>27</v>
      </c>
      <c r="B120" s="199" t="s">
        <v>16</v>
      </c>
      <c r="C120" s="199" t="s">
        <v>17</v>
      </c>
      <c r="D120" s="214" t="s">
        <v>180</v>
      </c>
      <c r="E120" s="210" t="s">
        <v>181</v>
      </c>
      <c r="F120" s="202" t="str">
        <f>VLOOKUP(D120,CSR!$D$4:$E$1180,2,FALSE)</f>
        <v>CSR_11317</v>
      </c>
      <c r="G120" s="203">
        <v>46162</v>
      </c>
      <c r="H120" s="212">
        <v>3</v>
      </c>
      <c r="I120" s="205">
        <f t="shared" si="1"/>
        <v>0.15789473684210525</v>
      </c>
      <c r="J120" s="206" t="s">
        <v>179</v>
      </c>
      <c r="K120" s="204"/>
    </row>
    <row r="121" spans="1:11" ht="30.5" customHeight="1">
      <c r="A121" s="198" t="s">
        <v>27</v>
      </c>
      <c r="B121" s="213" t="s">
        <v>49</v>
      </c>
      <c r="C121" s="213" t="s">
        <v>175</v>
      </c>
      <c r="D121" s="214" t="s">
        <v>183</v>
      </c>
      <c r="E121" s="210" t="s">
        <v>184</v>
      </c>
      <c r="F121" s="202" t="str">
        <f>VLOOKUP(D121,CSR!$D$4:$E$1180,2,FALSE)</f>
        <v>CSR_40500</v>
      </c>
      <c r="G121" s="203">
        <v>46162</v>
      </c>
      <c r="H121" s="212">
        <v>3</v>
      </c>
      <c r="I121" s="205">
        <f t="shared" si="1"/>
        <v>0.15789473684210525</v>
      </c>
      <c r="J121" s="206" t="s">
        <v>179</v>
      </c>
      <c r="K121" s="204"/>
    </row>
    <row r="122" spans="1:11" ht="30.5" customHeight="1">
      <c r="A122" s="198" t="s">
        <v>27</v>
      </c>
      <c r="B122" s="199" t="s">
        <v>16</v>
      </c>
      <c r="C122" s="199" t="s">
        <v>17</v>
      </c>
      <c r="D122" s="200" t="s">
        <v>44</v>
      </c>
      <c r="E122" s="210" t="s">
        <v>186</v>
      </c>
      <c r="F122" s="202" t="str">
        <f>VLOOKUP(D122,CSR!$D$4:$E$1180,2,FALSE)</f>
        <v>CSR_11416</v>
      </c>
      <c r="G122" s="203">
        <v>46162</v>
      </c>
      <c r="H122" s="212">
        <v>3.5</v>
      </c>
      <c r="I122" s="205">
        <f t="shared" si="1"/>
        <v>0.18421052631578946</v>
      </c>
      <c r="J122" s="206" t="s">
        <v>179</v>
      </c>
      <c r="K122" s="204"/>
    </row>
    <row r="123" spans="1:11" ht="30.5" customHeight="1">
      <c r="A123" s="198" t="s">
        <v>27</v>
      </c>
      <c r="B123" s="213" t="s">
        <v>49</v>
      </c>
      <c r="C123" s="213" t="s">
        <v>175</v>
      </c>
      <c r="D123" s="208" t="s">
        <v>187</v>
      </c>
      <c r="E123" s="210" t="s">
        <v>188</v>
      </c>
      <c r="F123" s="202" t="str">
        <f>VLOOKUP(D123,CSR!$D$4:$E$1180,2,FALSE)</f>
        <v>CSR_40400</v>
      </c>
      <c r="G123" s="203">
        <v>46161</v>
      </c>
      <c r="H123" s="212">
        <v>0.5</v>
      </c>
      <c r="I123" s="205">
        <f t="shared" si="1"/>
        <v>2.6315789473684209E-2</v>
      </c>
      <c r="J123" s="206" t="s">
        <v>179</v>
      </c>
      <c r="K123" s="204"/>
    </row>
    <row r="124" spans="1:11" ht="30.5" customHeight="1">
      <c r="A124" s="198" t="s">
        <v>15</v>
      </c>
      <c r="B124" s="213" t="s">
        <v>49</v>
      </c>
      <c r="C124" s="213" t="s">
        <v>175</v>
      </c>
      <c r="D124" s="200" t="s">
        <v>191</v>
      </c>
      <c r="E124" s="201" t="s">
        <v>192</v>
      </c>
      <c r="F124" s="202" t="str">
        <f>VLOOKUP(D124,CSR!$D$4:$E$1180,2,FALSE)</f>
        <v>CSR_40300</v>
      </c>
      <c r="G124" s="203">
        <v>46139</v>
      </c>
      <c r="H124" s="204">
        <v>0.5</v>
      </c>
      <c r="I124" s="205">
        <f t="shared" si="1"/>
        <v>2.6315789473684209E-2</v>
      </c>
      <c r="J124" s="206" t="s">
        <v>179</v>
      </c>
      <c r="K124" s="204"/>
    </row>
    <row r="125" spans="1:11" ht="30.5" customHeight="1">
      <c r="A125" s="198" t="s">
        <v>27</v>
      </c>
      <c r="B125" s="199" t="s">
        <v>16</v>
      </c>
      <c r="C125" s="199" t="s">
        <v>17</v>
      </c>
      <c r="D125" s="215" t="s">
        <v>195</v>
      </c>
      <c r="E125" s="210" t="s">
        <v>196</v>
      </c>
      <c r="F125" s="202" t="str">
        <f>VLOOKUP(D125,CSR!$D$4:$E$1180,2,FALSE)</f>
        <v>CSR_11000</v>
      </c>
      <c r="G125" s="203">
        <v>46153</v>
      </c>
      <c r="H125" s="212">
        <v>2</v>
      </c>
      <c r="I125" s="205">
        <f t="shared" si="1"/>
        <v>0.10526315789473684</v>
      </c>
      <c r="J125" s="206" t="s">
        <v>179</v>
      </c>
      <c r="K125" s="204"/>
    </row>
    <row r="126" spans="1:11" ht="30.5" customHeight="1">
      <c r="A126" s="216" t="s">
        <v>27</v>
      </c>
      <c r="B126" s="199" t="s">
        <v>31</v>
      </c>
      <c r="C126" s="199" t="s">
        <v>32</v>
      </c>
      <c r="D126" s="200" t="s">
        <v>199</v>
      </c>
      <c r="E126" s="201" t="s">
        <v>200</v>
      </c>
      <c r="F126" s="202" t="str">
        <f>VLOOKUP(D126,CSR!$D$4:$E$1180,2,FALSE)</f>
        <v>CSR_30000</v>
      </c>
      <c r="G126" s="203">
        <v>46162</v>
      </c>
      <c r="H126" s="212">
        <v>2</v>
      </c>
      <c r="I126" s="205">
        <f t="shared" si="1"/>
        <v>0.10526315789473684</v>
      </c>
      <c r="J126" s="206" t="s">
        <v>179</v>
      </c>
      <c r="K126" s="204"/>
    </row>
    <row r="127" spans="1:11" ht="30.5" customHeight="1">
      <c r="A127" s="198" t="s">
        <v>27</v>
      </c>
      <c r="B127" s="213" t="s">
        <v>49</v>
      </c>
      <c r="C127" s="213" t="s">
        <v>175</v>
      </c>
      <c r="D127" s="208" t="s">
        <v>202</v>
      </c>
      <c r="E127" s="210" t="s">
        <v>2444</v>
      </c>
      <c r="F127" s="202" t="str">
        <f>VLOOKUP(D127,CSR!$D$4:$E$1180,2,FALSE)</f>
        <v>CSR_40600</v>
      </c>
      <c r="G127" s="203">
        <v>46162</v>
      </c>
      <c r="H127" s="212">
        <v>1</v>
      </c>
      <c r="I127" s="205">
        <f t="shared" si="1"/>
        <v>5.2631578947368418E-2</v>
      </c>
      <c r="J127" s="206" t="s">
        <v>179</v>
      </c>
      <c r="K127" s="204"/>
    </row>
    <row r="128" spans="1:11" ht="30.5" customHeight="1">
      <c r="A128" s="198" t="s">
        <v>27</v>
      </c>
      <c r="B128" s="199" t="s">
        <v>31</v>
      </c>
      <c r="C128" s="199" t="s">
        <v>32</v>
      </c>
      <c r="D128" s="200" t="s">
        <v>33</v>
      </c>
      <c r="E128" s="210" t="s">
        <v>2443</v>
      </c>
      <c r="F128" s="202" t="str">
        <f>VLOOKUP(D128,CSR!$D$4:$E$1180,2,FALSE)</f>
        <v>CSR_30200</v>
      </c>
      <c r="G128" s="203">
        <v>46146</v>
      </c>
      <c r="H128" s="212">
        <v>1</v>
      </c>
      <c r="I128" s="205">
        <f t="shared" si="1"/>
        <v>5.2631578947368418E-2</v>
      </c>
      <c r="J128" s="206" t="s">
        <v>179</v>
      </c>
      <c r="K128" s="204"/>
    </row>
    <row r="129" spans="1:11" ht="30.5" customHeight="1">
      <c r="A129" s="198" t="s">
        <v>27</v>
      </c>
      <c r="B129" s="199" t="s">
        <v>31</v>
      </c>
      <c r="C129" s="199" t="s">
        <v>32</v>
      </c>
      <c r="D129" s="200" t="s">
        <v>33</v>
      </c>
      <c r="E129" s="210" t="s">
        <v>207</v>
      </c>
      <c r="F129" s="202" t="str">
        <f>VLOOKUP(D129,CSR!$D$4:$E$1180,2,FALSE)</f>
        <v>CSR_30200</v>
      </c>
      <c r="G129" s="203">
        <v>46162</v>
      </c>
      <c r="H129" s="212">
        <v>1.3</v>
      </c>
      <c r="I129" s="205">
        <f t="shared" si="1"/>
        <v>6.8421052631578952E-2</v>
      </c>
      <c r="J129" s="206" t="s">
        <v>179</v>
      </c>
      <c r="K129" s="204"/>
    </row>
    <row r="130" spans="1:11" ht="30.5" customHeight="1">
      <c r="A130" s="198" t="s">
        <v>27</v>
      </c>
      <c r="B130" s="199" t="s">
        <v>31</v>
      </c>
      <c r="C130" s="199" t="s">
        <v>32</v>
      </c>
      <c r="D130" s="200" t="s">
        <v>208</v>
      </c>
      <c r="E130" s="210" t="s">
        <v>209</v>
      </c>
      <c r="F130" s="202" t="str">
        <f>VLOOKUP(D130,CSR!$D$4:$E$1180,2,FALSE)</f>
        <v>CSR_30400</v>
      </c>
      <c r="G130" s="203">
        <v>46148</v>
      </c>
      <c r="H130" s="204">
        <v>0.2</v>
      </c>
      <c r="I130" s="205">
        <f t="shared" ref="I130:I149" si="2">H130*10/190</f>
        <v>1.0526315789473684E-2</v>
      </c>
      <c r="J130" s="206" t="s">
        <v>179</v>
      </c>
      <c r="K130" s="204"/>
    </row>
    <row r="131" spans="1:11" ht="30.5" customHeight="1">
      <c r="A131" s="198" t="s">
        <v>15</v>
      </c>
      <c r="B131" s="199" t="s">
        <v>16</v>
      </c>
      <c r="C131" s="199" t="s">
        <v>17</v>
      </c>
      <c r="D131" s="200" t="s">
        <v>131</v>
      </c>
      <c r="E131" s="201" t="s">
        <v>212</v>
      </c>
      <c r="F131" s="202" t="str">
        <f>VLOOKUP(D131,CSR!$D$4:$E$1180,2,FALSE)</f>
        <v>CSR_10400</v>
      </c>
      <c r="G131" s="203">
        <v>46139</v>
      </c>
      <c r="H131" s="208">
        <v>1.5</v>
      </c>
      <c r="I131" s="205">
        <f t="shared" si="2"/>
        <v>7.8947368421052627E-2</v>
      </c>
      <c r="J131" s="217" t="s">
        <v>213</v>
      </c>
      <c r="K131" s="204"/>
    </row>
    <row r="132" spans="1:11" ht="30.5" customHeight="1">
      <c r="A132" s="198" t="s">
        <v>15</v>
      </c>
      <c r="B132" s="199" t="s">
        <v>16</v>
      </c>
      <c r="C132" s="199" t="s">
        <v>17</v>
      </c>
      <c r="D132" s="207" t="s">
        <v>214</v>
      </c>
      <c r="E132" s="210" t="s">
        <v>215</v>
      </c>
      <c r="F132" s="202" t="str">
        <f>VLOOKUP(D132,CSR!$D$4:$E$1180,2,FALSE)</f>
        <v>CSR_11303</v>
      </c>
      <c r="G132" s="203">
        <v>46141</v>
      </c>
      <c r="H132" s="204">
        <v>0.2</v>
      </c>
      <c r="I132" s="205">
        <f t="shared" si="2"/>
        <v>1.0526315789473684E-2</v>
      </c>
      <c r="J132" s="217" t="s">
        <v>213</v>
      </c>
      <c r="K132" s="204"/>
    </row>
    <row r="133" spans="1:11" ht="30.5" customHeight="1">
      <c r="A133" s="198" t="s">
        <v>15</v>
      </c>
      <c r="B133" s="199" t="s">
        <v>16</v>
      </c>
      <c r="C133" s="199" t="s">
        <v>17</v>
      </c>
      <c r="D133" s="204" t="s">
        <v>65</v>
      </c>
      <c r="E133" s="201" t="s">
        <v>218</v>
      </c>
      <c r="F133" s="202" t="str">
        <f>VLOOKUP(D133,CSR!$D$4:$E$1180,2,FALSE)</f>
        <v>CSR_10800</v>
      </c>
      <c r="G133" s="203">
        <v>46142</v>
      </c>
      <c r="H133" s="204">
        <v>0.5</v>
      </c>
      <c r="I133" s="205">
        <f t="shared" si="2"/>
        <v>2.6315789473684209E-2</v>
      </c>
      <c r="J133" s="217" t="s">
        <v>213</v>
      </c>
      <c r="K133" s="204"/>
    </row>
    <row r="134" spans="1:11" ht="30.5" customHeight="1">
      <c r="A134" s="198" t="s">
        <v>15</v>
      </c>
      <c r="B134" s="199" t="s">
        <v>49</v>
      </c>
      <c r="C134" s="199" t="s">
        <v>50</v>
      </c>
      <c r="D134" s="207" t="s">
        <v>51</v>
      </c>
      <c r="E134" s="201" t="s">
        <v>219</v>
      </c>
      <c r="F134" s="202" t="str">
        <f>VLOOKUP(D134,CSR!$D$4:$E$1180,2,FALSE)</f>
        <v>CSR_41103</v>
      </c>
      <c r="G134" s="203">
        <v>46142</v>
      </c>
      <c r="H134" s="204">
        <v>1</v>
      </c>
      <c r="I134" s="205">
        <f t="shared" si="2"/>
        <v>5.2631578947368418E-2</v>
      </c>
      <c r="J134" s="217" t="s">
        <v>213</v>
      </c>
      <c r="K134" s="204"/>
    </row>
    <row r="135" spans="1:11" ht="30.5" customHeight="1">
      <c r="A135" s="198" t="s">
        <v>27</v>
      </c>
      <c r="B135" s="199" t="s">
        <v>16</v>
      </c>
      <c r="C135" s="199" t="s">
        <v>17</v>
      </c>
      <c r="D135" s="204" t="s">
        <v>220</v>
      </c>
      <c r="E135" s="218" t="s">
        <v>221</v>
      </c>
      <c r="F135" s="202" t="str">
        <f>VLOOKUP(D135,CSR!$D$4:$E$1180,2,FALSE)</f>
        <v>CSR_10700</v>
      </c>
      <c r="G135" s="203">
        <v>46146</v>
      </c>
      <c r="H135" s="204">
        <v>0.5</v>
      </c>
      <c r="I135" s="205">
        <f t="shared" si="2"/>
        <v>2.6315789473684209E-2</v>
      </c>
      <c r="J135" s="217" t="s">
        <v>213</v>
      </c>
      <c r="K135" s="204"/>
    </row>
    <row r="136" spans="1:11" ht="30.5" customHeight="1">
      <c r="A136" s="198" t="s">
        <v>27</v>
      </c>
      <c r="B136" s="199" t="s">
        <v>16</v>
      </c>
      <c r="C136" s="199" t="s">
        <v>17</v>
      </c>
      <c r="D136" s="200" t="s">
        <v>131</v>
      </c>
      <c r="E136" s="201" t="s">
        <v>223</v>
      </c>
      <c r="F136" s="202" t="str">
        <f>VLOOKUP(D136,CSR!$D$4:$E$1180,2,FALSE)</f>
        <v>CSR_10400</v>
      </c>
      <c r="G136" s="203">
        <v>46149</v>
      </c>
      <c r="H136" s="208">
        <v>1</v>
      </c>
      <c r="I136" s="205">
        <f t="shared" si="2"/>
        <v>5.2631578947368418E-2</v>
      </c>
      <c r="J136" s="217" t="s">
        <v>213</v>
      </c>
      <c r="K136" s="204"/>
    </row>
    <row r="137" spans="1:11" ht="30.5" customHeight="1">
      <c r="A137" s="198" t="s">
        <v>27</v>
      </c>
      <c r="B137" s="198" t="s">
        <v>31</v>
      </c>
      <c r="C137" s="198" t="s">
        <v>32</v>
      </c>
      <c r="D137" s="200" t="s">
        <v>157</v>
      </c>
      <c r="E137" s="210" t="s">
        <v>225</v>
      </c>
      <c r="F137" s="202" t="str">
        <f>VLOOKUP(D137,CSR!$D$4:$E$1180,2,FALSE)</f>
        <v>CSR_30600</v>
      </c>
      <c r="G137" s="203">
        <v>46149</v>
      </c>
      <c r="H137" s="204">
        <v>0.3</v>
      </c>
      <c r="I137" s="205">
        <f t="shared" si="2"/>
        <v>1.5789473684210527E-2</v>
      </c>
      <c r="J137" s="217" t="s">
        <v>213</v>
      </c>
      <c r="K137" s="204"/>
    </row>
    <row r="138" spans="1:11" ht="30.5" customHeight="1">
      <c r="A138" s="198" t="s">
        <v>27</v>
      </c>
      <c r="B138" s="199" t="s">
        <v>16</v>
      </c>
      <c r="C138" s="199" t="s">
        <v>17</v>
      </c>
      <c r="D138" s="204" t="s">
        <v>65</v>
      </c>
      <c r="E138" s="201" t="s">
        <v>226</v>
      </c>
      <c r="F138" s="202" t="str">
        <f>VLOOKUP(D138,CSR!$D$4:$E$1180,2,FALSE)</f>
        <v>CSR_10800</v>
      </c>
      <c r="G138" s="203">
        <v>46150</v>
      </c>
      <c r="H138" s="204">
        <v>1.5</v>
      </c>
      <c r="I138" s="205">
        <f t="shared" si="2"/>
        <v>7.8947368421052627E-2</v>
      </c>
      <c r="J138" s="217" t="s">
        <v>213</v>
      </c>
      <c r="K138" s="204"/>
    </row>
    <row r="139" spans="1:11" ht="30.5" customHeight="1">
      <c r="A139" s="198" t="s">
        <v>27</v>
      </c>
      <c r="B139" s="199" t="s">
        <v>49</v>
      </c>
      <c r="C139" s="199" t="s">
        <v>50</v>
      </c>
      <c r="D139" s="207" t="s">
        <v>51</v>
      </c>
      <c r="E139" s="201" t="s">
        <v>227</v>
      </c>
      <c r="F139" s="202" t="str">
        <f>VLOOKUP(D139,CSR!$D$4:$E$1180,2,FALSE)</f>
        <v>CSR_41103</v>
      </c>
      <c r="G139" s="203">
        <v>46150</v>
      </c>
      <c r="H139" s="204">
        <v>3</v>
      </c>
      <c r="I139" s="205">
        <f t="shared" si="2"/>
        <v>0.15789473684210525</v>
      </c>
      <c r="J139" s="217" t="s">
        <v>213</v>
      </c>
      <c r="K139" s="204"/>
    </row>
    <row r="140" spans="1:11" ht="30.5" customHeight="1">
      <c r="A140" s="198" t="s">
        <v>27</v>
      </c>
      <c r="B140" s="199" t="s">
        <v>16</v>
      </c>
      <c r="C140" s="199" t="s">
        <v>17</v>
      </c>
      <c r="D140" s="204" t="s">
        <v>65</v>
      </c>
      <c r="E140" s="201" t="s">
        <v>228</v>
      </c>
      <c r="F140" s="202" t="str">
        <f>VLOOKUP(D140,CSR!$D$4:$E$1180,2,FALSE)</f>
        <v>CSR_10800</v>
      </c>
      <c r="G140" s="203">
        <v>46150</v>
      </c>
      <c r="H140" s="204">
        <v>1</v>
      </c>
      <c r="I140" s="205">
        <f t="shared" si="2"/>
        <v>5.2631578947368418E-2</v>
      </c>
      <c r="J140" s="217" t="s">
        <v>213</v>
      </c>
      <c r="K140" s="204"/>
    </row>
    <row r="141" spans="1:11" ht="30.5" customHeight="1">
      <c r="A141" s="198" t="s">
        <v>27</v>
      </c>
      <c r="B141" s="198" t="s">
        <v>49</v>
      </c>
      <c r="C141" s="198" t="s">
        <v>229</v>
      </c>
      <c r="D141" s="200" t="s">
        <v>230</v>
      </c>
      <c r="E141" s="201" t="s">
        <v>231</v>
      </c>
      <c r="F141" s="202" t="str">
        <f>VLOOKUP(D141,CSR!$D$4:$E$1180,2,FALSE)</f>
        <v>CSR_40000</v>
      </c>
      <c r="G141" s="203">
        <v>46155</v>
      </c>
      <c r="H141" s="204">
        <v>0.3</v>
      </c>
      <c r="I141" s="205">
        <f t="shared" si="2"/>
        <v>1.5789473684210527E-2</v>
      </c>
      <c r="J141" s="217" t="s">
        <v>213</v>
      </c>
      <c r="K141" s="198"/>
    </row>
    <row r="142" spans="1:11" ht="30.5" customHeight="1">
      <c r="A142" s="198" t="s">
        <v>27</v>
      </c>
      <c r="B142" s="199" t="s">
        <v>16</v>
      </c>
      <c r="C142" s="199" t="s">
        <v>17</v>
      </c>
      <c r="D142" s="207" t="s">
        <v>214</v>
      </c>
      <c r="E142" s="210" t="s">
        <v>234</v>
      </c>
      <c r="F142" s="202" t="str">
        <f>VLOOKUP(D142,CSR!$D$4:$E$1180,2,FALSE)</f>
        <v>CSR_11303</v>
      </c>
      <c r="G142" s="203">
        <v>46155</v>
      </c>
      <c r="H142" s="204">
        <v>0.5</v>
      </c>
      <c r="I142" s="205">
        <f t="shared" si="2"/>
        <v>2.6315789473684209E-2</v>
      </c>
      <c r="J142" s="217" t="s">
        <v>213</v>
      </c>
      <c r="K142" s="204"/>
    </row>
    <row r="143" spans="1:11" ht="30.5" customHeight="1">
      <c r="A143" s="198" t="s">
        <v>27</v>
      </c>
      <c r="B143" s="199" t="s">
        <v>16</v>
      </c>
      <c r="C143" s="199" t="s">
        <v>17</v>
      </c>
      <c r="D143" s="204" t="s">
        <v>65</v>
      </c>
      <c r="E143" s="201" t="s">
        <v>228</v>
      </c>
      <c r="F143" s="202" t="str">
        <f>VLOOKUP(D143,CSR!$D$4:$E$1180,2,FALSE)</f>
        <v>CSR_10800</v>
      </c>
      <c r="G143" s="203">
        <v>46156</v>
      </c>
      <c r="H143" s="204">
        <v>1.5</v>
      </c>
      <c r="I143" s="205">
        <f t="shared" si="2"/>
        <v>7.8947368421052627E-2</v>
      </c>
      <c r="J143" s="217" t="s">
        <v>213</v>
      </c>
      <c r="K143" s="204"/>
    </row>
    <row r="144" spans="1:11" ht="30.5" customHeight="1">
      <c r="A144" s="198" t="s">
        <v>27</v>
      </c>
      <c r="B144" s="199" t="s">
        <v>49</v>
      </c>
      <c r="C144" s="199" t="s">
        <v>50</v>
      </c>
      <c r="D144" s="207" t="s">
        <v>51</v>
      </c>
      <c r="E144" s="201" t="s">
        <v>235</v>
      </c>
      <c r="F144" s="202" t="str">
        <f>VLOOKUP(D144,CSR!$D$4:$E$1180,2,FALSE)</f>
        <v>CSR_41103</v>
      </c>
      <c r="G144" s="203">
        <v>46157</v>
      </c>
      <c r="H144" s="204">
        <v>2.5</v>
      </c>
      <c r="I144" s="205">
        <f t="shared" si="2"/>
        <v>0.13157894736842105</v>
      </c>
      <c r="J144" s="217" t="s">
        <v>213</v>
      </c>
      <c r="K144" s="204"/>
    </row>
    <row r="145" spans="1:11" ht="30.5" customHeight="1">
      <c r="A145" s="198" t="s">
        <v>27</v>
      </c>
      <c r="B145" s="199" t="s">
        <v>16</v>
      </c>
      <c r="C145" s="199" t="s">
        <v>17</v>
      </c>
      <c r="D145" s="200" t="s">
        <v>131</v>
      </c>
      <c r="E145" s="201" t="s">
        <v>236</v>
      </c>
      <c r="F145" s="202" t="str">
        <f>VLOOKUP(D145,CSR!$D$4:$E$1180,2,FALSE)</f>
        <v>CSR_10400</v>
      </c>
      <c r="G145" s="203">
        <v>46161</v>
      </c>
      <c r="H145" s="208">
        <v>0.2</v>
      </c>
      <c r="I145" s="205">
        <f t="shared" si="2"/>
        <v>1.0526315789473684E-2</v>
      </c>
      <c r="J145" s="217" t="s">
        <v>213</v>
      </c>
      <c r="K145" s="204"/>
    </row>
    <row r="146" spans="1:11" ht="30.5" customHeight="1">
      <c r="A146" s="198" t="s">
        <v>27</v>
      </c>
      <c r="B146" s="199" t="s">
        <v>31</v>
      </c>
      <c r="C146" s="198" t="s">
        <v>32</v>
      </c>
      <c r="D146" s="207" t="s">
        <v>199</v>
      </c>
      <c r="E146" s="210" t="s">
        <v>237</v>
      </c>
      <c r="F146" s="202" t="str">
        <f>VLOOKUP(D146,CSR!$D$4:$E$1180,2,FALSE)</f>
        <v>CSR_30000</v>
      </c>
      <c r="G146" s="203">
        <v>46162</v>
      </c>
      <c r="H146" s="204">
        <v>0.5</v>
      </c>
      <c r="I146" s="205">
        <f t="shared" si="2"/>
        <v>2.6315789473684209E-2</v>
      </c>
      <c r="J146" s="217" t="s">
        <v>213</v>
      </c>
      <c r="K146" s="204"/>
    </row>
    <row r="147" spans="1:11" ht="30.5" customHeight="1">
      <c r="A147" s="198" t="s">
        <v>27</v>
      </c>
      <c r="B147" s="199" t="s">
        <v>16</v>
      </c>
      <c r="C147" s="199" t="s">
        <v>17</v>
      </c>
      <c r="D147" s="204" t="s">
        <v>65</v>
      </c>
      <c r="E147" s="201" t="s">
        <v>238</v>
      </c>
      <c r="F147" s="202" t="str">
        <f>VLOOKUP(D147,CSR!$D$4:$E$1180,2,FALSE)</f>
        <v>CSR_10800</v>
      </c>
      <c r="G147" s="203">
        <v>46162</v>
      </c>
      <c r="H147" s="204">
        <v>0.5</v>
      </c>
      <c r="I147" s="205">
        <f t="shared" si="2"/>
        <v>2.6315789473684209E-2</v>
      </c>
      <c r="J147" s="217" t="s">
        <v>213</v>
      </c>
      <c r="K147" s="204"/>
    </row>
    <row r="148" spans="1:11" ht="30.5" customHeight="1">
      <c r="A148" s="198" t="s">
        <v>27</v>
      </c>
      <c r="B148" s="199" t="s">
        <v>49</v>
      </c>
      <c r="C148" s="199" t="s">
        <v>50</v>
      </c>
      <c r="D148" s="207" t="s">
        <v>51</v>
      </c>
      <c r="E148" s="201" t="s">
        <v>239</v>
      </c>
      <c r="F148" s="202" t="str">
        <f>VLOOKUP(D148,CSR!$D$4:$E$1180,2,FALSE)</f>
        <v>CSR_41103</v>
      </c>
      <c r="G148" s="203">
        <v>46162</v>
      </c>
      <c r="H148" s="204">
        <v>2.5</v>
      </c>
      <c r="I148" s="205">
        <f t="shared" si="2"/>
        <v>0.13157894736842105</v>
      </c>
      <c r="J148" s="217" t="s">
        <v>213</v>
      </c>
      <c r="K148" s="204"/>
    </row>
    <row r="149" spans="1:11" ht="30.5" customHeight="1">
      <c r="A149" s="198" t="s">
        <v>822</v>
      </c>
      <c r="B149" s="199" t="s">
        <v>31</v>
      </c>
      <c r="C149" s="199" t="s">
        <v>32</v>
      </c>
      <c r="D149" s="200" t="s">
        <v>199</v>
      </c>
      <c r="E149" s="210" t="s">
        <v>849</v>
      </c>
      <c r="F149" s="202" t="str">
        <f>VLOOKUP(D149,CSR!$D$4:$E$1180,2,FALSE)</f>
        <v>CSR_30000</v>
      </c>
      <c r="G149" s="203">
        <v>46150</v>
      </c>
      <c r="H149" s="208">
        <v>0.5</v>
      </c>
      <c r="I149" s="205">
        <f t="shared" si="2"/>
        <v>2.6315789473684209E-2</v>
      </c>
      <c r="J149" s="211" t="s">
        <v>241</v>
      </c>
      <c r="K149" s="204"/>
    </row>
    <row r="150" spans="1:11" ht="30.5" customHeight="1">
      <c r="A150" s="198" t="s">
        <v>822</v>
      </c>
      <c r="B150" s="199" t="s">
        <v>70</v>
      </c>
      <c r="C150" s="199" t="s">
        <v>71</v>
      </c>
      <c r="D150" s="200" t="s">
        <v>72</v>
      </c>
      <c r="E150" s="201" t="s">
        <v>850</v>
      </c>
      <c r="F150" s="202" t="str">
        <f>VLOOKUP(D150,CSR!$D$4:$E$1180,2,FALSE)</f>
        <v>CSR_20400</v>
      </c>
      <c r="G150" s="203">
        <v>46154</v>
      </c>
      <c r="H150" s="208">
        <v>1.5</v>
      </c>
      <c r="I150" s="205">
        <v>5.2631578947368418E-2</v>
      </c>
      <c r="J150" s="211" t="s">
        <v>241</v>
      </c>
      <c r="K150" s="204"/>
    </row>
    <row r="151" spans="1:11" ht="30.5" customHeight="1">
      <c r="A151" s="198" t="s">
        <v>822</v>
      </c>
      <c r="B151" s="199" t="s">
        <v>31</v>
      </c>
      <c r="C151" s="199" t="s">
        <v>32</v>
      </c>
      <c r="D151" s="200" t="s">
        <v>33</v>
      </c>
      <c r="E151" s="210" t="s">
        <v>851</v>
      </c>
      <c r="F151" s="202" t="str">
        <f>VLOOKUP(D151,CSR!$D$4:$E$1180,2,FALSE)</f>
        <v>CSR_30200</v>
      </c>
      <c r="G151" s="203">
        <v>46155</v>
      </c>
      <c r="H151" s="208">
        <v>1</v>
      </c>
      <c r="I151" s="205">
        <f t="shared" ref="I151:I214" si="3">H151*10/190</f>
        <v>5.2631578947368418E-2</v>
      </c>
      <c r="J151" s="211" t="s">
        <v>852</v>
      </c>
      <c r="K151" s="204"/>
    </row>
    <row r="152" spans="1:11" ht="30.5" customHeight="1">
      <c r="A152" s="198" t="s">
        <v>822</v>
      </c>
      <c r="B152" s="199" t="s">
        <v>70</v>
      </c>
      <c r="C152" s="199" t="s">
        <v>245</v>
      </c>
      <c r="D152" s="200" t="s">
        <v>246</v>
      </c>
      <c r="E152" s="210" t="s">
        <v>853</v>
      </c>
      <c r="F152" s="202" t="str">
        <f>VLOOKUP(D152,CSR!$D$4:$E$1180,2,FALSE)</f>
        <v>CSR_20000</v>
      </c>
      <c r="G152" s="203">
        <v>46155</v>
      </c>
      <c r="H152" s="208">
        <v>1.5</v>
      </c>
      <c r="I152" s="205">
        <f t="shared" si="3"/>
        <v>7.8947368421052627E-2</v>
      </c>
      <c r="J152" s="211" t="s">
        <v>852</v>
      </c>
      <c r="K152" s="204"/>
    </row>
    <row r="153" spans="1:11" ht="30.5" customHeight="1">
      <c r="A153" s="198" t="s">
        <v>822</v>
      </c>
      <c r="B153" s="199" t="s">
        <v>70</v>
      </c>
      <c r="C153" s="199" t="s">
        <v>245</v>
      </c>
      <c r="D153" s="200" t="s">
        <v>246</v>
      </c>
      <c r="E153" s="201" t="s">
        <v>854</v>
      </c>
      <c r="F153" s="202" t="str">
        <f>VLOOKUP(D153,CSR!$D$4:$E$1180,2,FALSE)</f>
        <v>CSR_20000</v>
      </c>
      <c r="G153" s="203">
        <v>46155</v>
      </c>
      <c r="H153" s="208">
        <v>1.5</v>
      </c>
      <c r="I153" s="205">
        <f t="shared" si="3"/>
        <v>7.8947368421052627E-2</v>
      </c>
      <c r="J153" s="211" t="s">
        <v>852</v>
      </c>
      <c r="K153" s="204"/>
    </row>
    <row r="154" spans="1:11" ht="30.5" customHeight="1">
      <c r="A154" s="198" t="s">
        <v>822</v>
      </c>
      <c r="B154" s="199" t="s">
        <v>31</v>
      </c>
      <c r="C154" s="199" t="s">
        <v>32</v>
      </c>
      <c r="D154" s="200" t="s">
        <v>33</v>
      </c>
      <c r="E154" s="210" t="s">
        <v>855</v>
      </c>
      <c r="F154" s="202" t="str">
        <f>VLOOKUP(D154,CSR!$D$4:$E$1180,2,FALSE)</f>
        <v>CSR_30200</v>
      </c>
      <c r="G154" s="203">
        <v>46156</v>
      </c>
      <c r="H154" s="208">
        <v>0.5</v>
      </c>
      <c r="I154" s="205">
        <f t="shared" si="3"/>
        <v>2.6315789473684209E-2</v>
      </c>
      <c r="J154" s="211" t="s">
        <v>852</v>
      </c>
      <c r="K154" s="204"/>
    </row>
    <row r="155" spans="1:11" s="219" customFormat="1" ht="30.5" customHeight="1">
      <c r="A155" s="198" t="s">
        <v>822</v>
      </c>
      <c r="B155" s="199" t="s">
        <v>31</v>
      </c>
      <c r="C155" s="199" t="s">
        <v>32</v>
      </c>
      <c r="D155" s="200" t="s">
        <v>208</v>
      </c>
      <c r="E155" s="210" t="s">
        <v>856</v>
      </c>
      <c r="F155" s="202" t="str">
        <f>VLOOKUP(D155,CSR!$D$4:$E$1180,2,FALSE)</f>
        <v>CSR_30400</v>
      </c>
      <c r="G155" s="203">
        <v>46157</v>
      </c>
      <c r="H155" s="208">
        <v>0.5</v>
      </c>
      <c r="I155" s="205">
        <f t="shared" si="3"/>
        <v>2.6315789473684209E-2</v>
      </c>
      <c r="J155" s="211" t="s">
        <v>241</v>
      </c>
      <c r="K155" s="204"/>
    </row>
    <row r="156" spans="1:11" ht="30.5" customHeight="1">
      <c r="A156" s="198" t="s">
        <v>822</v>
      </c>
      <c r="B156" s="199" t="s">
        <v>70</v>
      </c>
      <c r="C156" s="199" t="s">
        <v>71</v>
      </c>
      <c r="D156" s="200" t="s">
        <v>252</v>
      </c>
      <c r="E156" s="201" t="s">
        <v>857</v>
      </c>
      <c r="F156" s="202" t="str">
        <f>VLOOKUP(D156,CSR!$D$4:$E$1180,2,FALSE)</f>
        <v>CSR_20300</v>
      </c>
      <c r="G156" s="203">
        <v>46162</v>
      </c>
      <c r="H156" s="208">
        <v>1.5</v>
      </c>
      <c r="I156" s="205">
        <f t="shared" si="3"/>
        <v>7.8947368421052627E-2</v>
      </c>
      <c r="J156" s="211" t="s">
        <v>241</v>
      </c>
      <c r="K156" s="204"/>
    </row>
    <row r="157" spans="1:11" ht="30.5" customHeight="1">
      <c r="A157" s="198" t="s">
        <v>822</v>
      </c>
      <c r="B157" s="199" t="s">
        <v>70</v>
      </c>
      <c r="C157" s="199" t="s">
        <v>245</v>
      </c>
      <c r="D157" s="207" t="s">
        <v>255</v>
      </c>
      <c r="E157" s="201" t="s">
        <v>858</v>
      </c>
      <c r="F157" s="202" t="str">
        <f>VLOOKUP(D157,CSR!$D$4:$E$1180,2,FALSE)</f>
        <v>CSR_20100</v>
      </c>
      <c r="G157" s="203">
        <v>46162</v>
      </c>
      <c r="H157" s="208">
        <v>0.5</v>
      </c>
      <c r="I157" s="205">
        <f t="shared" si="3"/>
        <v>2.6315789473684209E-2</v>
      </c>
      <c r="J157" s="211" t="s">
        <v>241</v>
      </c>
      <c r="K157" s="204"/>
    </row>
    <row r="158" spans="1:11" s="219" customFormat="1" ht="30.5" customHeight="1">
      <c r="A158" s="198" t="s">
        <v>822</v>
      </c>
      <c r="B158" s="199" t="s">
        <v>70</v>
      </c>
      <c r="C158" s="199" t="s">
        <v>245</v>
      </c>
      <c r="D158" s="200" t="s">
        <v>255</v>
      </c>
      <c r="E158" s="201" t="s">
        <v>859</v>
      </c>
      <c r="F158" s="202" t="str">
        <f>VLOOKUP(D158,CSR!$D$4:$E$1180,2,FALSE)</f>
        <v>CSR_20100</v>
      </c>
      <c r="G158" s="203">
        <v>46162</v>
      </c>
      <c r="H158" s="208">
        <v>0.5</v>
      </c>
      <c r="I158" s="205">
        <f t="shared" si="3"/>
        <v>2.6315789473684209E-2</v>
      </c>
      <c r="J158" s="211" t="s">
        <v>241</v>
      </c>
      <c r="K158" s="204"/>
    </row>
    <row r="159" spans="1:11" ht="30.5" customHeight="1">
      <c r="A159" s="198" t="s">
        <v>822</v>
      </c>
      <c r="B159" s="199" t="s">
        <v>31</v>
      </c>
      <c r="C159" s="199" t="s">
        <v>32</v>
      </c>
      <c r="D159" s="200" t="s">
        <v>259</v>
      </c>
      <c r="E159" s="201" t="s">
        <v>860</v>
      </c>
      <c r="F159" s="202" t="str">
        <f>VLOOKUP(D159,CSR!$D$4:$E$1180,2,FALSE)</f>
        <v>CSR_30100</v>
      </c>
      <c r="G159" s="203">
        <v>46162</v>
      </c>
      <c r="H159" s="208">
        <v>0.5</v>
      </c>
      <c r="I159" s="205">
        <f t="shared" si="3"/>
        <v>2.6315789473684209E-2</v>
      </c>
      <c r="J159" s="211" t="s">
        <v>241</v>
      </c>
      <c r="K159" s="204"/>
    </row>
    <row r="160" spans="1:11" ht="30.5" customHeight="1">
      <c r="A160" s="198" t="s">
        <v>822</v>
      </c>
      <c r="B160" s="199" t="s">
        <v>16</v>
      </c>
      <c r="C160" s="199" t="s">
        <v>17</v>
      </c>
      <c r="D160" s="200" t="s">
        <v>262</v>
      </c>
      <c r="E160" s="210" t="s">
        <v>861</v>
      </c>
      <c r="F160" s="202" t="str">
        <f>VLOOKUP(D160,CSR!$D$4:$E$1180,2,FALSE)</f>
        <v>CSR_11100</v>
      </c>
      <c r="G160" s="203">
        <v>46162</v>
      </c>
      <c r="H160" s="208">
        <v>1.5</v>
      </c>
      <c r="I160" s="205">
        <f t="shared" si="3"/>
        <v>7.8947368421052627E-2</v>
      </c>
      <c r="J160" s="211" t="s">
        <v>241</v>
      </c>
      <c r="K160" s="204"/>
    </row>
    <row r="161" spans="1:11" s="219" customFormat="1" ht="30.5" customHeight="1">
      <c r="A161" s="198" t="s">
        <v>822</v>
      </c>
      <c r="B161" s="199" t="s">
        <v>31</v>
      </c>
      <c r="C161" s="199" t="s">
        <v>32</v>
      </c>
      <c r="D161" s="200" t="s">
        <v>259</v>
      </c>
      <c r="E161" s="210" t="s">
        <v>862</v>
      </c>
      <c r="F161" s="202" t="str">
        <f>VLOOKUP(D161,CSR!$D$4:$E$1180,2,FALSE)</f>
        <v>CSR_30100</v>
      </c>
      <c r="G161" s="203">
        <v>46162</v>
      </c>
      <c r="H161" s="208">
        <v>0.5</v>
      </c>
      <c r="I161" s="205">
        <f t="shared" si="3"/>
        <v>2.6315789473684209E-2</v>
      </c>
      <c r="J161" s="211" t="s">
        <v>241</v>
      </c>
      <c r="K161" s="204"/>
    </row>
    <row r="162" spans="1:11" ht="30.5" customHeight="1">
      <c r="A162" s="198" t="s">
        <v>822</v>
      </c>
      <c r="B162" s="199" t="s">
        <v>70</v>
      </c>
      <c r="C162" s="199" t="s">
        <v>71</v>
      </c>
      <c r="D162" s="200" t="s">
        <v>266</v>
      </c>
      <c r="E162" s="210" t="s">
        <v>863</v>
      </c>
      <c r="F162" s="202" t="str">
        <f>VLOOKUP(D162,CSR!$D$4:$E$1180,2,FALSE)</f>
        <v>CSR_20200</v>
      </c>
      <c r="G162" s="203">
        <v>46162</v>
      </c>
      <c r="H162" s="208">
        <v>1</v>
      </c>
      <c r="I162" s="205">
        <f t="shared" si="3"/>
        <v>5.2631578947368418E-2</v>
      </c>
      <c r="J162" s="211" t="s">
        <v>241</v>
      </c>
      <c r="K162" s="204"/>
    </row>
    <row r="163" spans="1:11" ht="30.5" customHeight="1">
      <c r="A163" s="198" t="s">
        <v>822</v>
      </c>
      <c r="B163" s="220" t="s">
        <v>70</v>
      </c>
      <c r="C163" s="220" t="s">
        <v>245</v>
      </c>
      <c r="D163" s="209" t="s">
        <v>745</v>
      </c>
      <c r="E163" s="210" t="s">
        <v>864</v>
      </c>
      <c r="F163" s="202" t="str">
        <f>VLOOKUP(D163,CSR!$D$4:$E$1180,2,FALSE)</f>
        <v>CSR_20006</v>
      </c>
      <c r="G163" s="203">
        <v>46162</v>
      </c>
      <c r="H163" s="208">
        <v>1.5</v>
      </c>
      <c r="I163" s="205">
        <f t="shared" si="3"/>
        <v>7.8947368421052627E-2</v>
      </c>
      <c r="J163" s="211" t="s">
        <v>241</v>
      </c>
      <c r="K163" s="204"/>
    </row>
    <row r="164" spans="1:11" ht="30.5" customHeight="1">
      <c r="A164" s="198" t="s">
        <v>822</v>
      </c>
      <c r="B164" s="220" t="s">
        <v>70</v>
      </c>
      <c r="C164" s="220" t="s">
        <v>245</v>
      </c>
      <c r="D164" s="209" t="s">
        <v>272</v>
      </c>
      <c r="E164" s="210" t="s">
        <v>865</v>
      </c>
      <c r="F164" s="202" t="str">
        <f>VLOOKUP(D164,CSR!$D$4:$E$1180,2,FALSE)</f>
        <v>CSR_20007</v>
      </c>
      <c r="G164" s="203">
        <v>46162</v>
      </c>
      <c r="H164" s="208">
        <v>1</v>
      </c>
      <c r="I164" s="205">
        <f t="shared" si="3"/>
        <v>5.2631578947368418E-2</v>
      </c>
      <c r="J164" s="211" t="s">
        <v>241</v>
      </c>
      <c r="K164" s="204"/>
    </row>
    <row r="165" spans="1:11" ht="30.5" customHeight="1">
      <c r="A165" s="198" t="s">
        <v>27</v>
      </c>
      <c r="B165" s="199" t="s">
        <v>31</v>
      </c>
      <c r="C165" s="199" t="s">
        <v>32</v>
      </c>
      <c r="D165" s="200" t="s">
        <v>199</v>
      </c>
      <c r="E165" s="210" t="s">
        <v>866</v>
      </c>
      <c r="F165" s="202" t="str">
        <f>VLOOKUP(D165,CSR!$D$4:$E$1180,2,FALSE)</f>
        <v>CSR_30000</v>
      </c>
      <c r="G165" s="203">
        <v>46162</v>
      </c>
      <c r="H165" s="208">
        <v>0.5</v>
      </c>
      <c r="I165" s="205">
        <f t="shared" si="3"/>
        <v>2.6315789473684209E-2</v>
      </c>
      <c r="J165" s="211" t="s">
        <v>852</v>
      </c>
      <c r="K165" s="204"/>
    </row>
    <row r="166" spans="1:11" ht="30.5" customHeight="1">
      <c r="A166" s="198" t="s">
        <v>27</v>
      </c>
      <c r="B166" s="199" t="s">
        <v>16</v>
      </c>
      <c r="C166" s="199" t="s">
        <v>17</v>
      </c>
      <c r="D166" s="200" t="s">
        <v>276</v>
      </c>
      <c r="E166" s="210" t="s">
        <v>867</v>
      </c>
      <c r="F166" s="202" t="str">
        <f>VLOOKUP(D166,CSR!$D$4:$E$1180,2,FALSE)</f>
        <v>CSR_10200</v>
      </c>
      <c r="G166" s="203">
        <v>46162</v>
      </c>
      <c r="H166" s="208">
        <v>1.5</v>
      </c>
      <c r="I166" s="205">
        <f t="shared" si="3"/>
        <v>7.8947368421052627E-2</v>
      </c>
      <c r="J166" s="211" t="s">
        <v>241</v>
      </c>
      <c r="K166" s="204"/>
    </row>
    <row r="167" spans="1:11" ht="30.5" customHeight="1">
      <c r="A167" s="198" t="s">
        <v>27</v>
      </c>
      <c r="B167" s="199" t="s">
        <v>70</v>
      </c>
      <c r="C167" s="199" t="s">
        <v>245</v>
      </c>
      <c r="D167" s="200" t="s">
        <v>255</v>
      </c>
      <c r="E167" s="210" t="s">
        <v>868</v>
      </c>
      <c r="F167" s="202" t="str">
        <f>VLOOKUP(D167,CSR!$D$4:$E$1180,2,FALSE)</f>
        <v>CSR_20100</v>
      </c>
      <c r="G167" s="203">
        <v>46162</v>
      </c>
      <c r="H167" s="208">
        <v>0.5</v>
      </c>
      <c r="I167" s="205">
        <f t="shared" si="3"/>
        <v>2.6315789473684209E-2</v>
      </c>
      <c r="J167" s="211" t="s">
        <v>241</v>
      </c>
      <c r="K167" s="204"/>
    </row>
    <row r="168" spans="1:11" ht="30.5" customHeight="1">
      <c r="A168" s="198" t="s">
        <v>27</v>
      </c>
      <c r="B168" s="199" t="s">
        <v>31</v>
      </c>
      <c r="C168" s="199" t="s">
        <v>32</v>
      </c>
      <c r="D168" s="200" t="s">
        <v>33</v>
      </c>
      <c r="E168" s="210" t="s">
        <v>869</v>
      </c>
      <c r="F168" s="202" t="str">
        <f>VLOOKUP(D168,CSR!$D$4:$E$1180,2,FALSE)</f>
        <v>CSR_30200</v>
      </c>
      <c r="G168" s="203">
        <v>46162</v>
      </c>
      <c r="H168" s="208">
        <v>0.5</v>
      </c>
      <c r="I168" s="205">
        <f t="shared" si="3"/>
        <v>2.6315789473684209E-2</v>
      </c>
      <c r="J168" s="211" t="s">
        <v>241</v>
      </c>
      <c r="K168" s="204"/>
    </row>
    <row r="169" spans="1:11" ht="30.5" customHeight="1">
      <c r="A169" s="198" t="s">
        <v>27</v>
      </c>
      <c r="B169" s="199" t="s">
        <v>70</v>
      </c>
      <c r="C169" s="199" t="s">
        <v>245</v>
      </c>
      <c r="D169" s="200" t="s">
        <v>750</v>
      </c>
      <c r="E169" s="210" t="s">
        <v>870</v>
      </c>
      <c r="F169" s="202" t="str">
        <f>VLOOKUP(D169,CSR!$D$4:$E$1180,2,FALSE)</f>
        <v>CSR_20008</v>
      </c>
      <c r="G169" s="203">
        <v>46162</v>
      </c>
      <c r="H169" s="208">
        <v>1</v>
      </c>
      <c r="I169" s="205">
        <f t="shared" si="3"/>
        <v>5.2631578947368418E-2</v>
      </c>
      <c r="J169" s="211" t="s">
        <v>241</v>
      </c>
      <c r="K169" s="204"/>
    </row>
    <row r="170" spans="1:11" ht="30.5" customHeight="1">
      <c r="A170" s="198" t="s">
        <v>821</v>
      </c>
      <c r="B170" s="199" t="s">
        <v>846</v>
      </c>
      <c r="C170" s="199" t="s">
        <v>17</v>
      </c>
      <c r="D170" s="207" t="s">
        <v>681</v>
      </c>
      <c r="E170" s="210" t="s">
        <v>871</v>
      </c>
      <c r="F170" s="202" t="str">
        <f>VLOOKUP(D170,CSR!$D$4:$E$1180,2,FALSE)</f>
        <v>CSR_11314</v>
      </c>
      <c r="G170" s="203">
        <v>46141</v>
      </c>
      <c r="H170" s="204">
        <v>3</v>
      </c>
      <c r="I170" s="205">
        <f t="shared" si="3"/>
        <v>0.15789473684210525</v>
      </c>
      <c r="J170" s="206" t="s">
        <v>872</v>
      </c>
      <c r="K170" s="204"/>
    </row>
    <row r="171" spans="1:11" ht="30.5" customHeight="1">
      <c r="A171" s="198" t="s">
        <v>27</v>
      </c>
      <c r="B171" s="199" t="s">
        <v>846</v>
      </c>
      <c r="C171" s="199" t="s">
        <v>17</v>
      </c>
      <c r="D171" s="207" t="s">
        <v>685</v>
      </c>
      <c r="E171" s="210" t="s">
        <v>873</v>
      </c>
      <c r="F171" s="202" t="str">
        <f>VLOOKUP(D171,CSR!$D$4:$E$1180,2,FALSE)</f>
        <v>CSR_11316</v>
      </c>
      <c r="G171" s="203" t="s">
        <v>833</v>
      </c>
      <c r="H171" s="204">
        <v>5</v>
      </c>
      <c r="I171" s="205">
        <f t="shared" si="3"/>
        <v>0.26315789473684209</v>
      </c>
      <c r="J171" s="206" t="s">
        <v>872</v>
      </c>
      <c r="K171" s="204"/>
    </row>
    <row r="172" spans="1:11" ht="30.5" customHeight="1">
      <c r="A172" s="198" t="s">
        <v>821</v>
      </c>
      <c r="B172" s="199" t="s">
        <v>846</v>
      </c>
      <c r="C172" s="199" t="s">
        <v>17</v>
      </c>
      <c r="D172" s="207" t="s">
        <v>681</v>
      </c>
      <c r="E172" s="210" t="s">
        <v>874</v>
      </c>
      <c r="F172" s="202" t="str">
        <f>VLOOKUP(D172,CSR!$D$4:$E$1180,2,FALSE)</f>
        <v>CSR_11314</v>
      </c>
      <c r="G172" s="203" t="s">
        <v>875</v>
      </c>
      <c r="H172" s="204">
        <v>3</v>
      </c>
      <c r="I172" s="205">
        <f t="shared" si="3"/>
        <v>0.15789473684210525</v>
      </c>
      <c r="J172" s="206" t="s">
        <v>872</v>
      </c>
      <c r="K172" s="204"/>
    </row>
    <row r="173" spans="1:11" ht="30.5" customHeight="1">
      <c r="A173" s="198" t="s">
        <v>27</v>
      </c>
      <c r="B173" s="199" t="s">
        <v>31</v>
      </c>
      <c r="C173" s="199" t="s">
        <v>32</v>
      </c>
      <c r="D173" s="200" t="s">
        <v>760</v>
      </c>
      <c r="E173" s="201" t="s">
        <v>876</v>
      </c>
      <c r="F173" s="202" t="str">
        <f>VLOOKUP(D173,CSR!$D$4:$E$1180,2,FALSE)</f>
        <v>CSR_30000</v>
      </c>
      <c r="G173" s="203">
        <v>46162</v>
      </c>
      <c r="H173" s="204">
        <v>1</v>
      </c>
      <c r="I173" s="205">
        <f t="shared" si="3"/>
        <v>5.2631578947368418E-2</v>
      </c>
      <c r="J173" s="206" t="s">
        <v>872</v>
      </c>
      <c r="K173" s="204"/>
    </row>
    <row r="174" spans="1:11" ht="30.5" customHeight="1">
      <c r="A174" s="198" t="s">
        <v>27</v>
      </c>
      <c r="B174" s="199" t="s">
        <v>31</v>
      </c>
      <c r="C174" s="199" t="s">
        <v>32</v>
      </c>
      <c r="D174" s="200" t="s">
        <v>760</v>
      </c>
      <c r="E174" s="201" t="s">
        <v>877</v>
      </c>
      <c r="F174" s="202" t="str">
        <f>VLOOKUP(D174,CSR!$D$4:$E$1180,2,FALSE)</f>
        <v>CSR_30000</v>
      </c>
      <c r="G174" s="203">
        <v>46141</v>
      </c>
      <c r="H174" s="204">
        <v>1</v>
      </c>
      <c r="I174" s="205">
        <f t="shared" si="3"/>
        <v>5.2631578947368418E-2</v>
      </c>
      <c r="J174" s="206" t="s">
        <v>872</v>
      </c>
      <c r="K174" s="204"/>
    </row>
    <row r="175" spans="1:11" ht="30.5" customHeight="1">
      <c r="A175" s="198" t="s">
        <v>27</v>
      </c>
      <c r="B175" s="199" t="s">
        <v>31</v>
      </c>
      <c r="C175" s="199" t="s">
        <v>32</v>
      </c>
      <c r="D175" s="200" t="s">
        <v>760</v>
      </c>
      <c r="E175" s="201" t="s">
        <v>878</v>
      </c>
      <c r="F175" s="202" t="str">
        <f>VLOOKUP(D175,CSR!$D$4:$E$1180,2,FALSE)</f>
        <v>CSR_30000</v>
      </c>
      <c r="G175" s="203" t="s">
        <v>835</v>
      </c>
      <c r="H175" s="204">
        <v>3</v>
      </c>
      <c r="I175" s="205">
        <f t="shared" si="3"/>
        <v>0.15789473684210525</v>
      </c>
      <c r="J175" s="206" t="s">
        <v>872</v>
      </c>
      <c r="K175" s="204"/>
    </row>
    <row r="176" spans="1:11" ht="30.5" customHeight="1">
      <c r="A176" s="198" t="s">
        <v>27</v>
      </c>
      <c r="B176" s="199" t="s">
        <v>775</v>
      </c>
      <c r="C176" s="199" t="s">
        <v>844</v>
      </c>
      <c r="D176" s="207" t="s">
        <v>810</v>
      </c>
      <c r="E176" s="201" t="s">
        <v>879</v>
      </c>
      <c r="F176" s="202" t="str">
        <f>VLOOKUP(D176,CSR!$D$4:$E$1180,2,FALSE)</f>
        <v>CSR_41202</v>
      </c>
      <c r="G176" s="203">
        <v>46161</v>
      </c>
      <c r="H176" s="204">
        <v>3</v>
      </c>
      <c r="I176" s="205">
        <f t="shared" si="3"/>
        <v>0.15789473684210525</v>
      </c>
      <c r="J176" s="206" t="s">
        <v>872</v>
      </c>
      <c r="K176" s="204"/>
    </row>
    <row r="177" spans="1:11" ht="30.5" customHeight="1">
      <c r="A177" s="198" t="s">
        <v>15</v>
      </c>
      <c r="B177" s="199" t="s">
        <v>16</v>
      </c>
      <c r="C177" s="199" t="s">
        <v>17</v>
      </c>
      <c r="D177" s="200" t="s">
        <v>55</v>
      </c>
      <c r="E177" s="201" t="s">
        <v>295</v>
      </c>
      <c r="F177" s="202" t="str">
        <f>VLOOKUP(D177,CSR!$D$4:$E$1180,2,FALSE)</f>
        <v>CSR_11314</v>
      </c>
      <c r="G177" s="203" t="s">
        <v>296</v>
      </c>
      <c r="H177" s="208">
        <v>2</v>
      </c>
      <c r="I177" s="205">
        <f t="shared" si="3"/>
        <v>0.10526315789473684</v>
      </c>
      <c r="J177" s="211" t="s">
        <v>297</v>
      </c>
      <c r="K177" s="204"/>
    </row>
    <row r="178" spans="1:11" ht="30.5" customHeight="1">
      <c r="A178" s="198" t="s">
        <v>15</v>
      </c>
      <c r="B178" s="199" t="s">
        <v>49</v>
      </c>
      <c r="C178" s="199" t="s">
        <v>50</v>
      </c>
      <c r="D178" s="200" t="s">
        <v>298</v>
      </c>
      <c r="E178" s="218" t="s">
        <v>299</v>
      </c>
      <c r="F178" s="202" t="str">
        <f>VLOOKUP(D178,CSR!$D$4:$E$1180,2,FALSE)</f>
        <v>CSR_41104</v>
      </c>
      <c r="G178" s="203" t="s">
        <v>141</v>
      </c>
      <c r="H178" s="208">
        <v>2</v>
      </c>
      <c r="I178" s="205">
        <f t="shared" si="3"/>
        <v>0.10526315789473684</v>
      </c>
      <c r="J178" s="211" t="s">
        <v>297</v>
      </c>
      <c r="K178" s="204"/>
    </row>
    <row r="179" spans="1:11" ht="30.5" customHeight="1">
      <c r="A179" s="198" t="s">
        <v>15</v>
      </c>
      <c r="B179" s="199" t="s">
        <v>16</v>
      </c>
      <c r="C179" s="199" t="s">
        <v>17</v>
      </c>
      <c r="D179" s="207" t="s">
        <v>131</v>
      </c>
      <c r="E179" s="201" t="s">
        <v>301</v>
      </c>
      <c r="F179" s="202" t="str">
        <f>VLOOKUP(D179,CSR!$D$4:$E$1180,2,FALSE)</f>
        <v>CSR_10400</v>
      </c>
      <c r="G179" s="203" t="s">
        <v>302</v>
      </c>
      <c r="H179" s="208">
        <v>1</v>
      </c>
      <c r="I179" s="205">
        <f t="shared" si="3"/>
        <v>5.2631578947368418E-2</v>
      </c>
      <c r="J179" s="211" t="s">
        <v>297</v>
      </c>
      <c r="K179" s="204"/>
    </row>
    <row r="180" spans="1:11" ht="30.5" customHeight="1">
      <c r="A180" s="198" t="s">
        <v>27</v>
      </c>
      <c r="B180" s="199" t="s">
        <v>16</v>
      </c>
      <c r="C180" s="199" t="s">
        <v>17</v>
      </c>
      <c r="D180" s="207" t="s">
        <v>131</v>
      </c>
      <c r="E180" s="201" t="s">
        <v>303</v>
      </c>
      <c r="F180" s="202" t="str">
        <f>VLOOKUP(D180,CSR!$D$4:$E$1180,2,FALSE)</f>
        <v>CSR_10400</v>
      </c>
      <c r="G180" s="203" t="s">
        <v>290</v>
      </c>
      <c r="H180" s="208">
        <v>4</v>
      </c>
      <c r="I180" s="205">
        <f t="shared" si="3"/>
        <v>0.21052631578947367</v>
      </c>
      <c r="J180" s="211" t="s">
        <v>297</v>
      </c>
      <c r="K180" s="204"/>
    </row>
    <row r="181" spans="1:11" ht="30.5" customHeight="1">
      <c r="A181" s="198" t="s">
        <v>27</v>
      </c>
      <c r="B181" s="199" t="s">
        <v>70</v>
      </c>
      <c r="C181" s="199" t="s">
        <v>245</v>
      </c>
      <c r="D181" s="200" t="s">
        <v>281</v>
      </c>
      <c r="E181" s="210" t="s">
        <v>304</v>
      </c>
      <c r="F181" s="202" t="str">
        <f>VLOOKUP(D181,CSR!$D$4:$E$1180,2,FALSE)</f>
        <v>CSR_20008</v>
      </c>
      <c r="G181" s="203" t="s">
        <v>305</v>
      </c>
      <c r="H181" s="208">
        <v>4</v>
      </c>
      <c r="I181" s="205">
        <f t="shared" si="3"/>
        <v>0.21052631578947367</v>
      </c>
      <c r="J181" s="211" t="s">
        <v>297</v>
      </c>
      <c r="K181" s="204"/>
    </row>
    <row r="182" spans="1:11" ht="30.5" customHeight="1">
      <c r="A182" s="198" t="s">
        <v>27</v>
      </c>
      <c r="B182" s="199" t="s">
        <v>31</v>
      </c>
      <c r="C182" s="199" t="s">
        <v>32</v>
      </c>
      <c r="D182" s="208" t="s">
        <v>208</v>
      </c>
      <c r="E182" s="210" t="s">
        <v>306</v>
      </c>
      <c r="F182" s="202" t="str">
        <f>VLOOKUP(D182,CSR!$D$4:$E$1180,2,FALSE)</f>
        <v>CSR_30400</v>
      </c>
      <c r="G182" s="203" t="s">
        <v>307</v>
      </c>
      <c r="H182" s="208">
        <v>2</v>
      </c>
      <c r="I182" s="205">
        <f t="shared" si="3"/>
        <v>0.10526315789473684</v>
      </c>
      <c r="J182" s="211" t="s">
        <v>297</v>
      </c>
      <c r="K182" s="204"/>
    </row>
    <row r="183" spans="1:11" ht="30.5" customHeight="1">
      <c r="A183" s="198" t="s">
        <v>27</v>
      </c>
      <c r="B183" s="199" t="s">
        <v>16</v>
      </c>
      <c r="C183" s="199" t="s">
        <v>17</v>
      </c>
      <c r="D183" s="200" t="s">
        <v>18</v>
      </c>
      <c r="E183" s="201" t="s">
        <v>308</v>
      </c>
      <c r="F183" s="202" t="str">
        <f>VLOOKUP(D183,CSR!$D$4:$E$1180,2,FALSE)</f>
        <v>CSR_11300</v>
      </c>
      <c r="G183" s="203" t="s">
        <v>309</v>
      </c>
      <c r="H183" s="208">
        <v>4</v>
      </c>
      <c r="I183" s="205">
        <f t="shared" si="3"/>
        <v>0.21052631578947367</v>
      </c>
      <c r="J183" s="211" t="s">
        <v>297</v>
      </c>
      <c r="K183" s="204"/>
    </row>
    <row r="184" spans="1:11" ht="30.5" customHeight="1">
      <c r="A184" s="198" t="s">
        <v>15</v>
      </c>
      <c r="B184" s="199" t="s">
        <v>16</v>
      </c>
      <c r="C184" s="199" t="s">
        <v>17</v>
      </c>
      <c r="D184" s="207" t="s">
        <v>214</v>
      </c>
      <c r="E184" s="210" t="s">
        <v>310</v>
      </c>
      <c r="F184" s="202" t="str">
        <f>VLOOKUP(D184,CSR!$D$4:$E$1180,2,FALSE)</f>
        <v>CSR_11303</v>
      </c>
      <c r="G184" s="203" t="s">
        <v>311</v>
      </c>
      <c r="H184" s="208">
        <v>1</v>
      </c>
      <c r="I184" s="205">
        <f t="shared" si="3"/>
        <v>5.2631578947368418E-2</v>
      </c>
      <c r="J184" s="211" t="s">
        <v>312</v>
      </c>
      <c r="K184" s="204"/>
    </row>
    <row r="185" spans="1:11" ht="30.5" customHeight="1">
      <c r="A185" s="198" t="s">
        <v>15</v>
      </c>
      <c r="B185" s="199" t="s">
        <v>16</v>
      </c>
      <c r="C185" s="199" t="s">
        <v>17</v>
      </c>
      <c r="D185" s="207" t="s">
        <v>131</v>
      </c>
      <c r="E185" s="201" t="s">
        <v>313</v>
      </c>
      <c r="F185" s="202" t="str">
        <f>VLOOKUP(D185,CSR!$D$4:$E$1180,2,FALSE)</f>
        <v>CSR_10400</v>
      </c>
      <c r="G185" s="203" t="s">
        <v>311</v>
      </c>
      <c r="H185" s="208">
        <v>1</v>
      </c>
      <c r="I185" s="205">
        <f t="shared" si="3"/>
        <v>5.2631578947368418E-2</v>
      </c>
      <c r="J185" s="211" t="s">
        <v>312</v>
      </c>
      <c r="K185" s="204"/>
    </row>
    <row r="186" spans="1:11" ht="30.5" customHeight="1">
      <c r="A186" s="198" t="s">
        <v>15</v>
      </c>
      <c r="B186" s="199" t="s">
        <v>16</v>
      </c>
      <c r="C186" s="199" t="s">
        <v>17</v>
      </c>
      <c r="D186" s="204" t="s">
        <v>65</v>
      </c>
      <c r="E186" s="210" t="s">
        <v>314</v>
      </c>
      <c r="F186" s="202" t="str">
        <f>VLOOKUP(D186,CSR!$D$4:$E$1180,2,FALSE)</f>
        <v>CSR_10800</v>
      </c>
      <c r="G186" s="203" t="s">
        <v>302</v>
      </c>
      <c r="H186" s="208">
        <v>5</v>
      </c>
      <c r="I186" s="205">
        <f t="shared" si="3"/>
        <v>0.26315789473684209</v>
      </c>
      <c r="J186" s="211" t="s">
        <v>312</v>
      </c>
      <c r="K186" s="204"/>
    </row>
    <row r="187" spans="1:11" ht="30.5" customHeight="1">
      <c r="A187" s="198" t="s">
        <v>15</v>
      </c>
      <c r="B187" s="199" t="s">
        <v>775</v>
      </c>
      <c r="C187" s="199" t="s">
        <v>780</v>
      </c>
      <c r="D187" s="214" t="s">
        <v>788</v>
      </c>
      <c r="E187" s="201" t="s">
        <v>315</v>
      </c>
      <c r="F187" s="202" t="str">
        <f>VLOOKUP(D187,CSR!$D$4:$E$1180,2,FALSE)</f>
        <v>CSR_40600</v>
      </c>
      <c r="G187" s="203" t="s">
        <v>316</v>
      </c>
      <c r="H187" s="208">
        <v>2</v>
      </c>
      <c r="I187" s="205">
        <f t="shared" si="3"/>
        <v>0.10526315789473684</v>
      </c>
      <c r="J187" s="211" t="s">
        <v>312</v>
      </c>
      <c r="K187" s="204"/>
    </row>
    <row r="188" spans="1:11" ht="30.5" customHeight="1">
      <c r="A188" s="198" t="s">
        <v>27</v>
      </c>
      <c r="B188" s="199" t="s">
        <v>16</v>
      </c>
      <c r="C188" s="199" t="s">
        <v>17</v>
      </c>
      <c r="D188" s="200" t="s">
        <v>262</v>
      </c>
      <c r="E188" s="201" t="s">
        <v>317</v>
      </c>
      <c r="F188" s="202" t="str">
        <f>VLOOKUP(D188,CSR!$D$4:$E$1180,2,FALSE)</f>
        <v>CSR_11100</v>
      </c>
      <c r="G188" s="203" t="s">
        <v>318</v>
      </c>
      <c r="H188" s="208">
        <v>1</v>
      </c>
      <c r="I188" s="205">
        <f t="shared" si="3"/>
        <v>5.2631578947368418E-2</v>
      </c>
      <c r="J188" s="211" t="s">
        <v>312</v>
      </c>
      <c r="K188" s="204"/>
    </row>
    <row r="189" spans="1:11" ht="30.5" customHeight="1">
      <c r="A189" s="198" t="s">
        <v>27</v>
      </c>
      <c r="B189" s="199" t="s">
        <v>70</v>
      </c>
      <c r="C189" s="199" t="s">
        <v>245</v>
      </c>
      <c r="D189" s="200" t="s">
        <v>281</v>
      </c>
      <c r="E189" s="210" t="s">
        <v>319</v>
      </c>
      <c r="F189" s="202" t="str">
        <f>VLOOKUP(D189,CSR!$D$4:$E$1180,2,FALSE)</f>
        <v>CSR_20008</v>
      </c>
      <c r="G189" s="203" t="s">
        <v>305</v>
      </c>
      <c r="H189" s="208">
        <v>2</v>
      </c>
      <c r="I189" s="205">
        <f t="shared" si="3"/>
        <v>0.10526315789473684</v>
      </c>
      <c r="J189" s="211" t="s">
        <v>312</v>
      </c>
      <c r="K189" s="204"/>
    </row>
    <row r="190" spans="1:11" ht="30.5" customHeight="1">
      <c r="A190" s="198" t="s">
        <v>27</v>
      </c>
      <c r="B190" s="199" t="s">
        <v>16</v>
      </c>
      <c r="C190" s="199" t="s">
        <v>17</v>
      </c>
      <c r="D190" s="200" t="s">
        <v>262</v>
      </c>
      <c r="E190" s="201" t="s">
        <v>317</v>
      </c>
      <c r="F190" s="202" t="str">
        <f>VLOOKUP(D190,CSR!$D$4:$E$1180,2,FALSE)</f>
        <v>CSR_11100</v>
      </c>
      <c r="G190" s="203" t="s">
        <v>320</v>
      </c>
      <c r="H190" s="208">
        <v>1</v>
      </c>
      <c r="I190" s="205">
        <f t="shared" si="3"/>
        <v>5.2631578947368418E-2</v>
      </c>
      <c r="J190" s="211" t="s">
        <v>312</v>
      </c>
      <c r="K190" s="204"/>
    </row>
    <row r="191" spans="1:11" ht="30.5" customHeight="1">
      <c r="A191" s="198" t="s">
        <v>27</v>
      </c>
      <c r="B191" s="199" t="s">
        <v>16</v>
      </c>
      <c r="C191" s="199" t="s">
        <v>17</v>
      </c>
      <c r="D191" s="200" t="s">
        <v>18</v>
      </c>
      <c r="E191" s="201" t="s">
        <v>321</v>
      </c>
      <c r="F191" s="202" t="str">
        <f>VLOOKUP(D191,CSR!$D$4:$E$1180,2,FALSE)</f>
        <v>CSR_11300</v>
      </c>
      <c r="G191" s="203" t="s">
        <v>309</v>
      </c>
      <c r="H191" s="208">
        <v>5</v>
      </c>
      <c r="I191" s="205">
        <f t="shared" si="3"/>
        <v>0.26315789473684209</v>
      </c>
      <c r="J191" s="211" t="s">
        <v>312</v>
      </c>
      <c r="K191" s="204"/>
    </row>
    <row r="192" spans="1:11" ht="30.5" customHeight="1">
      <c r="A192" s="198" t="s">
        <v>27</v>
      </c>
      <c r="B192" s="199" t="s">
        <v>758</v>
      </c>
      <c r="C192" s="199" t="s">
        <v>759</v>
      </c>
      <c r="D192" s="200" t="s">
        <v>880</v>
      </c>
      <c r="E192" s="201" t="s">
        <v>842</v>
      </c>
      <c r="F192" s="202" t="str">
        <f>VLOOKUP(D192,CSR!$D$4:$E$1180,2,FALSE)</f>
        <v>CSR_30600</v>
      </c>
      <c r="G192" s="203">
        <v>46162</v>
      </c>
      <c r="H192" s="204">
        <v>3</v>
      </c>
      <c r="I192" s="205">
        <f t="shared" si="3"/>
        <v>0.15789473684210525</v>
      </c>
      <c r="J192" s="206" t="s">
        <v>881</v>
      </c>
      <c r="K192" s="204"/>
    </row>
    <row r="193" spans="1:11" ht="30.5" customHeight="1">
      <c r="A193" s="198" t="s">
        <v>821</v>
      </c>
      <c r="B193" s="220" t="s">
        <v>49</v>
      </c>
      <c r="C193" s="220" t="s">
        <v>780</v>
      </c>
      <c r="D193" s="209" t="s">
        <v>788</v>
      </c>
      <c r="E193" s="201" t="s">
        <v>882</v>
      </c>
      <c r="F193" s="202" t="str">
        <f>VLOOKUP(D193,CSR!$D$4:$E$1180,2,FALSE)</f>
        <v>CSR_40600</v>
      </c>
      <c r="G193" s="203">
        <v>46136</v>
      </c>
      <c r="H193" s="204">
        <v>2</v>
      </c>
      <c r="I193" s="205">
        <f t="shared" si="3"/>
        <v>0.10526315789473684</v>
      </c>
      <c r="J193" s="206" t="s">
        <v>2433</v>
      </c>
      <c r="K193" s="201"/>
    </row>
    <row r="194" spans="1:11" ht="30.5" customHeight="1">
      <c r="A194" s="198" t="s">
        <v>821</v>
      </c>
      <c r="B194" s="199" t="s">
        <v>775</v>
      </c>
      <c r="C194" s="199" t="s">
        <v>780</v>
      </c>
      <c r="D194" s="214" t="s">
        <v>784</v>
      </c>
      <c r="E194" s="201" t="s">
        <v>883</v>
      </c>
      <c r="F194" s="202" t="str">
        <f>VLOOKUP(D194,CSR!$D$4:$E$1180,2,FALSE)</f>
        <v>CSR_40300</v>
      </c>
      <c r="G194" s="203">
        <v>46136</v>
      </c>
      <c r="H194" s="204">
        <v>2</v>
      </c>
      <c r="I194" s="205">
        <f t="shared" si="3"/>
        <v>0.10526315789473684</v>
      </c>
      <c r="J194" s="206" t="s">
        <v>324</v>
      </c>
      <c r="K194" s="201"/>
    </row>
    <row r="195" spans="1:11" ht="30.5" customHeight="1">
      <c r="A195" s="198" t="s">
        <v>822</v>
      </c>
      <c r="B195" s="220" t="s">
        <v>49</v>
      </c>
      <c r="C195" s="220" t="s">
        <v>780</v>
      </c>
      <c r="D195" s="209" t="s">
        <v>788</v>
      </c>
      <c r="E195" s="201" t="s">
        <v>884</v>
      </c>
      <c r="F195" s="202" t="str">
        <f>VLOOKUP(D195,CSR!$D$4:$E$1180,2,FALSE)</f>
        <v>CSR_40600</v>
      </c>
      <c r="G195" s="203">
        <v>46143</v>
      </c>
      <c r="H195" s="204">
        <v>2</v>
      </c>
      <c r="I195" s="205">
        <f t="shared" si="3"/>
        <v>0.10526315789473684</v>
      </c>
      <c r="J195" s="206" t="s">
        <v>324</v>
      </c>
      <c r="K195" s="201"/>
    </row>
    <row r="196" spans="1:11" ht="30.5" customHeight="1">
      <c r="A196" s="198" t="s">
        <v>822</v>
      </c>
      <c r="B196" s="199" t="s">
        <v>16</v>
      </c>
      <c r="C196" s="199" t="s">
        <v>17</v>
      </c>
      <c r="D196" s="200" t="s">
        <v>18</v>
      </c>
      <c r="E196" s="201" t="s">
        <v>885</v>
      </c>
      <c r="F196" s="202" t="str">
        <f>VLOOKUP(D196,CSR!$D$4:$E$1180,2,FALSE)</f>
        <v>CSR_11300</v>
      </c>
      <c r="G196" s="203">
        <v>46143</v>
      </c>
      <c r="H196" s="204">
        <v>2</v>
      </c>
      <c r="I196" s="205">
        <f t="shared" si="3"/>
        <v>0.10526315789473684</v>
      </c>
      <c r="J196" s="206" t="s">
        <v>324</v>
      </c>
      <c r="K196" s="201"/>
    </row>
    <row r="197" spans="1:11" ht="30.5" customHeight="1">
      <c r="A197" s="198" t="s">
        <v>822</v>
      </c>
      <c r="B197" s="220" t="s">
        <v>49</v>
      </c>
      <c r="C197" s="220" t="s">
        <v>780</v>
      </c>
      <c r="D197" s="209" t="s">
        <v>788</v>
      </c>
      <c r="E197" s="201" t="s">
        <v>886</v>
      </c>
      <c r="F197" s="202" t="str">
        <f>VLOOKUP(D197,CSR!$D$4:$E$1180,2,FALSE)</f>
        <v>CSR_40600</v>
      </c>
      <c r="G197" s="203">
        <v>46150</v>
      </c>
      <c r="H197" s="204">
        <v>2</v>
      </c>
      <c r="I197" s="205">
        <f t="shared" si="3"/>
        <v>0.10526315789473684</v>
      </c>
      <c r="J197" s="206" t="s">
        <v>324</v>
      </c>
      <c r="K197" s="201"/>
    </row>
    <row r="198" spans="1:11" ht="30.5" customHeight="1">
      <c r="A198" s="198" t="s">
        <v>822</v>
      </c>
      <c r="B198" s="199" t="s">
        <v>16</v>
      </c>
      <c r="C198" s="199" t="s">
        <v>17</v>
      </c>
      <c r="D198" s="200" t="s">
        <v>44</v>
      </c>
      <c r="E198" s="201" t="s">
        <v>887</v>
      </c>
      <c r="F198" s="202" t="str">
        <f>VLOOKUP(D198,CSR!$D$4:$E$1180,2,FALSE)</f>
        <v>CSR_11416</v>
      </c>
      <c r="G198" s="203">
        <v>46150</v>
      </c>
      <c r="H198" s="204">
        <v>2</v>
      </c>
      <c r="I198" s="205">
        <f t="shared" si="3"/>
        <v>0.10526315789473684</v>
      </c>
      <c r="J198" s="206" t="s">
        <v>324</v>
      </c>
      <c r="K198" s="201"/>
    </row>
    <row r="199" spans="1:11" ht="30.5" customHeight="1">
      <c r="A199" s="198" t="s">
        <v>822</v>
      </c>
      <c r="B199" s="220" t="s">
        <v>49</v>
      </c>
      <c r="C199" s="220" t="s">
        <v>780</v>
      </c>
      <c r="D199" s="209" t="s">
        <v>788</v>
      </c>
      <c r="E199" s="201" t="s">
        <v>888</v>
      </c>
      <c r="F199" s="202" t="str">
        <f>VLOOKUP(D199,CSR!$D$4:$E$1180,2,FALSE)</f>
        <v>CSR_40600</v>
      </c>
      <c r="G199" s="203">
        <v>46157</v>
      </c>
      <c r="H199" s="204">
        <v>2</v>
      </c>
      <c r="I199" s="205">
        <f t="shared" si="3"/>
        <v>0.10526315789473684</v>
      </c>
      <c r="J199" s="206" t="s">
        <v>324</v>
      </c>
      <c r="K199" s="201"/>
    </row>
    <row r="200" spans="1:11" ht="30.5" customHeight="1">
      <c r="A200" s="198" t="s">
        <v>822</v>
      </c>
      <c r="B200" s="199" t="s">
        <v>16</v>
      </c>
      <c r="C200" s="199" t="s">
        <v>17</v>
      </c>
      <c r="D200" s="200" t="s">
        <v>44</v>
      </c>
      <c r="E200" s="201" t="s">
        <v>889</v>
      </c>
      <c r="F200" s="202" t="str">
        <f>VLOOKUP(D200,CSR!$D$4:$E$1180,2,FALSE)</f>
        <v>CSR_11416</v>
      </c>
      <c r="G200" s="203">
        <v>46157</v>
      </c>
      <c r="H200" s="204">
        <v>2</v>
      </c>
      <c r="I200" s="205">
        <f t="shared" si="3"/>
        <v>0.10526315789473684</v>
      </c>
      <c r="J200" s="206" t="s">
        <v>324</v>
      </c>
      <c r="K200" s="201"/>
    </row>
    <row r="201" spans="1:11" ht="30.5" customHeight="1">
      <c r="A201" s="198" t="s">
        <v>822</v>
      </c>
      <c r="B201" s="220" t="s">
        <v>49</v>
      </c>
      <c r="C201" s="220" t="s">
        <v>780</v>
      </c>
      <c r="D201" s="209" t="s">
        <v>788</v>
      </c>
      <c r="E201" s="201" t="s">
        <v>890</v>
      </c>
      <c r="F201" s="202" t="str">
        <f>VLOOKUP(D201,CSR!$D$4:$E$1180,2,FALSE)</f>
        <v>CSR_40600</v>
      </c>
      <c r="G201" s="203">
        <v>46162</v>
      </c>
      <c r="H201" s="204">
        <v>2</v>
      </c>
      <c r="I201" s="205">
        <f t="shared" si="3"/>
        <v>0.10526315789473684</v>
      </c>
      <c r="J201" s="206" t="s">
        <v>324</v>
      </c>
      <c r="K201" s="201"/>
    </row>
    <row r="202" spans="1:11" ht="30.5" customHeight="1">
      <c r="A202" s="198" t="s">
        <v>822</v>
      </c>
      <c r="B202" s="199" t="s">
        <v>16</v>
      </c>
      <c r="C202" s="199" t="s">
        <v>17</v>
      </c>
      <c r="D202" s="200" t="s">
        <v>44</v>
      </c>
      <c r="E202" s="201" t="s">
        <v>891</v>
      </c>
      <c r="F202" s="202" t="str">
        <f>VLOOKUP(D202,CSR!$D$4:$E$1180,2,FALSE)</f>
        <v>CSR_11416</v>
      </c>
      <c r="G202" s="203">
        <v>46162</v>
      </c>
      <c r="H202" s="204">
        <v>1</v>
      </c>
      <c r="I202" s="205">
        <f t="shared" si="3"/>
        <v>5.2631578947368418E-2</v>
      </c>
      <c r="J202" s="206" t="s">
        <v>324</v>
      </c>
      <c r="K202" s="201"/>
    </row>
    <row r="203" spans="1:11" ht="30.5" customHeight="1">
      <c r="A203" s="198" t="s">
        <v>821</v>
      </c>
      <c r="B203" s="199" t="s">
        <v>16</v>
      </c>
      <c r="C203" s="199" t="s">
        <v>17</v>
      </c>
      <c r="D203" s="200" t="s">
        <v>18</v>
      </c>
      <c r="E203" s="201" t="s">
        <v>334</v>
      </c>
      <c r="F203" s="202" t="str">
        <f>VLOOKUP(D203,CSR!$D$4:$E$1180,2,FALSE)</f>
        <v>CSR_11300</v>
      </c>
      <c r="G203" s="203">
        <v>46136</v>
      </c>
      <c r="H203" s="204">
        <v>2</v>
      </c>
      <c r="I203" s="205">
        <f t="shared" si="3"/>
        <v>0.10526315789473684</v>
      </c>
      <c r="J203" s="206" t="s">
        <v>335</v>
      </c>
      <c r="K203" s="201"/>
    </row>
    <row r="204" spans="1:11" ht="30.5" customHeight="1">
      <c r="A204" s="198" t="s">
        <v>821</v>
      </c>
      <c r="B204" s="199" t="s">
        <v>758</v>
      </c>
      <c r="C204" s="199" t="s">
        <v>769</v>
      </c>
      <c r="D204" s="207" t="s">
        <v>772</v>
      </c>
      <c r="E204" s="201" t="s">
        <v>338</v>
      </c>
      <c r="F204" s="202" t="str">
        <f>VLOOKUP(D204,CSR!$D$4:$E$1180,2,FALSE)</f>
        <v>CSR_30800</v>
      </c>
      <c r="G204" s="203">
        <v>46136</v>
      </c>
      <c r="H204" s="204">
        <v>2</v>
      </c>
      <c r="I204" s="205">
        <f t="shared" si="3"/>
        <v>0.10526315789473684</v>
      </c>
      <c r="J204" s="206" t="s">
        <v>335</v>
      </c>
      <c r="K204" s="201"/>
    </row>
    <row r="205" spans="1:11" ht="30.5" customHeight="1">
      <c r="A205" s="198" t="s">
        <v>822</v>
      </c>
      <c r="B205" s="199" t="s">
        <v>758</v>
      </c>
      <c r="C205" s="199" t="s">
        <v>769</v>
      </c>
      <c r="D205" s="207" t="s">
        <v>772</v>
      </c>
      <c r="E205" s="201" t="s">
        <v>340</v>
      </c>
      <c r="F205" s="202" t="str">
        <f>VLOOKUP(D205,CSR!$D$4:$E$1180,2,FALSE)</f>
        <v>CSR_30800</v>
      </c>
      <c r="G205" s="203">
        <v>46143</v>
      </c>
      <c r="H205" s="204">
        <v>2</v>
      </c>
      <c r="I205" s="205">
        <f t="shared" si="3"/>
        <v>0.10526315789473684</v>
      </c>
      <c r="J205" s="206" t="s">
        <v>335</v>
      </c>
      <c r="K205" s="201"/>
    </row>
    <row r="206" spans="1:11" ht="30.5" customHeight="1">
      <c r="A206" s="198" t="s">
        <v>822</v>
      </c>
      <c r="B206" s="199" t="s">
        <v>16</v>
      </c>
      <c r="C206" s="199" t="s">
        <v>17</v>
      </c>
      <c r="D206" s="200" t="s">
        <v>18</v>
      </c>
      <c r="E206" s="201" t="s">
        <v>341</v>
      </c>
      <c r="F206" s="202" t="str">
        <f>VLOOKUP(D206,CSR!$D$4:$E$1180,2,FALSE)</f>
        <v>CSR_11300</v>
      </c>
      <c r="G206" s="203">
        <v>46143</v>
      </c>
      <c r="H206" s="204">
        <v>2</v>
      </c>
      <c r="I206" s="205">
        <f t="shared" si="3"/>
        <v>0.10526315789473684</v>
      </c>
      <c r="J206" s="206" t="s">
        <v>335</v>
      </c>
      <c r="K206" s="201"/>
    </row>
    <row r="207" spans="1:11" ht="30.5" customHeight="1">
      <c r="A207" s="198" t="s">
        <v>822</v>
      </c>
      <c r="B207" s="199" t="s">
        <v>70</v>
      </c>
      <c r="C207" s="199" t="s">
        <v>245</v>
      </c>
      <c r="D207" s="208" t="s">
        <v>731</v>
      </c>
      <c r="E207" s="201" t="s">
        <v>342</v>
      </c>
      <c r="F207" s="202" t="str">
        <f>VLOOKUP(D207,CSR!$D$4:$E$1180,2,FALSE)</f>
        <v>CSR_20000</v>
      </c>
      <c r="G207" s="203">
        <v>46150</v>
      </c>
      <c r="H207" s="204">
        <v>2</v>
      </c>
      <c r="I207" s="205">
        <f t="shared" si="3"/>
        <v>0.10526315789473684</v>
      </c>
      <c r="J207" s="206" t="s">
        <v>335</v>
      </c>
      <c r="K207" s="201"/>
    </row>
    <row r="208" spans="1:11" ht="30.5" customHeight="1">
      <c r="A208" s="198" t="s">
        <v>822</v>
      </c>
      <c r="B208" s="199" t="s">
        <v>16</v>
      </c>
      <c r="C208" s="199" t="s">
        <v>17</v>
      </c>
      <c r="D208" s="200" t="s">
        <v>18</v>
      </c>
      <c r="E208" s="201" t="s">
        <v>343</v>
      </c>
      <c r="F208" s="202" t="str">
        <f>VLOOKUP(D208,CSR!$D$4:$E$1180,2,FALSE)</f>
        <v>CSR_11300</v>
      </c>
      <c r="G208" s="203">
        <v>46150</v>
      </c>
      <c r="H208" s="204">
        <v>2</v>
      </c>
      <c r="I208" s="205">
        <f t="shared" si="3"/>
        <v>0.10526315789473684</v>
      </c>
      <c r="J208" s="206" t="s">
        <v>335</v>
      </c>
      <c r="K208" s="201"/>
    </row>
    <row r="209" spans="1:11" ht="30.5" customHeight="1">
      <c r="A209" s="198" t="s">
        <v>822</v>
      </c>
      <c r="B209" s="199" t="s">
        <v>758</v>
      </c>
      <c r="C209" s="199" t="s">
        <v>759</v>
      </c>
      <c r="D209" s="200" t="s">
        <v>764</v>
      </c>
      <c r="E209" s="201" t="s">
        <v>344</v>
      </c>
      <c r="F209" s="202" t="str">
        <f>VLOOKUP(D209,CSR!$D$4:$E$1180,2,FALSE)</f>
        <v>CSR_30200</v>
      </c>
      <c r="G209" s="203">
        <v>46157</v>
      </c>
      <c r="H209" s="204">
        <v>2</v>
      </c>
      <c r="I209" s="205">
        <f t="shared" si="3"/>
        <v>0.10526315789473684</v>
      </c>
      <c r="J209" s="206" t="s">
        <v>335</v>
      </c>
      <c r="K209" s="201"/>
    </row>
    <row r="210" spans="1:11" ht="30.5" customHeight="1">
      <c r="A210" s="198" t="s">
        <v>822</v>
      </c>
      <c r="B210" s="199" t="s">
        <v>16</v>
      </c>
      <c r="C210" s="199" t="s">
        <v>17</v>
      </c>
      <c r="D210" s="200" t="s">
        <v>721</v>
      </c>
      <c r="E210" s="201" t="s">
        <v>892</v>
      </c>
      <c r="F210" s="202" t="e">
        <f>VLOOKUP(D210,CSR!$D$4:$E$1180,2,FALSE)</f>
        <v>#N/A</v>
      </c>
      <c r="G210" s="203">
        <v>46157</v>
      </c>
      <c r="H210" s="204">
        <v>2</v>
      </c>
      <c r="I210" s="205">
        <f t="shared" si="3"/>
        <v>0.10526315789473684</v>
      </c>
      <c r="J210" s="206" t="s">
        <v>335</v>
      </c>
      <c r="K210" s="201"/>
    </row>
    <row r="211" spans="1:11" ht="30.5" customHeight="1">
      <c r="A211" s="198" t="s">
        <v>822</v>
      </c>
      <c r="B211" s="199" t="s">
        <v>758</v>
      </c>
      <c r="C211" s="199" t="s">
        <v>759</v>
      </c>
      <c r="D211" s="200" t="s">
        <v>764</v>
      </c>
      <c r="E211" s="201" t="s">
        <v>348</v>
      </c>
      <c r="F211" s="202" t="str">
        <f>VLOOKUP(D211,CSR!$D$4:$E$1180,2,FALSE)</f>
        <v>CSR_30200</v>
      </c>
      <c r="G211" s="203">
        <v>46162</v>
      </c>
      <c r="H211" s="204">
        <v>2</v>
      </c>
      <c r="I211" s="205">
        <f t="shared" si="3"/>
        <v>0.10526315789473684</v>
      </c>
      <c r="J211" s="206" t="s">
        <v>335</v>
      </c>
      <c r="K211" s="201"/>
    </row>
    <row r="212" spans="1:11" ht="30.5" customHeight="1">
      <c r="A212" s="198" t="s">
        <v>822</v>
      </c>
      <c r="B212" s="199" t="s">
        <v>16</v>
      </c>
      <c r="C212" s="199" t="s">
        <v>17</v>
      </c>
      <c r="D212" s="200" t="s">
        <v>44</v>
      </c>
      <c r="E212" s="201" t="s">
        <v>349</v>
      </c>
      <c r="F212" s="202" t="str">
        <f>VLOOKUP(D212,CSR!$D$4:$E$1180,2,FALSE)</f>
        <v>CSR_11416</v>
      </c>
      <c r="G212" s="203">
        <v>46162</v>
      </c>
      <c r="H212" s="204">
        <v>1</v>
      </c>
      <c r="I212" s="205">
        <f t="shared" si="3"/>
        <v>5.2631578947368418E-2</v>
      </c>
      <c r="J212" s="206" t="s">
        <v>335</v>
      </c>
      <c r="K212" s="201"/>
    </row>
    <row r="213" spans="1:11" ht="30.5" customHeight="1">
      <c r="A213" s="198" t="s">
        <v>821</v>
      </c>
      <c r="B213" s="199" t="s">
        <v>16</v>
      </c>
      <c r="C213" s="199" t="s">
        <v>17</v>
      </c>
      <c r="D213" s="200" t="s">
        <v>18</v>
      </c>
      <c r="E213" s="201" t="s">
        <v>350</v>
      </c>
      <c r="F213" s="202" t="str">
        <f>VLOOKUP(D213,CSR!$D$4:$E$1180,2,FALSE)</f>
        <v>CSR_11300</v>
      </c>
      <c r="G213" s="203">
        <v>46136</v>
      </c>
      <c r="H213" s="204">
        <v>2</v>
      </c>
      <c r="I213" s="205">
        <f t="shared" si="3"/>
        <v>0.10526315789473684</v>
      </c>
      <c r="J213" s="206" t="s">
        <v>351</v>
      </c>
      <c r="K213" s="201"/>
    </row>
    <row r="214" spans="1:11" ht="30.5" customHeight="1">
      <c r="A214" s="198" t="s">
        <v>821</v>
      </c>
      <c r="B214" s="199" t="s">
        <v>16</v>
      </c>
      <c r="C214" s="199" t="s">
        <v>17</v>
      </c>
      <c r="D214" s="200" t="s">
        <v>721</v>
      </c>
      <c r="E214" s="201" t="s">
        <v>352</v>
      </c>
      <c r="F214" s="202" t="e">
        <f>VLOOKUP(D214,CSR!$D$4:$E$1180,2,FALSE)</f>
        <v>#N/A</v>
      </c>
      <c r="G214" s="203">
        <v>46136</v>
      </c>
      <c r="H214" s="204">
        <v>2</v>
      </c>
      <c r="I214" s="205">
        <f t="shared" si="3"/>
        <v>0.10526315789473684</v>
      </c>
      <c r="J214" s="206" t="s">
        <v>351</v>
      </c>
      <c r="K214" s="201"/>
    </row>
    <row r="215" spans="1:11" ht="30.5" customHeight="1">
      <c r="A215" s="198" t="s">
        <v>822</v>
      </c>
      <c r="B215" s="199" t="s">
        <v>16</v>
      </c>
      <c r="C215" s="199" t="s">
        <v>17</v>
      </c>
      <c r="D215" s="200" t="s">
        <v>18</v>
      </c>
      <c r="E215" s="201" t="s">
        <v>893</v>
      </c>
      <c r="F215" s="202" t="str">
        <f>VLOOKUP(D215,CSR!$D$4:$E$1180,2,FALSE)</f>
        <v>CSR_11300</v>
      </c>
      <c r="G215" s="203">
        <v>46143</v>
      </c>
      <c r="H215" s="204">
        <v>2</v>
      </c>
      <c r="I215" s="205">
        <f t="shared" ref="I215:I263" si="4">H215*10/190</f>
        <v>0.10526315789473684</v>
      </c>
      <c r="J215" s="206" t="s">
        <v>351</v>
      </c>
      <c r="K215" s="201"/>
    </row>
    <row r="216" spans="1:11" ht="30.5" customHeight="1">
      <c r="A216" s="198" t="s">
        <v>822</v>
      </c>
      <c r="B216" s="199" t="s">
        <v>16</v>
      </c>
      <c r="C216" s="199" t="s">
        <v>17</v>
      </c>
      <c r="D216" s="200" t="s">
        <v>18</v>
      </c>
      <c r="E216" s="201" t="s">
        <v>894</v>
      </c>
      <c r="F216" s="202" t="str">
        <f>VLOOKUP(D216,CSR!$D$4:$E$1180,2,FALSE)</f>
        <v>CSR_11300</v>
      </c>
      <c r="G216" s="203">
        <v>46143</v>
      </c>
      <c r="H216" s="204">
        <v>2</v>
      </c>
      <c r="I216" s="205">
        <f t="shared" si="4"/>
        <v>0.10526315789473684</v>
      </c>
      <c r="J216" s="206" t="s">
        <v>351</v>
      </c>
      <c r="K216" s="201"/>
    </row>
    <row r="217" spans="1:11" ht="30.5" customHeight="1">
      <c r="A217" s="198" t="s">
        <v>822</v>
      </c>
      <c r="B217" s="199" t="s">
        <v>16</v>
      </c>
      <c r="C217" s="199" t="s">
        <v>17</v>
      </c>
      <c r="D217" s="200" t="s">
        <v>18</v>
      </c>
      <c r="E217" s="201" t="s">
        <v>355</v>
      </c>
      <c r="F217" s="202" t="str">
        <f>VLOOKUP(D217,CSR!$D$4:$E$1180,2,FALSE)</f>
        <v>CSR_11300</v>
      </c>
      <c r="G217" s="203">
        <v>46150</v>
      </c>
      <c r="H217" s="204">
        <v>2</v>
      </c>
      <c r="I217" s="205">
        <f t="shared" si="4"/>
        <v>0.10526315789473684</v>
      </c>
      <c r="J217" s="206" t="s">
        <v>351</v>
      </c>
      <c r="K217" s="201"/>
    </row>
    <row r="218" spans="1:11" ht="30.5" customHeight="1">
      <c r="A218" s="198" t="s">
        <v>822</v>
      </c>
      <c r="B218" s="199" t="s">
        <v>16</v>
      </c>
      <c r="C218" s="199" t="s">
        <v>17</v>
      </c>
      <c r="D218" s="200" t="s">
        <v>18</v>
      </c>
      <c r="E218" s="201" t="s">
        <v>356</v>
      </c>
      <c r="F218" s="202" t="str">
        <f>VLOOKUP(D218,CSR!$D$4:$E$1180,2,FALSE)</f>
        <v>CSR_11300</v>
      </c>
      <c r="G218" s="203">
        <v>46150</v>
      </c>
      <c r="H218" s="204">
        <v>2</v>
      </c>
      <c r="I218" s="205">
        <f t="shared" si="4"/>
        <v>0.10526315789473684</v>
      </c>
      <c r="J218" s="206" t="s">
        <v>351</v>
      </c>
      <c r="K218" s="201"/>
    </row>
    <row r="219" spans="1:11" ht="30.5" customHeight="1">
      <c r="A219" s="198" t="s">
        <v>822</v>
      </c>
      <c r="B219" s="213" t="s">
        <v>31</v>
      </c>
      <c r="C219" s="213" t="s">
        <v>336</v>
      </c>
      <c r="D219" s="200" t="s">
        <v>357</v>
      </c>
      <c r="E219" s="201" t="s">
        <v>358</v>
      </c>
      <c r="F219" s="202" t="str">
        <f>VLOOKUP(D219,CSR!$D$4:$E$1180,2,FALSE)</f>
        <v>CSR_30700</v>
      </c>
      <c r="G219" s="203">
        <v>46157</v>
      </c>
      <c r="H219" s="204">
        <v>2</v>
      </c>
      <c r="I219" s="205">
        <f t="shared" si="4"/>
        <v>0.10526315789473684</v>
      </c>
      <c r="J219" s="206" t="s">
        <v>351</v>
      </c>
      <c r="K219" s="201"/>
    </row>
    <row r="220" spans="1:11" ht="30.5" customHeight="1">
      <c r="A220" s="198" t="s">
        <v>822</v>
      </c>
      <c r="B220" s="213" t="s">
        <v>31</v>
      </c>
      <c r="C220" s="213" t="s">
        <v>336</v>
      </c>
      <c r="D220" s="200" t="s">
        <v>357</v>
      </c>
      <c r="E220" s="201" t="s">
        <v>360</v>
      </c>
      <c r="F220" s="202" t="str">
        <f>VLOOKUP(D220,CSR!$D$4:$E$1180,2,FALSE)</f>
        <v>CSR_30700</v>
      </c>
      <c r="G220" s="203">
        <v>46157</v>
      </c>
      <c r="H220" s="204">
        <v>2</v>
      </c>
      <c r="I220" s="205">
        <f t="shared" si="4"/>
        <v>0.10526315789473684</v>
      </c>
      <c r="J220" s="206" t="s">
        <v>351</v>
      </c>
      <c r="K220" s="201"/>
    </row>
    <row r="221" spans="1:11" ht="30.5" customHeight="1">
      <c r="A221" s="198" t="s">
        <v>822</v>
      </c>
      <c r="B221" s="199" t="s">
        <v>16</v>
      </c>
      <c r="C221" s="199" t="s">
        <v>17</v>
      </c>
      <c r="D221" s="200" t="s">
        <v>18</v>
      </c>
      <c r="E221" s="201" t="s">
        <v>361</v>
      </c>
      <c r="F221" s="202" t="str">
        <f>VLOOKUP(D221,CSR!$D$4:$E$1180,2,FALSE)</f>
        <v>CSR_11300</v>
      </c>
      <c r="G221" s="203">
        <v>46162</v>
      </c>
      <c r="H221" s="204">
        <v>2</v>
      </c>
      <c r="I221" s="205">
        <f t="shared" si="4"/>
        <v>0.10526315789473684</v>
      </c>
      <c r="J221" s="206" t="s">
        <v>351</v>
      </c>
      <c r="K221" s="201"/>
    </row>
    <row r="222" spans="1:11" ht="30.5" customHeight="1">
      <c r="A222" s="198" t="s">
        <v>822</v>
      </c>
      <c r="B222" s="199" t="s">
        <v>16</v>
      </c>
      <c r="C222" s="199" t="s">
        <v>17</v>
      </c>
      <c r="D222" s="200" t="s">
        <v>18</v>
      </c>
      <c r="E222" s="201" t="s">
        <v>362</v>
      </c>
      <c r="F222" s="202" t="str">
        <f>VLOOKUP(D222,CSR!$D$4:$E$1180,2,FALSE)</f>
        <v>CSR_11300</v>
      </c>
      <c r="G222" s="203">
        <v>46162</v>
      </c>
      <c r="H222" s="204">
        <v>1</v>
      </c>
      <c r="I222" s="205">
        <f t="shared" si="4"/>
        <v>5.2631578947368418E-2</v>
      </c>
      <c r="J222" s="206" t="s">
        <v>351</v>
      </c>
      <c r="K222" s="201"/>
    </row>
    <row r="223" spans="1:11" ht="30.5" customHeight="1">
      <c r="A223" s="198" t="s">
        <v>821</v>
      </c>
      <c r="B223" s="199" t="s">
        <v>16</v>
      </c>
      <c r="C223" s="199" t="s">
        <v>17</v>
      </c>
      <c r="D223" s="200" t="s">
        <v>18</v>
      </c>
      <c r="E223" s="201" t="s">
        <v>895</v>
      </c>
      <c r="F223" s="202" t="str">
        <f>VLOOKUP(D223,CSR!$D$4:$E$1180,2,FALSE)</f>
        <v>CSR_11300</v>
      </c>
      <c r="G223" s="203">
        <v>46136</v>
      </c>
      <c r="H223" s="204">
        <v>2</v>
      </c>
      <c r="I223" s="205">
        <f t="shared" si="4"/>
        <v>0.10526315789473684</v>
      </c>
      <c r="J223" s="206" t="s">
        <v>364</v>
      </c>
      <c r="K223" s="201"/>
    </row>
    <row r="224" spans="1:11" ht="30.5" customHeight="1">
      <c r="A224" s="198" t="s">
        <v>821</v>
      </c>
      <c r="B224" s="199" t="s">
        <v>70</v>
      </c>
      <c r="C224" s="199" t="s">
        <v>71</v>
      </c>
      <c r="D224" s="200" t="s">
        <v>252</v>
      </c>
      <c r="E224" s="201" t="s">
        <v>896</v>
      </c>
      <c r="F224" s="202" t="str">
        <f>VLOOKUP(D224,CSR!$D$4:$E$1180,2,FALSE)</f>
        <v>CSR_20300</v>
      </c>
      <c r="G224" s="203">
        <v>46136</v>
      </c>
      <c r="H224" s="204">
        <v>2</v>
      </c>
      <c r="I224" s="205">
        <f t="shared" si="4"/>
        <v>0.10526315789473684</v>
      </c>
      <c r="J224" s="206" t="s">
        <v>364</v>
      </c>
      <c r="K224" s="201"/>
    </row>
    <row r="225" spans="1:11" ht="30.5" customHeight="1">
      <c r="A225" s="198" t="s">
        <v>822</v>
      </c>
      <c r="B225" s="199" t="s">
        <v>758</v>
      </c>
      <c r="C225" s="199" t="s">
        <v>769</v>
      </c>
      <c r="D225" s="207" t="s">
        <v>772</v>
      </c>
      <c r="E225" s="201" t="s">
        <v>897</v>
      </c>
      <c r="F225" s="202" t="str">
        <f>VLOOKUP(D225,CSR!$D$4:$E$1180,2,FALSE)</f>
        <v>CSR_30800</v>
      </c>
      <c r="G225" s="203">
        <v>46143</v>
      </c>
      <c r="H225" s="204">
        <v>2</v>
      </c>
      <c r="I225" s="205">
        <f t="shared" si="4"/>
        <v>0.10526315789473684</v>
      </c>
      <c r="J225" s="206" t="s">
        <v>364</v>
      </c>
      <c r="K225" s="201"/>
    </row>
    <row r="226" spans="1:11" ht="30.5" customHeight="1">
      <c r="A226" s="198" t="s">
        <v>822</v>
      </c>
      <c r="B226" s="199" t="s">
        <v>758</v>
      </c>
      <c r="C226" s="199" t="s">
        <v>769</v>
      </c>
      <c r="D226" s="207" t="s">
        <v>772</v>
      </c>
      <c r="E226" s="201" t="s">
        <v>898</v>
      </c>
      <c r="F226" s="202" t="str">
        <f>VLOOKUP(D226,CSR!$D$4:$E$1180,2,FALSE)</f>
        <v>CSR_30800</v>
      </c>
      <c r="G226" s="203">
        <v>46143</v>
      </c>
      <c r="H226" s="204">
        <v>2</v>
      </c>
      <c r="I226" s="205">
        <f t="shared" si="4"/>
        <v>0.10526315789473684</v>
      </c>
      <c r="J226" s="206" t="s">
        <v>364</v>
      </c>
      <c r="K226" s="201"/>
    </row>
    <row r="227" spans="1:11" ht="30.5" customHeight="1">
      <c r="A227" s="198" t="s">
        <v>822</v>
      </c>
      <c r="B227" s="199" t="s">
        <v>16</v>
      </c>
      <c r="C227" s="199" t="s">
        <v>17</v>
      </c>
      <c r="D227" s="200" t="s">
        <v>721</v>
      </c>
      <c r="E227" s="201" t="s">
        <v>899</v>
      </c>
      <c r="F227" s="202" t="e">
        <f>VLOOKUP(D227,CSR!$D$4:$E$1180,2,FALSE)</f>
        <v>#N/A</v>
      </c>
      <c r="G227" s="203">
        <v>46150</v>
      </c>
      <c r="H227" s="204">
        <v>2</v>
      </c>
      <c r="I227" s="205">
        <f t="shared" si="4"/>
        <v>0.10526315789473684</v>
      </c>
      <c r="J227" s="206" t="s">
        <v>364</v>
      </c>
      <c r="K227" s="201"/>
    </row>
    <row r="228" spans="1:11" ht="30.5" customHeight="1">
      <c r="A228" s="198" t="s">
        <v>822</v>
      </c>
      <c r="B228" s="199" t="s">
        <v>16</v>
      </c>
      <c r="C228" s="199" t="s">
        <v>17</v>
      </c>
      <c r="D228" s="200" t="s">
        <v>721</v>
      </c>
      <c r="E228" s="201" t="s">
        <v>900</v>
      </c>
      <c r="F228" s="202" t="e">
        <f>VLOOKUP(D228,CSR!$D$4:$E$1180,2,FALSE)</f>
        <v>#N/A</v>
      </c>
      <c r="G228" s="203">
        <v>46150</v>
      </c>
      <c r="H228" s="204">
        <v>2</v>
      </c>
      <c r="I228" s="205">
        <f t="shared" si="4"/>
        <v>0.10526315789473684</v>
      </c>
      <c r="J228" s="206" t="s">
        <v>364</v>
      </c>
      <c r="K228" s="201"/>
    </row>
    <row r="229" spans="1:11" ht="30.5" customHeight="1">
      <c r="A229" s="198" t="s">
        <v>822</v>
      </c>
      <c r="B229" s="199" t="s">
        <v>16</v>
      </c>
      <c r="C229" s="199" t="s">
        <v>17</v>
      </c>
      <c r="D229" s="200" t="s">
        <v>721</v>
      </c>
      <c r="E229" s="201" t="s">
        <v>901</v>
      </c>
      <c r="F229" s="202" t="e">
        <f>VLOOKUP(D229,CSR!$D$4:$E$1180,2,FALSE)</f>
        <v>#N/A</v>
      </c>
      <c r="G229" s="203">
        <v>46157</v>
      </c>
      <c r="H229" s="204">
        <v>2</v>
      </c>
      <c r="I229" s="205">
        <f t="shared" si="4"/>
        <v>0.10526315789473684</v>
      </c>
      <c r="J229" s="206" t="s">
        <v>364</v>
      </c>
      <c r="K229" s="201"/>
    </row>
    <row r="230" spans="1:11" ht="30.5" customHeight="1">
      <c r="A230" s="198" t="s">
        <v>822</v>
      </c>
      <c r="B230" s="213" t="s">
        <v>31</v>
      </c>
      <c r="C230" s="213" t="s">
        <v>336</v>
      </c>
      <c r="D230" s="200" t="s">
        <v>357</v>
      </c>
      <c r="E230" s="201" t="s">
        <v>902</v>
      </c>
      <c r="F230" s="202" t="str">
        <f>VLOOKUP(D230,CSR!$D$4:$E$1180,2,FALSE)</f>
        <v>CSR_30700</v>
      </c>
      <c r="G230" s="203">
        <v>46157</v>
      </c>
      <c r="H230" s="204">
        <v>2</v>
      </c>
      <c r="I230" s="205">
        <f t="shared" si="4"/>
        <v>0.10526315789473684</v>
      </c>
      <c r="J230" s="206" t="s">
        <v>364</v>
      </c>
      <c r="K230" s="201"/>
    </row>
    <row r="231" spans="1:11" ht="30.5" customHeight="1">
      <c r="A231" s="198" t="s">
        <v>822</v>
      </c>
      <c r="B231" s="199" t="s">
        <v>16</v>
      </c>
      <c r="C231" s="199" t="s">
        <v>17</v>
      </c>
      <c r="D231" s="200" t="s">
        <v>18</v>
      </c>
      <c r="E231" s="201" t="s">
        <v>903</v>
      </c>
      <c r="F231" s="202" t="str">
        <f>VLOOKUP(D231,CSR!$D$4:$E$1180,2,FALSE)</f>
        <v>CSR_11300</v>
      </c>
      <c r="G231" s="203">
        <v>46162</v>
      </c>
      <c r="H231" s="204">
        <v>2</v>
      </c>
      <c r="I231" s="205">
        <f t="shared" si="4"/>
        <v>0.10526315789473684</v>
      </c>
      <c r="J231" s="206" t="s">
        <v>364</v>
      </c>
      <c r="K231" s="201"/>
    </row>
    <row r="232" spans="1:11" ht="30.5" customHeight="1">
      <c r="A232" s="198" t="s">
        <v>822</v>
      </c>
      <c r="B232" s="199" t="s">
        <v>758</v>
      </c>
      <c r="C232" s="199" t="s">
        <v>759</v>
      </c>
      <c r="D232" s="200" t="s">
        <v>764</v>
      </c>
      <c r="E232" s="201" t="s">
        <v>904</v>
      </c>
      <c r="F232" s="202" t="str">
        <f>VLOOKUP(D232,CSR!$D$4:$E$1180,2,FALSE)</f>
        <v>CSR_30200</v>
      </c>
      <c r="G232" s="203">
        <v>46162</v>
      </c>
      <c r="H232" s="204">
        <v>1</v>
      </c>
      <c r="I232" s="205">
        <f t="shared" si="4"/>
        <v>5.2631578947368418E-2</v>
      </c>
      <c r="J232" s="206" t="s">
        <v>364</v>
      </c>
      <c r="K232" s="201"/>
    </row>
    <row r="233" spans="1:11" ht="30.5" customHeight="1">
      <c r="A233" s="198" t="s">
        <v>821</v>
      </c>
      <c r="B233" s="199" t="s">
        <v>16</v>
      </c>
      <c r="C233" s="199" t="s">
        <v>17</v>
      </c>
      <c r="D233" s="200" t="s">
        <v>721</v>
      </c>
      <c r="E233" s="201" t="s">
        <v>374</v>
      </c>
      <c r="F233" s="202" t="e">
        <f>VLOOKUP(D233,CSR!$D$4:$E$1180,2,FALSE)</f>
        <v>#N/A</v>
      </c>
      <c r="G233" s="203">
        <v>46136</v>
      </c>
      <c r="H233" s="204">
        <v>2</v>
      </c>
      <c r="I233" s="205">
        <f t="shared" si="4"/>
        <v>0.10526315789473684</v>
      </c>
      <c r="J233" s="206" t="s">
        <v>375</v>
      </c>
      <c r="K233" s="201"/>
    </row>
    <row r="234" spans="1:11" ht="30.5" customHeight="1">
      <c r="A234" s="198" t="s">
        <v>821</v>
      </c>
      <c r="B234" s="199" t="s">
        <v>758</v>
      </c>
      <c r="C234" s="199" t="s">
        <v>769</v>
      </c>
      <c r="D234" s="207" t="s">
        <v>772</v>
      </c>
      <c r="E234" s="201" t="s">
        <v>376</v>
      </c>
      <c r="F234" s="202" t="str">
        <f>VLOOKUP(D234,CSR!$D$4:$E$1180,2,FALSE)</f>
        <v>CSR_30800</v>
      </c>
      <c r="G234" s="203">
        <v>46136</v>
      </c>
      <c r="H234" s="204">
        <v>2</v>
      </c>
      <c r="I234" s="205">
        <f t="shared" si="4"/>
        <v>0.10526315789473684</v>
      </c>
      <c r="J234" s="206" t="s">
        <v>375</v>
      </c>
      <c r="K234" s="201"/>
    </row>
    <row r="235" spans="1:11" ht="30.5" customHeight="1">
      <c r="A235" s="198" t="s">
        <v>822</v>
      </c>
      <c r="B235" s="199" t="s">
        <v>758</v>
      </c>
      <c r="C235" s="199" t="s">
        <v>769</v>
      </c>
      <c r="D235" s="207" t="s">
        <v>772</v>
      </c>
      <c r="E235" s="201" t="s">
        <v>377</v>
      </c>
      <c r="F235" s="202" t="str">
        <f>VLOOKUP(D235,CSR!$D$4:$E$1180,2,FALSE)</f>
        <v>CSR_30800</v>
      </c>
      <c r="G235" s="203">
        <v>46143</v>
      </c>
      <c r="H235" s="204">
        <v>2</v>
      </c>
      <c r="I235" s="205">
        <f t="shared" si="4"/>
        <v>0.10526315789473684</v>
      </c>
      <c r="J235" s="206" t="s">
        <v>375</v>
      </c>
      <c r="K235" s="201"/>
    </row>
    <row r="236" spans="1:11" ht="30.5" customHeight="1">
      <c r="A236" s="198" t="s">
        <v>822</v>
      </c>
      <c r="B236" s="199" t="s">
        <v>758</v>
      </c>
      <c r="C236" s="199" t="s">
        <v>769</v>
      </c>
      <c r="D236" s="207" t="s">
        <v>772</v>
      </c>
      <c r="E236" s="201" t="s">
        <v>378</v>
      </c>
      <c r="F236" s="202" t="str">
        <f>VLOOKUP(D236,CSR!$D$4:$E$1180,2,FALSE)</f>
        <v>CSR_30800</v>
      </c>
      <c r="G236" s="203">
        <v>46143</v>
      </c>
      <c r="H236" s="204">
        <v>2</v>
      </c>
      <c r="I236" s="205">
        <f t="shared" si="4"/>
        <v>0.10526315789473684</v>
      </c>
      <c r="J236" s="206" t="s">
        <v>375</v>
      </c>
      <c r="K236" s="201"/>
    </row>
    <row r="237" spans="1:11" ht="30.5" customHeight="1">
      <c r="A237" s="198" t="s">
        <v>822</v>
      </c>
      <c r="B237" s="199" t="s">
        <v>16</v>
      </c>
      <c r="C237" s="199" t="s">
        <v>17</v>
      </c>
      <c r="D237" s="200" t="s">
        <v>18</v>
      </c>
      <c r="E237" s="201" t="s">
        <v>379</v>
      </c>
      <c r="F237" s="202" t="str">
        <f>VLOOKUP(D237,CSR!$D$4:$E$1180,2,FALSE)</f>
        <v>CSR_11300</v>
      </c>
      <c r="G237" s="203">
        <v>46150</v>
      </c>
      <c r="H237" s="204">
        <v>2</v>
      </c>
      <c r="I237" s="205">
        <f t="shared" si="4"/>
        <v>0.10526315789473684</v>
      </c>
      <c r="J237" s="206" t="s">
        <v>375</v>
      </c>
      <c r="K237" s="201"/>
    </row>
    <row r="238" spans="1:11" ht="30.5" customHeight="1">
      <c r="A238" s="198" t="s">
        <v>822</v>
      </c>
      <c r="B238" s="199" t="s">
        <v>16</v>
      </c>
      <c r="C238" s="199" t="s">
        <v>17</v>
      </c>
      <c r="D238" s="221" t="s">
        <v>721</v>
      </c>
      <c r="E238" s="201" t="s">
        <v>380</v>
      </c>
      <c r="F238" s="202" t="e">
        <f>VLOOKUP(D238,CSR!$D$4:$E$1180,2,FALSE)</f>
        <v>#N/A</v>
      </c>
      <c r="G238" s="203">
        <v>46150</v>
      </c>
      <c r="H238" s="204">
        <v>2</v>
      </c>
      <c r="I238" s="205">
        <f t="shared" si="4"/>
        <v>0.10526315789473684</v>
      </c>
      <c r="J238" s="206" t="s">
        <v>375</v>
      </c>
      <c r="K238" s="201"/>
    </row>
    <row r="239" spans="1:11" ht="30.5" customHeight="1">
      <c r="A239" s="198" t="s">
        <v>822</v>
      </c>
      <c r="B239" s="213" t="s">
        <v>31</v>
      </c>
      <c r="C239" s="213" t="s">
        <v>336</v>
      </c>
      <c r="D239" s="200" t="s">
        <v>337</v>
      </c>
      <c r="E239" s="201" t="s">
        <v>381</v>
      </c>
      <c r="F239" s="202" t="str">
        <f>VLOOKUP(D239,CSR!$D$4:$E$1180,2,FALSE)</f>
        <v>CSR_30800</v>
      </c>
      <c r="G239" s="203">
        <v>46157</v>
      </c>
      <c r="H239" s="204">
        <v>2</v>
      </c>
      <c r="I239" s="205">
        <f t="shared" si="4"/>
        <v>0.10526315789473684</v>
      </c>
      <c r="J239" s="206" t="s">
        <v>375</v>
      </c>
      <c r="K239" s="201"/>
    </row>
    <row r="240" spans="1:11" ht="30.5" customHeight="1">
      <c r="A240" s="198" t="s">
        <v>822</v>
      </c>
      <c r="B240" s="213" t="s">
        <v>31</v>
      </c>
      <c r="C240" s="213" t="s">
        <v>336</v>
      </c>
      <c r="D240" s="200" t="s">
        <v>337</v>
      </c>
      <c r="E240" s="201" t="s">
        <v>382</v>
      </c>
      <c r="F240" s="202" t="str">
        <f>VLOOKUP(D240,CSR!$D$4:$E$1180,2,FALSE)</f>
        <v>CSR_30800</v>
      </c>
      <c r="G240" s="203">
        <v>46157</v>
      </c>
      <c r="H240" s="204">
        <v>2</v>
      </c>
      <c r="I240" s="205">
        <f t="shared" si="4"/>
        <v>0.10526315789473684</v>
      </c>
      <c r="J240" s="206" t="s">
        <v>375</v>
      </c>
      <c r="K240" s="201"/>
    </row>
    <row r="241" spans="1:11" ht="30.5" customHeight="1">
      <c r="A241" s="198" t="s">
        <v>822</v>
      </c>
      <c r="B241" s="199" t="s">
        <v>16</v>
      </c>
      <c r="C241" s="199" t="s">
        <v>17</v>
      </c>
      <c r="D241" s="200" t="s">
        <v>18</v>
      </c>
      <c r="E241" s="201" t="s">
        <v>383</v>
      </c>
      <c r="F241" s="202" t="str">
        <f>VLOOKUP(D241,CSR!$D$4:$E$1180,2,FALSE)</f>
        <v>CSR_11300</v>
      </c>
      <c r="G241" s="203">
        <v>46162</v>
      </c>
      <c r="H241" s="204">
        <v>2</v>
      </c>
      <c r="I241" s="205">
        <f t="shared" si="4"/>
        <v>0.10526315789473684</v>
      </c>
      <c r="J241" s="206" t="s">
        <v>375</v>
      </c>
      <c r="K241" s="201"/>
    </row>
    <row r="242" spans="1:11" ht="30.5" customHeight="1">
      <c r="A242" s="198" t="s">
        <v>822</v>
      </c>
      <c r="B242" s="213" t="s">
        <v>31</v>
      </c>
      <c r="C242" s="213" t="s">
        <v>336</v>
      </c>
      <c r="D242" s="200" t="s">
        <v>337</v>
      </c>
      <c r="E242" s="201" t="s">
        <v>384</v>
      </c>
      <c r="F242" s="202" t="str">
        <f>VLOOKUP(D242,CSR!$D$4:$E$1180,2,FALSE)</f>
        <v>CSR_30800</v>
      </c>
      <c r="G242" s="203">
        <v>46162</v>
      </c>
      <c r="H242" s="204">
        <v>1</v>
      </c>
      <c r="I242" s="205">
        <f t="shared" si="4"/>
        <v>5.2631578947368418E-2</v>
      </c>
      <c r="J242" s="206" t="s">
        <v>375</v>
      </c>
      <c r="K242" s="201"/>
    </row>
    <row r="243" spans="1:11" ht="30.5" customHeight="1">
      <c r="A243" s="198" t="s">
        <v>821</v>
      </c>
      <c r="B243" s="199" t="s">
        <v>16</v>
      </c>
      <c r="C243" s="199" t="s">
        <v>17</v>
      </c>
      <c r="D243" s="200" t="s">
        <v>721</v>
      </c>
      <c r="E243" s="201" t="s">
        <v>905</v>
      </c>
      <c r="F243" s="202" t="e">
        <f>VLOOKUP(D243,CSR!$D$4:$E$1180,2,FALSE)</f>
        <v>#N/A</v>
      </c>
      <c r="G243" s="203">
        <v>46136</v>
      </c>
      <c r="H243" s="204">
        <v>2</v>
      </c>
      <c r="I243" s="205">
        <f t="shared" si="4"/>
        <v>0.10526315789473684</v>
      </c>
      <c r="J243" s="206" t="s">
        <v>386</v>
      </c>
      <c r="K243" s="201"/>
    </row>
    <row r="244" spans="1:11" ht="30.5" customHeight="1">
      <c r="A244" s="198" t="s">
        <v>821</v>
      </c>
      <c r="B244" s="199" t="s">
        <v>16</v>
      </c>
      <c r="C244" s="199" t="s">
        <v>17</v>
      </c>
      <c r="D244" s="200" t="s">
        <v>721</v>
      </c>
      <c r="E244" s="201" t="s">
        <v>906</v>
      </c>
      <c r="F244" s="202" t="e">
        <f>VLOOKUP(D244,CSR!$D$4:$E$1180,2,FALSE)</f>
        <v>#N/A</v>
      </c>
      <c r="G244" s="203">
        <v>46136</v>
      </c>
      <c r="H244" s="204">
        <v>2</v>
      </c>
      <c r="I244" s="205">
        <f t="shared" si="4"/>
        <v>0.10526315789473684</v>
      </c>
      <c r="J244" s="206" t="s">
        <v>386</v>
      </c>
      <c r="K244" s="201"/>
    </row>
    <row r="245" spans="1:11" ht="30.5" customHeight="1">
      <c r="A245" s="198" t="s">
        <v>822</v>
      </c>
      <c r="B245" s="199" t="s">
        <v>16</v>
      </c>
      <c r="C245" s="199" t="s">
        <v>17</v>
      </c>
      <c r="D245" s="200" t="s">
        <v>721</v>
      </c>
      <c r="E245" s="201" t="s">
        <v>893</v>
      </c>
      <c r="F245" s="202" t="e">
        <f>VLOOKUP(D245,CSR!$D$4:$E$1180,2,FALSE)</f>
        <v>#N/A</v>
      </c>
      <c r="G245" s="203">
        <v>46143</v>
      </c>
      <c r="H245" s="204">
        <v>2</v>
      </c>
      <c r="I245" s="205">
        <f t="shared" si="4"/>
        <v>0.10526315789473684</v>
      </c>
      <c r="J245" s="206" t="s">
        <v>386</v>
      </c>
      <c r="K245" s="201"/>
    </row>
    <row r="246" spans="1:11" ht="30.5" customHeight="1">
      <c r="A246" s="198" t="s">
        <v>822</v>
      </c>
      <c r="B246" s="199" t="s">
        <v>16</v>
      </c>
      <c r="C246" s="199" t="s">
        <v>17</v>
      </c>
      <c r="D246" s="200" t="s">
        <v>721</v>
      </c>
      <c r="E246" s="201" t="s">
        <v>894</v>
      </c>
      <c r="F246" s="202" t="e">
        <f>VLOOKUP(D246,CSR!$D$4:$E$1180,2,FALSE)</f>
        <v>#N/A</v>
      </c>
      <c r="G246" s="203">
        <v>46143</v>
      </c>
      <c r="H246" s="204">
        <v>2</v>
      </c>
      <c r="I246" s="205">
        <f t="shared" si="4"/>
        <v>0.10526315789473684</v>
      </c>
      <c r="J246" s="206" t="s">
        <v>386</v>
      </c>
      <c r="K246" s="201"/>
    </row>
    <row r="247" spans="1:11" ht="30.5" customHeight="1">
      <c r="A247" s="198" t="s">
        <v>822</v>
      </c>
      <c r="B247" s="199" t="s">
        <v>16</v>
      </c>
      <c r="C247" s="199" t="s">
        <v>17</v>
      </c>
      <c r="D247" s="200" t="s">
        <v>721</v>
      </c>
      <c r="E247" s="201" t="s">
        <v>907</v>
      </c>
      <c r="F247" s="202" t="e">
        <f>VLOOKUP(D247,CSR!$D$4:$E$1180,2,FALSE)</f>
        <v>#N/A</v>
      </c>
      <c r="G247" s="203">
        <v>46150</v>
      </c>
      <c r="H247" s="204">
        <v>2</v>
      </c>
      <c r="I247" s="205">
        <f t="shared" si="4"/>
        <v>0.10526315789473684</v>
      </c>
      <c r="J247" s="206" t="s">
        <v>386</v>
      </c>
      <c r="K247" s="201"/>
    </row>
    <row r="248" spans="1:11" ht="16">
      <c r="A248" s="198" t="s">
        <v>822</v>
      </c>
      <c r="B248" s="199" t="s">
        <v>16</v>
      </c>
      <c r="C248" s="199" t="s">
        <v>17</v>
      </c>
      <c r="D248" s="200" t="s">
        <v>721</v>
      </c>
      <c r="E248" s="201" t="s">
        <v>908</v>
      </c>
      <c r="F248" s="202" t="e">
        <f>VLOOKUP(D248,CSR!$D$4:$E$1180,2,FALSE)</f>
        <v>#N/A</v>
      </c>
      <c r="G248" s="203">
        <v>46150</v>
      </c>
      <c r="H248" s="204">
        <v>2</v>
      </c>
      <c r="I248" s="205">
        <f t="shared" si="4"/>
        <v>0.10526315789473684</v>
      </c>
      <c r="J248" s="206" t="s">
        <v>386</v>
      </c>
      <c r="K248" s="201"/>
    </row>
    <row r="249" spans="1:11" ht="16">
      <c r="A249" s="198" t="s">
        <v>822</v>
      </c>
      <c r="B249" s="199" t="s">
        <v>16</v>
      </c>
      <c r="C249" s="199" t="s">
        <v>17</v>
      </c>
      <c r="D249" s="200" t="s">
        <v>721</v>
      </c>
      <c r="E249" s="201" t="s">
        <v>909</v>
      </c>
      <c r="F249" s="202" t="e">
        <f>VLOOKUP(D249,CSR!$D$4:$E$1180,2,FALSE)</f>
        <v>#N/A</v>
      </c>
      <c r="G249" s="203">
        <v>46157</v>
      </c>
      <c r="H249" s="204">
        <v>2</v>
      </c>
      <c r="I249" s="205">
        <f t="shared" si="4"/>
        <v>0.10526315789473684</v>
      </c>
      <c r="J249" s="206" t="s">
        <v>386</v>
      </c>
      <c r="K249" s="201"/>
    </row>
    <row r="250" spans="1:11" ht="16">
      <c r="A250" s="198" t="s">
        <v>822</v>
      </c>
      <c r="B250" s="199" t="s">
        <v>16</v>
      </c>
      <c r="C250" s="199" t="s">
        <v>17</v>
      </c>
      <c r="D250" s="200" t="s">
        <v>721</v>
      </c>
      <c r="E250" s="201" t="s">
        <v>910</v>
      </c>
      <c r="F250" s="202" t="e">
        <f>VLOOKUP(D250,CSR!$D$4:$E$1180,2,FALSE)</f>
        <v>#N/A</v>
      </c>
      <c r="G250" s="203">
        <v>46157</v>
      </c>
      <c r="H250" s="204">
        <v>2</v>
      </c>
      <c r="I250" s="205">
        <f t="shared" si="4"/>
        <v>0.10526315789473684</v>
      </c>
      <c r="J250" s="206" t="s">
        <v>386</v>
      </c>
      <c r="K250" s="201"/>
    </row>
    <row r="251" spans="1:11" ht="16">
      <c r="A251" s="198" t="s">
        <v>822</v>
      </c>
      <c r="B251" s="199" t="s">
        <v>16</v>
      </c>
      <c r="C251" s="199" t="s">
        <v>17</v>
      </c>
      <c r="D251" s="200" t="s">
        <v>18</v>
      </c>
      <c r="E251" s="201" t="s">
        <v>911</v>
      </c>
      <c r="F251" s="202" t="str">
        <f>VLOOKUP(D251,CSR!$D$4:$E$1180,2,FALSE)</f>
        <v>CSR_11300</v>
      </c>
      <c r="G251" s="203">
        <v>46162</v>
      </c>
      <c r="H251" s="204">
        <v>2</v>
      </c>
      <c r="I251" s="205">
        <f t="shared" si="4"/>
        <v>0.10526315789473684</v>
      </c>
      <c r="J251" s="206" t="s">
        <v>386</v>
      </c>
      <c r="K251" s="201"/>
    </row>
    <row r="252" spans="1:11" ht="16">
      <c r="A252" s="198" t="s">
        <v>822</v>
      </c>
      <c r="B252" s="199" t="s">
        <v>16</v>
      </c>
      <c r="C252" s="199" t="s">
        <v>17</v>
      </c>
      <c r="D252" s="200" t="s">
        <v>44</v>
      </c>
      <c r="E252" s="201" t="s">
        <v>912</v>
      </c>
      <c r="F252" s="202" t="str">
        <f>VLOOKUP(D252,CSR!$D$4:$E$1180,2,FALSE)</f>
        <v>CSR_11416</v>
      </c>
      <c r="G252" s="203">
        <v>46162</v>
      </c>
      <c r="H252" s="204">
        <v>1</v>
      </c>
      <c r="I252" s="205">
        <f t="shared" si="4"/>
        <v>5.2631578947368418E-2</v>
      </c>
      <c r="J252" s="206" t="s">
        <v>386</v>
      </c>
      <c r="K252" s="201"/>
    </row>
    <row r="253" spans="1:11" ht="16">
      <c r="A253" s="198" t="s">
        <v>821</v>
      </c>
      <c r="B253" s="199" t="s">
        <v>729</v>
      </c>
      <c r="C253" s="199" t="s">
        <v>730</v>
      </c>
      <c r="D253" s="200" t="s">
        <v>748</v>
      </c>
      <c r="E253" s="201" t="s">
        <v>394</v>
      </c>
      <c r="F253" s="202" t="str">
        <f>VLOOKUP(D253,CSR!$D$4:$E$1180,2,FALSE)</f>
        <v>CSR_20007</v>
      </c>
      <c r="G253" s="203">
        <v>46136</v>
      </c>
      <c r="H253" s="204">
        <v>2</v>
      </c>
      <c r="I253" s="205">
        <f t="shared" si="4"/>
        <v>0.10526315789473684</v>
      </c>
      <c r="J253" s="206" t="s">
        <v>395</v>
      </c>
      <c r="K253" s="201"/>
    </row>
    <row r="254" spans="1:11" ht="16">
      <c r="A254" s="198" t="s">
        <v>821</v>
      </c>
      <c r="B254" s="199" t="s">
        <v>758</v>
      </c>
      <c r="C254" s="199" t="s">
        <v>759</v>
      </c>
      <c r="D254" s="200" t="s">
        <v>764</v>
      </c>
      <c r="E254" s="201" t="s">
        <v>396</v>
      </c>
      <c r="F254" s="202" t="str">
        <f>VLOOKUP(D254,CSR!$D$4:$E$1180,2,FALSE)</f>
        <v>CSR_30200</v>
      </c>
      <c r="G254" s="203">
        <v>46136</v>
      </c>
      <c r="H254" s="204">
        <v>2</v>
      </c>
      <c r="I254" s="205">
        <f t="shared" si="4"/>
        <v>0.10526315789473684</v>
      </c>
      <c r="J254" s="206" t="s">
        <v>395</v>
      </c>
      <c r="K254" s="201"/>
    </row>
    <row r="255" spans="1:11" ht="16">
      <c r="A255" s="198" t="s">
        <v>822</v>
      </c>
      <c r="B255" s="199" t="s">
        <v>758</v>
      </c>
      <c r="C255" s="199" t="s">
        <v>759</v>
      </c>
      <c r="D255" s="200" t="s">
        <v>764</v>
      </c>
      <c r="E255" s="201" t="s">
        <v>397</v>
      </c>
      <c r="F255" s="202" t="str">
        <f>VLOOKUP(D255,CSR!$D$4:$E$1180,2,FALSE)</f>
        <v>CSR_30200</v>
      </c>
      <c r="G255" s="203">
        <v>46143</v>
      </c>
      <c r="H255" s="204">
        <v>2</v>
      </c>
      <c r="I255" s="205">
        <f t="shared" si="4"/>
        <v>0.10526315789473684</v>
      </c>
      <c r="J255" s="206" t="s">
        <v>395</v>
      </c>
      <c r="K255" s="201"/>
    </row>
    <row r="256" spans="1:11" ht="16">
      <c r="A256" s="198" t="s">
        <v>822</v>
      </c>
      <c r="B256" s="199" t="s">
        <v>729</v>
      </c>
      <c r="C256" s="199" t="s">
        <v>730</v>
      </c>
      <c r="D256" s="200" t="s">
        <v>748</v>
      </c>
      <c r="E256" s="201" t="s">
        <v>398</v>
      </c>
      <c r="F256" s="202" t="str">
        <f>VLOOKUP(D256,CSR!$D$4:$E$1180,2,FALSE)</f>
        <v>CSR_20007</v>
      </c>
      <c r="G256" s="203">
        <v>46143</v>
      </c>
      <c r="H256" s="204">
        <v>2</v>
      </c>
      <c r="I256" s="205">
        <f t="shared" si="4"/>
        <v>0.10526315789473684</v>
      </c>
      <c r="J256" s="206" t="s">
        <v>395</v>
      </c>
      <c r="K256" s="201"/>
    </row>
    <row r="257" spans="1:11" ht="16">
      <c r="A257" s="198" t="s">
        <v>822</v>
      </c>
      <c r="B257" s="199" t="s">
        <v>16</v>
      </c>
      <c r="C257" s="199" t="s">
        <v>17</v>
      </c>
      <c r="D257" s="200" t="s">
        <v>18</v>
      </c>
      <c r="E257" s="201" t="s">
        <v>399</v>
      </c>
      <c r="F257" s="202" t="str">
        <f>VLOOKUP(D257,CSR!$D$4:$E$1180,2,FALSE)</f>
        <v>CSR_11300</v>
      </c>
      <c r="G257" s="203">
        <v>46150</v>
      </c>
      <c r="H257" s="204">
        <v>2</v>
      </c>
      <c r="I257" s="205">
        <f t="shared" si="4"/>
        <v>0.10526315789473684</v>
      </c>
      <c r="J257" s="206" t="s">
        <v>395</v>
      </c>
      <c r="K257" s="201"/>
    </row>
    <row r="258" spans="1:11" ht="16">
      <c r="A258" s="198" t="s">
        <v>822</v>
      </c>
      <c r="B258" s="199" t="s">
        <v>16</v>
      </c>
      <c r="C258" s="199" t="s">
        <v>17</v>
      </c>
      <c r="D258" s="200" t="s">
        <v>721</v>
      </c>
      <c r="E258" s="201" t="s">
        <v>400</v>
      </c>
      <c r="F258" s="202" t="e">
        <f>VLOOKUP(D258,CSR!$D$4:$E$1180,2,FALSE)</f>
        <v>#N/A</v>
      </c>
      <c r="G258" s="203">
        <v>46150</v>
      </c>
      <c r="H258" s="204">
        <v>2</v>
      </c>
      <c r="I258" s="205">
        <f t="shared" si="4"/>
        <v>0.10526315789473684</v>
      </c>
      <c r="J258" s="206" t="s">
        <v>395</v>
      </c>
      <c r="K258" s="201"/>
    </row>
    <row r="259" spans="1:11" ht="16">
      <c r="A259" s="198" t="s">
        <v>822</v>
      </c>
      <c r="B259" s="199" t="s">
        <v>16</v>
      </c>
      <c r="C259" s="199" t="s">
        <v>17</v>
      </c>
      <c r="D259" s="200" t="s">
        <v>18</v>
      </c>
      <c r="E259" s="201" t="s">
        <v>401</v>
      </c>
      <c r="F259" s="202" t="str">
        <f>VLOOKUP(D259,CSR!$D$4:$E$1180,2,FALSE)</f>
        <v>CSR_11300</v>
      </c>
      <c r="G259" s="203">
        <v>46157</v>
      </c>
      <c r="H259" s="204">
        <v>2</v>
      </c>
      <c r="I259" s="205">
        <f t="shared" si="4"/>
        <v>0.10526315789473684</v>
      </c>
      <c r="J259" s="206" t="s">
        <v>395</v>
      </c>
      <c r="K259" s="201"/>
    </row>
    <row r="260" spans="1:11" ht="16">
      <c r="A260" s="198" t="s">
        <v>822</v>
      </c>
      <c r="B260" s="199" t="s">
        <v>16</v>
      </c>
      <c r="C260" s="199" t="s">
        <v>17</v>
      </c>
      <c r="D260" s="200" t="s">
        <v>721</v>
      </c>
      <c r="E260" s="201" t="s">
        <v>400</v>
      </c>
      <c r="F260" s="202" t="e">
        <f>VLOOKUP(D260,CSR!$D$4:$E$1180,2,FALSE)</f>
        <v>#N/A</v>
      </c>
      <c r="G260" s="203">
        <v>46157</v>
      </c>
      <c r="H260" s="204">
        <v>2</v>
      </c>
      <c r="I260" s="205">
        <f t="shared" si="4"/>
        <v>0.10526315789473684</v>
      </c>
      <c r="J260" s="206" t="s">
        <v>395</v>
      </c>
      <c r="K260" s="201"/>
    </row>
    <row r="261" spans="1:11" ht="16">
      <c r="A261" s="198" t="s">
        <v>822</v>
      </c>
      <c r="B261" s="199" t="s">
        <v>16</v>
      </c>
      <c r="C261" s="199" t="s">
        <v>17</v>
      </c>
      <c r="D261" s="200" t="s">
        <v>18</v>
      </c>
      <c r="E261" s="201" t="s">
        <v>402</v>
      </c>
      <c r="F261" s="202" t="str">
        <f>VLOOKUP(D261,CSR!$D$4:$E$1180,2,FALSE)</f>
        <v>CSR_11300</v>
      </c>
      <c r="G261" s="203">
        <v>46162</v>
      </c>
      <c r="H261" s="204">
        <v>2</v>
      </c>
      <c r="I261" s="205">
        <f t="shared" si="4"/>
        <v>0.10526315789473684</v>
      </c>
      <c r="J261" s="206" t="s">
        <v>395</v>
      </c>
      <c r="K261" s="201"/>
    </row>
    <row r="262" spans="1:11" ht="16">
      <c r="A262" s="198" t="s">
        <v>822</v>
      </c>
      <c r="B262" s="199" t="s">
        <v>16</v>
      </c>
      <c r="C262" s="199" t="s">
        <v>17</v>
      </c>
      <c r="D262" s="200" t="s">
        <v>44</v>
      </c>
      <c r="E262" s="201" t="s">
        <v>403</v>
      </c>
      <c r="F262" s="202" t="str">
        <f>VLOOKUP(D262,CSR!$D$4:$E$1180,2,FALSE)</f>
        <v>CSR_11416</v>
      </c>
      <c r="G262" s="203">
        <v>46162</v>
      </c>
      <c r="H262" s="204">
        <v>1</v>
      </c>
      <c r="I262" s="205">
        <f t="shared" si="4"/>
        <v>5.2631578947368418E-2</v>
      </c>
      <c r="J262" s="206" t="s">
        <v>395</v>
      </c>
      <c r="K262" s="201"/>
    </row>
    <row r="263" spans="1:11" ht="16">
      <c r="A263" s="198" t="s">
        <v>821</v>
      </c>
      <c r="B263" s="199" t="s">
        <v>729</v>
      </c>
      <c r="C263" s="199" t="s">
        <v>730</v>
      </c>
      <c r="D263" s="200" t="s">
        <v>748</v>
      </c>
      <c r="E263" s="201" t="s">
        <v>913</v>
      </c>
      <c r="F263" s="202" t="str">
        <f>VLOOKUP(D263,CSR!$D$4:$E$1180,2,FALSE)</f>
        <v>CSR_20007</v>
      </c>
      <c r="G263" s="203">
        <v>46133</v>
      </c>
      <c r="H263" s="204">
        <v>2</v>
      </c>
      <c r="I263" s="205">
        <f t="shared" si="4"/>
        <v>0.10526315789473684</v>
      </c>
      <c r="J263" s="206" t="s">
        <v>914</v>
      </c>
      <c r="K263" s="201"/>
    </row>
  </sheetData>
  <autoFilter ref="A1:K263" xr:uid="{00000000-0009-0000-0000-000003000000}"/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5"/>
  <sheetViews>
    <sheetView topLeftCell="A66" zoomScaleNormal="100" workbookViewId="0">
      <selection activeCell="E84" sqref="E84"/>
    </sheetView>
  </sheetViews>
  <sheetFormatPr baseColWidth="10" defaultColWidth="9" defaultRowHeight="15"/>
  <cols>
    <col min="1" max="1" width="6.6640625" style="21" bestFit="1" customWidth="1"/>
    <col min="2" max="2" width="14.1640625" style="19" bestFit="1" customWidth="1"/>
    <col min="3" max="3" width="20.33203125" style="19" customWidth="1"/>
    <col min="4" max="4" width="55.5" style="19" bestFit="1" customWidth="1"/>
    <col min="5" max="5" width="61.83203125" style="19" customWidth="1"/>
    <col min="6" max="6" width="10.5" style="19" bestFit="1" customWidth="1"/>
    <col min="7" max="7" width="9.6640625" style="21" customWidth="1"/>
    <col min="8" max="8" width="9.6640625" style="19" customWidth="1"/>
    <col min="9" max="9" width="9.6640625" style="222" customWidth="1"/>
    <col min="10" max="10" width="17.83203125" style="21" customWidth="1"/>
    <col min="11" max="11" width="9.6640625" style="19" customWidth="1"/>
    <col min="12" max="16384" width="9" style="197"/>
  </cols>
  <sheetData>
    <row r="1" spans="1:11" ht="16">
      <c r="A1" s="223" t="s">
        <v>815</v>
      </c>
      <c r="B1" s="223" t="s">
        <v>589</v>
      </c>
      <c r="C1" s="223" t="s">
        <v>590</v>
      </c>
      <c r="D1" s="223" t="s">
        <v>591</v>
      </c>
      <c r="E1" s="223" t="s">
        <v>816</v>
      </c>
      <c r="F1" s="223" t="s">
        <v>817</v>
      </c>
      <c r="G1" s="223" t="s">
        <v>8</v>
      </c>
      <c r="H1" s="223" t="s">
        <v>818</v>
      </c>
      <c r="I1" s="224" t="s">
        <v>819</v>
      </c>
      <c r="J1" s="223" t="s">
        <v>820</v>
      </c>
      <c r="K1" s="223" t="s">
        <v>588</v>
      </c>
    </row>
    <row r="2" spans="1:11" ht="32" customHeight="1">
      <c r="A2" s="198" t="s">
        <v>915</v>
      </c>
      <c r="B2" s="199" t="s">
        <v>615</v>
      </c>
      <c r="C2" s="199" t="s">
        <v>17</v>
      </c>
      <c r="D2" s="200" t="s">
        <v>647</v>
      </c>
      <c r="E2" s="210" t="s">
        <v>916</v>
      </c>
      <c r="F2" s="202" t="str">
        <f>VLOOKUP(D2,CSR!$D$4:$E$1180,2,FALSE)</f>
        <v>CSR_11300</v>
      </c>
      <c r="G2" s="203">
        <v>46108</v>
      </c>
      <c r="H2" s="204">
        <v>3</v>
      </c>
      <c r="I2" s="205">
        <f t="shared" ref="I2:I65" si="0">H2*10/190</f>
        <v>0.15789473684210525</v>
      </c>
      <c r="J2" s="206" t="s">
        <v>917</v>
      </c>
      <c r="K2" s="204"/>
    </row>
    <row r="3" spans="1:11" ht="32" customHeight="1">
      <c r="A3" s="198" t="s">
        <v>915</v>
      </c>
      <c r="B3" s="199" t="s">
        <v>615</v>
      </c>
      <c r="C3" s="199" t="s">
        <v>17</v>
      </c>
      <c r="D3" s="200" t="s">
        <v>918</v>
      </c>
      <c r="E3" s="210" t="s">
        <v>919</v>
      </c>
      <c r="F3" s="202" t="str">
        <f>VLOOKUP(D3,CSR!$D$4:$E$1180,2,FALSE)</f>
        <v>CSR_11315</v>
      </c>
      <c r="G3" s="203">
        <v>46108</v>
      </c>
      <c r="H3" s="204">
        <v>2</v>
      </c>
      <c r="I3" s="205">
        <f t="shared" si="0"/>
        <v>0.10526315789473684</v>
      </c>
      <c r="J3" s="206" t="s">
        <v>917</v>
      </c>
      <c r="K3" s="204"/>
    </row>
    <row r="4" spans="1:11" ht="32" customHeight="1">
      <c r="A4" s="198" t="s">
        <v>821</v>
      </c>
      <c r="B4" s="199" t="s">
        <v>615</v>
      </c>
      <c r="C4" s="199" t="s">
        <v>17</v>
      </c>
      <c r="D4" s="200" t="s">
        <v>647</v>
      </c>
      <c r="E4" s="210" t="s">
        <v>920</v>
      </c>
      <c r="F4" s="202" t="str">
        <f>VLOOKUP(D4,CSR!$D$4:$E$1180,2,FALSE)</f>
        <v>CSR_11300</v>
      </c>
      <c r="G4" s="203">
        <v>46115</v>
      </c>
      <c r="H4" s="204">
        <v>3</v>
      </c>
      <c r="I4" s="205">
        <f t="shared" si="0"/>
        <v>0.15789473684210525</v>
      </c>
      <c r="J4" s="206" t="s">
        <v>917</v>
      </c>
      <c r="K4" s="204"/>
    </row>
    <row r="5" spans="1:11" ht="32" customHeight="1">
      <c r="A5" s="198" t="s">
        <v>821</v>
      </c>
      <c r="B5" s="199" t="s">
        <v>758</v>
      </c>
      <c r="C5" s="199" t="s">
        <v>759</v>
      </c>
      <c r="D5" s="207" t="s">
        <v>764</v>
      </c>
      <c r="E5" s="210" t="s">
        <v>921</v>
      </c>
      <c r="F5" s="202" t="str">
        <f>VLOOKUP(D5,CSR!$D$4:$E$1180,2,FALSE)</f>
        <v>CSR_30200</v>
      </c>
      <c r="G5" s="203">
        <v>46115</v>
      </c>
      <c r="H5" s="204">
        <v>2</v>
      </c>
      <c r="I5" s="205">
        <f t="shared" si="0"/>
        <v>0.10526315789473684</v>
      </c>
      <c r="J5" s="206" t="s">
        <v>917</v>
      </c>
      <c r="K5" s="212"/>
    </row>
    <row r="6" spans="1:11" ht="32" customHeight="1">
      <c r="A6" s="198" t="s">
        <v>821</v>
      </c>
      <c r="B6" s="199" t="s">
        <v>615</v>
      </c>
      <c r="C6" s="199" t="s">
        <v>17</v>
      </c>
      <c r="D6" s="200" t="s">
        <v>647</v>
      </c>
      <c r="E6" s="210" t="s">
        <v>922</v>
      </c>
      <c r="F6" s="202" t="str">
        <f>VLOOKUP(D6,CSR!$D$4:$E$1180,2,FALSE)</f>
        <v>CSR_11300</v>
      </c>
      <c r="G6" s="203">
        <v>46122</v>
      </c>
      <c r="H6" s="204">
        <v>3</v>
      </c>
      <c r="I6" s="205">
        <f t="shared" si="0"/>
        <v>0.15789473684210525</v>
      </c>
      <c r="J6" s="206" t="s">
        <v>917</v>
      </c>
      <c r="K6" s="204"/>
    </row>
    <row r="7" spans="1:11" ht="32" customHeight="1">
      <c r="A7" s="198" t="s">
        <v>821</v>
      </c>
      <c r="B7" s="199" t="s">
        <v>758</v>
      </c>
      <c r="C7" s="199" t="s">
        <v>759</v>
      </c>
      <c r="D7" s="207" t="s">
        <v>764</v>
      </c>
      <c r="E7" s="210" t="s">
        <v>921</v>
      </c>
      <c r="F7" s="202" t="str">
        <f>VLOOKUP(D7,CSR!$D$4:$E$1180,2,FALSE)</f>
        <v>CSR_30200</v>
      </c>
      <c r="G7" s="203">
        <v>46122</v>
      </c>
      <c r="H7" s="204">
        <v>2</v>
      </c>
      <c r="I7" s="205">
        <f t="shared" si="0"/>
        <v>0.10526315789473684</v>
      </c>
      <c r="J7" s="206" t="s">
        <v>917</v>
      </c>
      <c r="K7" s="204"/>
    </row>
    <row r="8" spans="1:11" ht="32" customHeight="1">
      <c r="A8" s="198" t="s">
        <v>821</v>
      </c>
      <c r="B8" s="199" t="s">
        <v>615</v>
      </c>
      <c r="C8" s="199" t="s">
        <v>17</v>
      </c>
      <c r="D8" s="200" t="s">
        <v>647</v>
      </c>
      <c r="E8" s="210" t="s">
        <v>923</v>
      </c>
      <c r="F8" s="202" t="str">
        <f>VLOOKUP(D8,CSR!$D$4:$E$1180,2,FALSE)</f>
        <v>CSR_11300</v>
      </c>
      <c r="G8" s="203">
        <v>46132</v>
      </c>
      <c r="H8" s="204">
        <v>2</v>
      </c>
      <c r="I8" s="205">
        <f t="shared" si="0"/>
        <v>0.10526315789473684</v>
      </c>
      <c r="J8" s="206" t="s">
        <v>917</v>
      </c>
      <c r="K8" s="204"/>
    </row>
    <row r="9" spans="1:11" ht="32" customHeight="1">
      <c r="A9" s="198" t="s">
        <v>821</v>
      </c>
      <c r="B9" s="199" t="s">
        <v>758</v>
      </c>
      <c r="C9" s="199" t="s">
        <v>759</v>
      </c>
      <c r="D9" s="207" t="s">
        <v>764</v>
      </c>
      <c r="E9" s="210" t="s">
        <v>924</v>
      </c>
      <c r="F9" s="202" t="str">
        <f>VLOOKUP(D9,CSR!$D$4:$E$1180,2,FALSE)</f>
        <v>CSR_30200</v>
      </c>
      <c r="G9" s="203">
        <v>46132</v>
      </c>
      <c r="H9" s="204">
        <v>2</v>
      </c>
      <c r="I9" s="205">
        <f t="shared" si="0"/>
        <v>0.10526315789473684</v>
      </c>
      <c r="J9" s="206" t="s">
        <v>917</v>
      </c>
      <c r="K9" s="204"/>
    </row>
    <row r="10" spans="1:11" ht="32" customHeight="1">
      <c r="A10" s="198" t="s">
        <v>915</v>
      </c>
      <c r="B10" s="199" t="s">
        <v>615</v>
      </c>
      <c r="C10" s="199" t="s">
        <v>17</v>
      </c>
      <c r="D10" s="200" t="s">
        <v>647</v>
      </c>
      <c r="E10" s="210" t="s">
        <v>925</v>
      </c>
      <c r="F10" s="202" t="str">
        <f>VLOOKUP(D10,CSR!$D$4:$E$1180,2,FALSE)</f>
        <v>CSR_11300</v>
      </c>
      <c r="G10" s="203">
        <v>46108</v>
      </c>
      <c r="H10" s="204">
        <v>3</v>
      </c>
      <c r="I10" s="205">
        <f t="shared" si="0"/>
        <v>0.15789473684210525</v>
      </c>
      <c r="J10" s="206" t="s">
        <v>926</v>
      </c>
      <c r="K10" s="204"/>
    </row>
    <row r="11" spans="1:11" ht="32" customHeight="1">
      <c r="A11" s="198" t="s">
        <v>915</v>
      </c>
      <c r="B11" s="199" t="s">
        <v>615</v>
      </c>
      <c r="C11" s="199" t="s">
        <v>17</v>
      </c>
      <c r="D11" s="200" t="s">
        <v>635</v>
      </c>
      <c r="E11" s="210" t="s">
        <v>927</v>
      </c>
      <c r="F11" s="202" t="str">
        <f>VLOOKUP(D11,CSR!$D$4:$E$1180,2,FALSE)</f>
        <v>CSR_10800</v>
      </c>
      <c r="G11" s="203">
        <v>46108</v>
      </c>
      <c r="H11" s="204">
        <v>2</v>
      </c>
      <c r="I11" s="205">
        <f t="shared" si="0"/>
        <v>0.10526315789473684</v>
      </c>
      <c r="J11" s="206" t="s">
        <v>926</v>
      </c>
      <c r="K11" s="212"/>
    </row>
    <row r="12" spans="1:11" ht="32" customHeight="1">
      <c r="A12" s="198" t="s">
        <v>821</v>
      </c>
      <c r="B12" s="199" t="s">
        <v>615</v>
      </c>
      <c r="C12" s="199" t="s">
        <v>17</v>
      </c>
      <c r="D12" s="200" t="s">
        <v>647</v>
      </c>
      <c r="E12" s="210" t="s">
        <v>928</v>
      </c>
      <c r="F12" s="202" t="str">
        <f>VLOOKUP(D12,CSR!$D$4:$E$1180,2,FALSE)</f>
        <v>CSR_11300</v>
      </c>
      <c r="G12" s="203">
        <v>46115</v>
      </c>
      <c r="H12" s="204">
        <v>3</v>
      </c>
      <c r="I12" s="205">
        <f t="shared" si="0"/>
        <v>0.15789473684210525</v>
      </c>
      <c r="J12" s="206" t="s">
        <v>926</v>
      </c>
      <c r="K12" s="204"/>
    </row>
    <row r="13" spans="1:11" ht="32" customHeight="1">
      <c r="A13" s="198" t="s">
        <v>821</v>
      </c>
      <c r="B13" s="199" t="s">
        <v>615</v>
      </c>
      <c r="C13" s="199" t="s">
        <v>17</v>
      </c>
      <c r="D13" s="200" t="s">
        <v>647</v>
      </c>
      <c r="E13" s="210" t="s">
        <v>929</v>
      </c>
      <c r="F13" s="202" t="str">
        <f>VLOOKUP(D13,CSR!$D$4:$E$1180,2,FALSE)</f>
        <v>CSR_11300</v>
      </c>
      <c r="G13" s="203">
        <v>46115</v>
      </c>
      <c r="H13" s="204">
        <v>2</v>
      </c>
      <c r="I13" s="205">
        <f t="shared" si="0"/>
        <v>0.10526315789473684</v>
      </c>
      <c r="J13" s="206" t="s">
        <v>926</v>
      </c>
      <c r="K13" s="204"/>
    </row>
    <row r="14" spans="1:11" ht="32" customHeight="1">
      <c r="A14" s="198" t="s">
        <v>821</v>
      </c>
      <c r="B14" s="199" t="s">
        <v>615</v>
      </c>
      <c r="C14" s="199" t="s">
        <v>17</v>
      </c>
      <c r="D14" s="200" t="s">
        <v>647</v>
      </c>
      <c r="E14" s="210" t="s">
        <v>930</v>
      </c>
      <c r="F14" s="202" t="str">
        <f>VLOOKUP(D14,CSR!$D$4:$E$1180,2,FALSE)</f>
        <v>CSR_11300</v>
      </c>
      <c r="G14" s="203">
        <v>46122</v>
      </c>
      <c r="H14" s="204">
        <v>3</v>
      </c>
      <c r="I14" s="205">
        <f t="shared" si="0"/>
        <v>0.15789473684210525</v>
      </c>
      <c r="J14" s="206" t="s">
        <v>926</v>
      </c>
      <c r="K14" s="204"/>
    </row>
    <row r="15" spans="1:11" ht="32" customHeight="1">
      <c r="A15" s="198" t="s">
        <v>821</v>
      </c>
      <c r="B15" s="199" t="s">
        <v>615</v>
      </c>
      <c r="C15" s="199" t="s">
        <v>17</v>
      </c>
      <c r="D15" s="200" t="s">
        <v>918</v>
      </c>
      <c r="E15" s="210" t="s">
        <v>931</v>
      </c>
      <c r="F15" s="202" t="str">
        <f>VLOOKUP(D15,CSR!$D$4:$E$1180,2,FALSE)</f>
        <v>CSR_11315</v>
      </c>
      <c r="G15" s="203">
        <v>46122</v>
      </c>
      <c r="H15" s="204">
        <v>2</v>
      </c>
      <c r="I15" s="205">
        <f t="shared" si="0"/>
        <v>0.10526315789473684</v>
      </c>
      <c r="J15" s="206" t="s">
        <v>926</v>
      </c>
      <c r="K15" s="212"/>
    </row>
    <row r="16" spans="1:11" ht="32" customHeight="1">
      <c r="A16" s="198" t="s">
        <v>821</v>
      </c>
      <c r="B16" s="199" t="s">
        <v>615</v>
      </c>
      <c r="C16" s="199" t="s">
        <v>17</v>
      </c>
      <c r="D16" s="200" t="s">
        <v>647</v>
      </c>
      <c r="E16" s="210" t="s">
        <v>932</v>
      </c>
      <c r="F16" s="202" t="str">
        <f>VLOOKUP(D16,CSR!$D$4:$E$1180,2,FALSE)</f>
        <v>CSR_11300</v>
      </c>
      <c r="G16" s="203">
        <v>46132</v>
      </c>
      <c r="H16" s="204">
        <v>2</v>
      </c>
      <c r="I16" s="205">
        <f t="shared" si="0"/>
        <v>0.10526315789473684</v>
      </c>
      <c r="J16" s="206" t="s">
        <v>926</v>
      </c>
      <c r="K16" s="204"/>
    </row>
    <row r="17" spans="1:11" ht="32" customHeight="1">
      <c r="A17" s="198" t="s">
        <v>821</v>
      </c>
      <c r="B17" s="220" t="s">
        <v>16</v>
      </c>
      <c r="C17" s="220" t="s">
        <v>17</v>
      </c>
      <c r="D17" s="207" t="s">
        <v>176</v>
      </c>
      <c r="E17" s="210" t="s">
        <v>933</v>
      </c>
      <c r="F17" s="202" t="str">
        <f>VLOOKUP(D17,CSR!$D$4:$E$1180,2,FALSE)</f>
        <v>CSR_40700</v>
      </c>
      <c r="G17" s="203">
        <v>46132</v>
      </c>
      <c r="H17" s="204">
        <v>2</v>
      </c>
      <c r="I17" s="205">
        <f t="shared" si="0"/>
        <v>0.10526315789473684</v>
      </c>
      <c r="J17" s="206" t="s">
        <v>926</v>
      </c>
      <c r="K17" s="204"/>
    </row>
    <row r="18" spans="1:11" ht="32" customHeight="1">
      <c r="A18" s="198" t="s">
        <v>915</v>
      </c>
      <c r="B18" s="199" t="s">
        <v>615</v>
      </c>
      <c r="C18" s="199" t="s">
        <v>17</v>
      </c>
      <c r="D18" s="200" t="s">
        <v>647</v>
      </c>
      <c r="E18" s="210" t="s">
        <v>934</v>
      </c>
      <c r="F18" s="202" t="str">
        <f>VLOOKUP(D18,CSR!$D$4:$E$1180,2,FALSE)</f>
        <v>CSR_11300</v>
      </c>
      <c r="G18" s="203">
        <v>46108</v>
      </c>
      <c r="H18" s="204">
        <v>3</v>
      </c>
      <c r="I18" s="205">
        <f t="shared" si="0"/>
        <v>0.15789473684210525</v>
      </c>
      <c r="J18" s="206" t="s">
        <v>935</v>
      </c>
      <c r="K18" s="204"/>
    </row>
    <row r="19" spans="1:11" ht="32" customHeight="1">
      <c r="A19" s="198" t="s">
        <v>915</v>
      </c>
      <c r="B19" s="199" t="s">
        <v>615</v>
      </c>
      <c r="C19" s="199" t="s">
        <v>17</v>
      </c>
      <c r="D19" s="200" t="s">
        <v>647</v>
      </c>
      <c r="E19" s="210" t="s">
        <v>936</v>
      </c>
      <c r="F19" s="202" t="str">
        <f>VLOOKUP(D19,CSR!$D$4:$E$1180,2,FALSE)</f>
        <v>CSR_11300</v>
      </c>
      <c r="G19" s="203">
        <v>46108</v>
      </c>
      <c r="H19" s="204">
        <v>2</v>
      </c>
      <c r="I19" s="205">
        <f t="shared" si="0"/>
        <v>0.10526315789473684</v>
      </c>
      <c r="J19" s="206" t="s">
        <v>935</v>
      </c>
      <c r="K19" s="204"/>
    </row>
    <row r="20" spans="1:11" ht="32" customHeight="1">
      <c r="A20" s="198" t="s">
        <v>821</v>
      </c>
      <c r="B20" s="199" t="s">
        <v>615</v>
      </c>
      <c r="C20" s="199" t="s">
        <v>17</v>
      </c>
      <c r="D20" s="200" t="s">
        <v>647</v>
      </c>
      <c r="E20" s="210" t="s">
        <v>937</v>
      </c>
      <c r="F20" s="202" t="str">
        <f>VLOOKUP(D20,CSR!$D$4:$E$1180,2,FALSE)</f>
        <v>CSR_11300</v>
      </c>
      <c r="G20" s="203">
        <v>46115</v>
      </c>
      <c r="H20" s="204">
        <v>3</v>
      </c>
      <c r="I20" s="205">
        <f t="shared" si="0"/>
        <v>0.15789473684210525</v>
      </c>
      <c r="J20" s="206" t="s">
        <v>935</v>
      </c>
      <c r="K20" s="204"/>
    </row>
    <row r="21" spans="1:11" ht="32" customHeight="1">
      <c r="A21" s="198" t="s">
        <v>821</v>
      </c>
      <c r="B21" s="199" t="s">
        <v>615</v>
      </c>
      <c r="C21" s="199" t="s">
        <v>17</v>
      </c>
      <c r="D21" s="200" t="s">
        <v>918</v>
      </c>
      <c r="E21" s="210" t="s">
        <v>938</v>
      </c>
      <c r="F21" s="202" t="str">
        <f>VLOOKUP(D21,CSR!$D$4:$E$1180,2,FALSE)</f>
        <v>CSR_11315</v>
      </c>
      <c r="G21" s="203">
        <v>46115</v>
      </c>
      <c r="H21" s="204">
        <v>2</v>
      </c>
      <c r="I21" s="205">
        <f t="shared" si="0"/>
        <v>0.10526315789473684</v>
      </c>
      <c r="J21" s="206" t="s">
        <v>935</v>
      </c>
      <c r="K21" s="212"/>
    </row>
    <row r="22" spans="1:11" ht="32" customHeight="1">
      <c r="A22" s="198" t="s">
        <v>821</v>
      </c>
      <c r="B22" s="199" t="s">
        <v>615</v>
      </c>
      <c r="C22" s="199" t="s">
        <v>17</v>
      </c>
      <c r="D22" s="200" t="s">
        <v>647</v>
      </c>
      <c r="E22" s="210" t="s">
        <v>939</v>
      </c>
      <c r="F22" s="202" t="str">
        <f>VLOOKUP(D22,CSR!$D$4:$E$1180,2,FALSE)</f>
        <v>CSR_11300</v>
      </c>
      <c r="G22" s="203">
        <v>46122</v>
      </c>
      <c r="H22" s="204">
        <v>3</v>
      </c>
      <c r="I22" s="205">
        <f t="shared" si="0"/>
        <v>0.15789473684210525</v>
      </c>
      <c r="J22" s="206" t="s">
        <v>935</v>
      </c>
      <c r="K22" s="204"/>
    </row>
    <row r="23" spans="1:11" ht="32" customHeight="1">
      <c r="A23" s="198" t="s">
        <v>821</v>
      </c>
      <c r="B23" s="199" t="s">
        <v>615</v>
      </c>
      <c r="C23" s="199" t="s">
        <v>17</v>
      </c>
      <c r="D23" s="200" t="s">
        <v>647</v>
      </c>
      <c r="E23" s="210" t="s">
        <v>940</v>
      </c>
      <c r="F23" s="202" t="str">
        <f>VLOOKUP(D23,CSR!$D$4:$E$1180,2,FALSE)</f>
        <v>CSR_11300</v>
      </c>
      <c r="G23" s="203">
        <v>46122</v>
      </c>
      <c r="H23" s="204">
        <v>2</v>
      </c>
      <c r="I23" s="205">
        <f t="shared" si="0"/>
        <v>0.10526315789473684</v>
      </c>
      <c r="J23" s="206" t="s">
        <v>935</v>
      </c>
      <c r="K23" s="204"/>
    </row>
    <row r="24" spans="1:11" ht="32" customHeight="1">
      <c r="A24" s="198" t="s">
        <v>821</v>
      </c>
      <c r="B24" s="220" t="s">
        <v>16</v>
      </c>
      <c r="C24" s="220" t="s">
        <v>17</v>
      </c>
      <c r="D24" s="209" t="s">
        <v>18</v>
      </c>
      <c r="E24" s="210" t="s">
        <v>941</v>
      </c>
      <c r="F24" s="202" t="str">
        <f>VLOOKUP(D24,CSR!$D$4:$E$1180,2,FALSE)</f>
        <v>CSR_11300</v>
      </c>
      <c r="G24" s="203">
        <v>46132</v>
      </c>
      <c r="H24" s="204">
        <v>2</v>
      </c>
      <c r="I24" s="205">
        <f t="shared" si="0"/>
        <v>0.10526315789473684</v>
      </c>
      <c r="J24" s="206" t="s">
        <v>935</v>
      </c>
      <c r="K24" s="204"/>
    </row>
    <row r="25" spans="1:11" ht="32" customHeight="1">
      <c r="A25" s="198" t="s">
        <v>821</v>
      </c>
      <c r="B25" s="220" t="s">
        <v>16</v>
      </c>
      <c r="C25" s="220" t="s">
        <v>17</v>
      </c>
      <c r="D25" s="209" t="s">
        <v>18</v>
      </c>
      <c r="E25" s="210" t="s">
        <v>940</v>
      </c>
      <c r="F25" s="202" t="str">
        <f>VLOOKUP(D25,CSR!$D$4:$E$1180,2,FALSE)</f>
        <v>CSR_11300</v>
      </c>
      <c r="G25" s="203">
        <v>46132</v>
      </c>
      <c r="H25" s="204">
        <v>2</v>
      </c>
      <c r="I25" s="205">
        <f t="shared" si="0"/>
        <v>0.10526315789473684</v>
      </c>
      <c r="J25" s="206" t="s">
        <v>935</v>
      </c>
      <c r="K25" s="204"/>
    </row>
    <row r="26" spans="1:11" ht="32" customHeight="1">
      <c r="A26" s="198" t="s">
        <v>915</v>
      </c>
      <c r="B26" s="199" t="s">
        <v>615</v>
      </c>
      <c r="C26" s="199" t="s">
        <v>17</v>
      </c>
      <c r="D26" s="200" t="s">
        <v>647</v>
      </c>
      <c r="E26" s="210" t="s">
        <v>942</v>
      </c>
      <c r="F26" s="202" t="str">
        <f>VLOOKUP(D26,CSR!$D$4:$E$1180,2,FALSE)</f>
        <v>CSR_11300</v>
      </c>
      <c r="G26" s="203">
        <v>46108</v>
      </c>
      <c r="H26" s="204">
        <v>3</v>
      </c>
      <c r="I26" s="205">
        <f t="shared" si="0"/>
        <v>0.15789473684210525</v>
      </c>
      <c r="J26" s="206" t="s">
        <v>943</v>
      </c>
      <c r="K26" s="204"/>
    </row>
    <row r="27" spans="1:11" ht="32" customHeight="1">
      <c r="A27" s="198" t="s">
        <v>915</v>
      </c>
      <c r="B27" s="199" t="s">
        <v>615</v>
      </c>
      <c r="C27" s="199" t="s">
        <v>17</v>
      </c>
      <c r="D27" s="200" t="s">
        <v>634</v>
      </c>
      <c r="E27" s="210" t="s">
        <v>944</v>
      </c>
      <c r="F27" s="202" t="str">
        <f>VLOOKUP(D27,CSR!$D$4:$E$1180,2,FALSE)</f>
        <v>CSR_10700</v>
      </c>
      <c r="G27" s="203">
        <v>46108</v>
      </c>
      <c r="H27" s="204">
        <v>2</v>
      </c>
      <c r="I27" s="205">
        <f t="shared" si="0"/>
        <v>0.10526315789473684</v>
      </c>
      <c r="J27" s="206" t="s">
        <v>943</v>
      </c>
      <c r="K27" s="204"/>
    </row>
    <row r="28" spans="1:11" ht="32" customHeight="1">
      <c r="A28" s="198" t="s">
        <v>821</v>
      </c>
      <c r="B28" s="199" t="s">
        <v>615</v>
      </c>
      <c r="C28" s="199" t="s">
        <v>17</v>
      </c>
      <c r="D28" s="200" t="s">
        <v>647</v>
      </c>
      <c r="E28" s="210" t="s">
        <v>945</v>
      </c>
      <c r="F28" s="202" t="str">
        <f>VLOOKUP(D28,CSR!$D$4:$E$1180,2,FALSE)</f>
        <v>CSR_11300</v>
      </c>
      <c r="G28" s="203">
        <v>46115</v>
      </c>
      <c r="H28" s="204">
        <v>3</v>
      </c>
      <c r="I28" s="205">
        <f t="shared" si="0"/>
        <v>0.15789473684210525</v>
      </c>
      <c r="J28" s="206" t="s">
        <v>943</v>
      </c>
      <c r="K28" s="212"/>
    </row>
    <row r="29" spans="1:11" ht="32" customHeight="1">
      <c r="A29" s="198" t="s">
        <v>821</v>
      </c>
      <c r="B29" s="199" t="s">
        <v>615</v>
      </c>
      <c r="C29" s="199" t="s">
        <v>17</v>
      </c>
      <c r="D29" s="200" t="s">
        <v>647</v>
      </c>
      <c r="E29" s="210" t="s">
        <v>946</v>
      </c>
      <c r="F29" s="202" t="str">
        <f>VLOOKUP(D29,CSR!$D$4:$E$1180,2,FALSE)</f>
        <v>CSR_11300</v>
      </c>
      <c r="G29" s="203">
        <v>46115</v>
      </c>
      <c r="H29" s="204">
        <v>2</v>
      </c>
      <c r="I29" s="205">
        <f t="shared" si="0"/>
        <v>0.10526315789473684</v>
      </c>
      <c r="J29" s="206" t="s">
        <v>943</v>
      </c>
      <c r="K29" s="204"/>
    </row>
    <row r="30" spans="1:11" ht="32" customHeight="1">
      <c r="A30" s="198" t="s">
        <v>821</v>
      </c>
      <c r="B30" s="199" t="s">
        <v>615</v>
      </c>
      <c r="C30" s="199" t="s">
        <v>17</v>
      </c>
      <c r="D30" s="200" t="s">
        <v>647</v>
      </c>
      <c r="E30" s="210" t="s">
        <v>947</v>
      </c>
      <c r="F30" s="202" t="str">
        <f>VLOOKUP(D30,CSR!$D$4:$E$1180,2,FALSE)</f>
        <v>CSR_11300</v>
      </c>
      <c r="G30" s="203">
        <v>46122</v>
      </c>
      <c r="H30" s="204">
        <v>3</v>
      </c>
      <c r="I30" s="205">
        <f t="shared" si="0"/>
        <v>0.15789473684210525</v>
      </c>
      <c r="J30" s="206" t="s">
        <v>943</v>
      </c>
      <c r="K30" s="204"/>
    </row>
    <row r="31" spans="1:11" ht="32" customHeight="1">
      <c r="A31" s="198" t="s">
        <v>821</v>
      </c>
      <c r="B31" s="199" t="s">
        <v>615</v>
      </c>
      <c r="C31" s="199" t="s">
        <v>17</v>
      </c>
      <c r="D31" s="200" t="s">
        <v>918</v>
      </c>
      <c r="E31" s="210" t="s">
        <v>948</v>
      </c>
      <c r="F31" s="202" t="str">
        <f>VLOOKUP(D31,CSR!$D$4:$E$1180,2,FALSE)</f>
        <v>CSR_11315</v>
      </c>
      <c r="G31" s="203">
        <v>46122</v>
      </c>
      <c r="H31" s="204">
        <v>2</v>
      </c>
      <c r="I31" s="205">
        <f t="shared" si="0"/>
        <v>0.10526315789473684</v>
      </c>
      <c r="J31" s="206" t="s">
        <v>943</v>
      </c>
      <c r="K31" s="204"/>
    </row>
    <row r="32" spans="1:11" ht="32" customHeight="1">
      <c r="A32" s="198" t="s">
        <v>821</v>
      </c>
      <c r="B32" s="220" t="s">
        <v>16</v>
      </c>
      <c r="C32" s="220" t="s">
        <v>17</v>
      </c>
      <c r="D32" s="209" t="s">
        <v>18</v>
      </c>
      <c r="E32" s="210" t="s">
        <v>949</v>
      </c>
      <c r="F32" s="202" t="str">
        <f>VLOOKUP(D32,CSR!$D$4:$E$1180,2,FALSE)</f>
        <v>CSR_11300</v>
      </c>
      <c r="G32" s="203">
        <v>46132</v>
      </c>
      <c r="H32" s="204">
        <v>2</v>
      </c>
      <c r="I32" s="205">
        <f t="shared" si="0"/>
        <v>0.10526315789473684</v>
      </c>
      <c r="J32" s="206" t="s">
        <v>943</v>
      </c>
      <c r="K32" s="204"/>
    </row>
    <row r="33" spans="1:11" ht="32" customHeight="1">
      <c r="A33" s="198" t="s">
        <v>821</v>
      </c>
      <c r="B33" s="220" t="s">
        <v>16</v>
      </c>
      <c r="C33" s="220" t="s">
        <v>17</v>
      </c>
      <c r="D33" s="207" t="s">
        <v>176</v>
      </c>
      <c r="E33" s="210" t="s">
        <v>950</v>
      </c>
      <c r="F33" s="202" t="str">
        <f>VLOOKUP(D33,CSR!$D$4:$E$1180,2,FALSE)</f>
        <v>CSR_40700</v>
      </c>
      <c r="G33" s="203">
        <v>46132</v>
      </c>
      <c r="H33" s="204">
        <v>2</v>
      </c>
      <c r="I33" s="205">
        <f t="shared" si="0"/>
        <v>0.10526315789473684</v>
      </c>
      <c r="J33" s="206" t="s">
        <v>943</v>
      </c>
      <c r="K33" s="204"/>
    </row>
    <row r="34" spans="1:11" ht="32" customHeight="1">
      <c r="A34" s="198" t="s">
        <v>915</v>
      </c>
      <c r="B34" s="199" t="s">
        <v>615</v>
      </c>
      <c r="C34" s="199" t="s">
        <v>17</v>
      </c>
      <c r="D34" s="200" t="s">
        <v>647</v>
      </c>
      <c r="E34" s="210" t="s">
        <v>951</v>
      </c>
      <c r="F34" s="202" t="str">
        <f>VLOOKUP(D34,CSR!$D$4:$E$1180,2,FALSE)</f>
        <v>CSR_11300</v>
      </c>
      <c r="G34" s="203">
        <v>46108</v>
      </c>
      <c r="H34" s="204">
        <v>3</v>
      </c>
      <c r="I34" s="205">
        <f t="shared" si="0"/>
        <v>0.15789473684210525</v>
      </c>
      <c r="J34" s="206" t="s">
        <v>952</v>
      </c>
      <c r="K34" s="204"/>
    </row>
    <row r="35" spans="1:11" ht="32" customHeight="1">
      <c r="A35" s="198" t="s">
        <v>915</v>
      </c>
      <c r="B35" s="199" t="s">
        <v>615</v>
      </c>
      <c r="C35" s="199" t="s">
        <v>17</v>
      </c>
      <c r="D35" s="200" t="s">
        <v>953</v>
      </c>
      <c r="E35" s="210" t="s">
        <v>954</v>
      </c>
      <c r="F35" s="202" t="str">
        <f>VLOOKUP(D35,CSR!$D$4:$E$1180,2,FALSE)</f>
        <v>CSR_11305</v>
      </c>
      <c r="G35" s="203">
        <v>46108</v>
      </c>
      <c r="H35" s="204">
        <v>2</v>
      </c>
      <c r="I35" s="205">
        <f t="shared" si="0"/>
        <v>0.10526315789473684</v>
      </c>
      <c r="J35" s="206" t="s">
        <v>952</v>
      </c>
      <c r="K35" s="204"/>
    </row>
    <row r="36" spans="1:11" ht="32" customHeight="1">
      <c r="A36" s="198" t="s">
        <v>821</v>
      </c>
      <c r="B36" s="199" t="s">
        <v>615</v>
      </c>
      <c r="C36" s="199" t="s">
        <v>17</v>
      </c>
      <c r="D36" s="200" t="s">
        <v>65</v>
      </c>
      <c r="E36" s="210" t="s">
        <v>955</v>
      </c>
      <c r="F36" s="202" t="str">
        <f>VLOOKUP(D36,CSR!$D$4:$E$1180,2,FALSE)</f>
        <v>CSR_10800</v>
      </c>
      <c r="G36" s="203">
        <v>46115</v>
      </c>
      <c r="H36" s="204">
        <v>3</v>
      </c>
      <c r="I36" s="205">
        <f t="shared" si="0"/>
        <v>0.15789473684210525</v>
      </c>
      <c r="J36" s="206" t="s">
        <v>952</v>
      </c>
      <c r="K36" s="204"/>
    </row>
    <row r="37" spans="1:11" ht="32" customHeight="1">
      <c r="A37" s="198" t="s">
        <v>821</v>
      </c>
      <c r="B37" s="199" t="s">
        <v>615</v>
      </c>
      <c r="C37" s="199" t="s">
        <v>17</v>
      </c>
      <c r="D37" s="200" t="s">
        <v>65</v>
      </c>
      <c r="E37" s="210" t="s">
        <v>956</v>
      </c>
      <c r="F37" s="202" t="str">
        <f>VLOOKUP(D37,CSR!$D$4:$E$1180,2,FALSE)</f>
        <v>CSR_10800</v>
      </c>
      <c r="G37" s="203">
        <v>46115</v>
      </c>
      <c r="H37" s="204">
        <v>2</v>
      </c>
      <c r="I37" s="205">
        <f t="shared" si="0"/>
        <v>0.10526315789473684</v>
      </c>
      <c r="J37" s="206" t="s">
        <v>952</v>
      </c>
      <c r="K37" s="212"/>
    </row>
    <row r="38" spans="1:11" ht="32" customHeight="1">
      <c r="A38" s="198" t="s">
        <v>821</v>
      </c>
      <c r="B38" s="199" t="s">
        <v>615</v>
      </c>
      <c r="C38" s="199" t="s">
        <v>17</v>
      </c>
      <c r="D38" s="200" t="s">
        <v>65</v>
      </c>
      <c r="E38" s="210" t="s">
        <v>957</v>
      </c>
      <c r="F38" s="202" t="str">
        <f>VLOOKUP(D38,CSR!$D$4:$E$1180,2,FALSE)</f>
        <v>CSR_10800</v>
      </c>
      <c r="G38" s="203">
        <v>46122</v>
      </c>
      <c r="H38" s="204">
        <v>2</v>
      </c>
      <c r="I38" s="205">
        <f t="shared" si="0"/>
        <v>0.10526315789473684</v>
      </c>
      <c r="J38" s="206" t="s">
        <v>952</v>
      </c>
      <c r="K38" s="208"/>
    </row>
    <row r="39" spans="1:11" ht="32" customHeight="1">
      <c r="A39" s="198" t="s">
        <v>821</v>
      </c>
      <c r="B39" s="199" t="s">
        <v>615</v>
      </c>
      <c r="C39" s="199" t="s">
        <v>17</v>
      </c>
      <c r="D39" s="200" t="s">
        <v>65</v>
      </c>
      <c r="E39" s="210" t="s">
        <v>958</v>
      </c>
      <c r="F39" s="202" t="str">
        <f>VLOOKUP(D39,CSR!$D$4:$E$1180,2,FALSE)</f>
        <v>CSR_10800</v>
      </c>
      <c r="G39" s="203">
        <v>46122</v>
      </c>
      <c r="H39" s="204">
        <v>3</v>
      </c>
      <c r="I39" s="205">
        <f t="shared" si="0"/>
        <v>0.15789473684210525</v>
      </c>
      <c r="J39" s="206" t="s">
        <v>952</v>
      </c>
      <c r="K39" s="204"/>
    </row>
    <row r="40" spans="1:11" ht="32" customHeight="1">
      <c r="A40" s="198" t="s">
        <v>821</v>
      </c>
      <c r="B40" s="199" t="s">
        <v>615</v>
      </c>
      <c r="C40" s="199" t="s">
        <v>17</v>
      </c>
      <c r="D40" s="200" t="s">
        <v>65</v>
      </c>
      <c r="E40" s="210" t="s">
        <v>957</v>
      </c>
      <c r="F40" s="202" t="str">
        <f>VLOOKUP(D40,CSR!$D$4:$E$1180,2,FALSE)</f>
        <v>CSR_10800</v>
      </c>
      <c r="G40" s="203">
        <v>46132</v>
      </c>
      <c r="H40" s="204">
        <v>2</v>
      </c>
      <c r="I40" s="205">
        <f t="shared" si="0"/>
        <v>0.10526315789473684</v>
      </c>
      <c r="J40" s="206" t="s">
        <v>952</v>
      </c>
      <c r="K40" s="204"/>
    </row>
    <row r="41" spans="1:11" ht="32" customHeight="1">
      <c r="A41" s="198" t="s">
        <v>821</v>
      </c>
      <c r="B41" s="199" t="s">
        <v>615</v>
      </c>
      <c r="C41" s="199" t="s">
        <v>17</v>
      </c>
      <c r="D41" s="200" t="s">
        <v>65</v>
      </c>
      <c r="E41" s="210" t="s">
        <v>958</v>
      </c>
      <c r="F41" s="202" t="str">
        <f>VLOOKUP(D41,CSR!$D$4:$E$1180,2,FALSE)</f>
        <v>CSR_10800</v>
      </c>
      <c r="G41" s="203">
        <v>46132</v>
      </c>
      <c r="H41" s="204">
        <v>2</v>
      </c>
      <c r="I41" s="205">
        <f t="shared" si="0"/>
        <v>0.10526315789473684</v>
      </c>
      <c r="J41" s="206" t="s">
        <v>952</v>
      </c>
      <c r="K41" s="204"/>
    </row>
    <row r="42" spans="1:11" ht="32" customHeight="1">
      <c r="A42" s="198" t="s">
        <v>915</v>
      </c>
      <c r="B42" s="199" t="s">
        <v>615</v>
      </c>
      <c r="C42" s="199" t="s">
        <v>17</v>
      </c>
      <c r="D42" s="200" t="s">
        <v>647</v>
      </c>
      <c r="E42" s="210" t="s">
        <v>959</v>
      </c>
      <c r="F42" s="202" t="str">
        <f>VLOOKUP(D42,CSR!$D$4:$E$1180,2,FALSE)</f>
        <v>CSR_11300</v>
      </c>
      <c r="G42" s="203">
        <v>46108</v>
      </c>
      <c r="H42" s="204">
        <v>3</v>
      </c>
      <c r="I42" s="205">
        <f t="shared" si="0"/>
        <v>0.15789473684210525</v>
      </c>
      <c r="J42" s="206" t="s">
        <v>960</v>
      </c>
      <c r="K42" s="204"/>
    </row>
    <row r="43" spans="1:11" ht="32" customHeight="1">
      <c r="A43" s="198" t="s">
        <v>915</v>
      </c>
      <c r="B43" s="199" t="s">
        <v>615</v>
      </c>
      <c r="C43" s="199" t="s">
        <v>17</v>
      </c>
      <c r="D43" s="200" t="s">
        <v>918</v>
      </c>
      <c r="E43" s="210" t="s">
        <v>961</v>
      </c>
      <c r="F43" s="202" t="str">
        <f>VLOOKUP(D43,CSR!$D$4:$E$1180,2,FALSE)</f>
        <v>CSR_11315</v>
      </c>
      <c r="G43" s="203">
        <v>46108</v>
      </c>
      <c r="H43" s="204">
        <v>2</v>
      </c>
      <c r="I43" s="205">
        <f t="shared" si="0"/>
        <v>0.10526315789473684</v>
      </c>
      <c r="J43" s="206" t="s">
        <v>960</v>
      </c>
      <c r="K43" s="204"/>
    </row>
    <row r="44" spans="1:11" ht="32" customHeight="1">
      <c r="A44" s="198" t="s">
        <v>821</v>
      </c>
      <c r="B44" s="199" t="s">
        <v>615</v>
      </c>
      <c r="C44" s="199" t="s">
        <v>17</v>
      </c>
      <c r="D44" s="200" t="s">
        <v>647</v>
      </c>
      <c r="E44" s="210" t="s">
        <v>962</v>
      </c>
      <c r="F44" s="202" t="str">
        <f>VLOOKUP(D44,CSR!$D$4:$E$1180,2,FALSE)</f>
        <v>CSR_11300</v>
      </c>
      <c r="G44" s="203">
        <v>46115</v>
      </c>
      <c r="H44" s="204">
        <v>3</v>
      </c>
      <c r="I44" s="205">
        <f t="shared" si="0"/>
        <v>0.15789473684210525</v>
      </c>
      <c r="J44" s="206" t="s">
        <v>960</v>
      </c>
      <c r="K44" s="204"/>
    </row>
    <row r="45" spans="1:11" ht="32" customHeight="1">
      <c r="A45" s="198" t="s">
        <v>821</v>
      </c>
      <c r="B45" s="199" t="s">
        <v>615</v>
      </c>
      <c r="C45" s="199" t="s">
        <v>17</v>
      </c>
      <c r="D45" s="200" t="s">
        <v>717</v>
      </c>
      <c r="E45" s="210" t="s">
        <v>963</v>
      </c>
      <c r="F45" s="202" t="str">
        <f>VLOOKUP(D45,CSR!$D$4:$E$1180,2,FALSE)</f>
        <v>CSR_11412</v>
      </c>
      <c r="G45" s="203">
        <v>46115</v>
      </c>
      <c r="H45" s="204">
        <v>2</v>
      </c>
      <c r="I45" s="205">
        <f t="shared" si="0"/>
        <v>0.10526315789473684</v>
      </c>
      <c r="J45" s="206" t="s">
        <v>960</v>
      </c>
      <c r="K45" s="204"/>
    </row>
    <row r="46" spans="1:11" ht="32" customHeight="1">
      <c r="A46" s="198" t="s">
        <v>821</v>
      </c>
      <c r="B46" s="199" t="s">
        <v>615</v>
      </c>
      <c r="C46" s="199" t="s">
        <v>17</v>
      </c>
      <c r="D46" s="200" t="s">
        <v>717</v>
      </c>
      <c r="E46" s="210" t="s">
        <v>964</v>
      </c>
      <c r="F46" s="202" t="str">
        <f>VLOOKUP(D46,CSR!$D$4:$E$1180,2,FALSE)</f>
        <v>CSR_11412</v>
      </c>
      <c r="G46" s="203">
        <v>46122</v>
      </c>
      <c r="H46" s="204">
        <v>2</v>
      </c>
      <c r="I46" s="205">
        <f t="shared" si="0"/>
        <v>0.10526315789473684</v>
      </c>
      <c r="J46" s="206" t="s">
        <v>960</v>
      </c>
      <c r="K46" s="204"/>
    </row>
    <row r="47" spans="1:11" ht="32" customHeight="1">
      <c r="A47" s="198" t="s">
        <v>821</v>
      </c>
      <c r="B47" s="199" t="s">
        <v>615</v>
      </c>
      <c r="C47" s="199" t="s">
        <v>17</v>
      </c>
      <c r="D47" s="200" t="s">
        <v>647</v>
      </c>
      <c r="E47" s="210" t="s">
        <v>965</v>
      </c>
      <c r="F47" s="202" t="str">
        <f>VLOOKUP(D47,CSR!$D$4:$E$1180,2,FALSE)</f>
        <v>CSR_11300</v>
      </c>
      <c r="G47" s="203">
        <v>46122</v>
      </c>
      <c r="H47" s="204">
        <v>3</v>
      </c>
      <c r="I47" s="205">
        <f t="shared" si="0"/>
        <v>0.15789473684210525</v>
      </c>
      <c r="J47" s="206" t="s">
        <v>960</v>
      </c>
      <c r="K47" s="204"/>
    </row>
    <row r="48" spans="1:11" ht="32" customHeight="1">
      <c r="A48" s="198" t="s">
        <v>821</v>
      </c>
      <c r="B48" s="199" t="s">
        <v>615</v>
      </c>
      <c r="C48" s="199" t="s">
        <v>17</v>
      </c>
      <c r="D48" s="200" t="s">
        <v>717</v>
      </c>
      <c r="E48" s="210" t="s">
        <v>966</v>
      </c>
      <c r="F48" s="202" t="str">
        <f>VLOOKUP(D48,CSR!$D$4:$E$1180,2,FALSE)</f>
        <v>CSR_11412</v>
      </c>
      <c r="G48" s="203">
        <v>46132</v>
      </c>
      <c r="H48" s="204">
        <v>2</v>
      </c>
      <c r="I48" s="205">
        <f t="shared" si="0"/>
        <v>0.10526315789473684</v>
      </c>
      <c r="J48" s="206" t="s">
        <v>960</v>
      </c>
      <c r="K48" s="204"/>
    </row>
    <row r="49" spans="1:11" ht="32" customHeight="1">
      <c r="A49" s="198" t="s">
        <v>821</v>
      </c>
      <c r="B49" s="199" t="s">
        <v>615</v>
      </c>
      <c r="C49" s="199" t="s">
        <v>17</v>
      </c>
      <c r="D49" s="200" t="s">
        <v>647</v>
      </c>
      <c r="E49" s="210" t="s">
        <v>967</v>
      </c>
      <c r="F49" s="202" t="str">
        <f>VLOOKUP(D49,CSR!$D$4:$E$1180,2,FALSE)</f>
        <v>CSR_11300</v>
      </c>
      <c r="G49" s="203">
        <v>46132</v>
      </c>
      <c r="H49" s="204">
        <v>2</v>
      </c>
      <c r="I49" s="205">
        <f t="shared" si="0"/>
        <v>0.10526315789473684</v>
      </c>
      <c r="J49" s="206" t="s">
        <v>960</v>
      </c>
      <c r="K49" s="204"/>
    </row>
    <row r="50" spans="1:11" ht="32" customHeight="1">
      <c r="A50" s="198" t="s">
        <v>915</v>
      </c>
      <c r="B50" s="199" t="s">
        <v>615</v>
      </c>
      <c r="C50" s="199" t="s">
        <v>17</v>
      </c>
      <c r="D50" s="200" t="s">
        <v>647</v>
      </c>
      <c r="E50" s="210" t="s">
        <v>968</v>
      </c>
      <c r="F50" s="202" t="str">
        <f>VLOOKUP(D50,CSR!$D$4:$E$1180,2,FALSE)</f>
        <v>CSR_11300</v>
      </c>
      <c r="G50" s="203">
        <v>46108</v>
      </c>
      <c r="H50" s="204">
        <v>3</v>
      </c>
      <c r="I50" s="205">
        <f t="shared" si="0"/>
        <v>0.15789473684210525</v>
      </c>
      <c r="J50" s="206" t="s">
        <v>969</v>
      </c>
      <c r="K50" s="204"/>
    </row>
    <row r="51" spans="1:11" ht="32" customHeight="1">
      <c r="A51" s="198" t="s">
        <v>915</v>
      </c>
      <c r="B51" s="199" t="s">
        <v>615</v>
      </c>
      <c r="C51" s="199" t="s">
        <v>17</v>
      </c>
      <c r="D51" s="200" t="s">
        <v>647</v>
      </c>
      <c r="E51" s="210" t="s">
        <v>970</v>
      </c>
      <c r="F51" s="202" t="str">
        <f>VLOOKUP(D51,CSR!$D$4:$E$1180,2,FALSE)</f>
        <v>CSR_11300</v>
      </c>
      <c r="G51" s="203">
        <v>46108</v>
      </c>
      <c r="H51" s="204">
        <v>2</v>
      </c>
      <c r="I51" s="205">
        <f t="shared" si="0"/>
        <v>0.10526315789473684</v>
      </c>
      <c r="J51" s="206" t="s">
        <v>969</v>
      </c>
      <c r="K51" s="204"/>
    </row>
    <row r="52" spans="1:11" ht="32" customHeight="1">
      <c r="A52" s="198" t="s">
        <v>821</v>
      </c>
      <c r="B52" s="199" t="s">
        <v>615</v>
      </c>
      <c r="C52" s="199" t="s">
        <v>17</v>
      </c>
      <c r="D52" s="200" t="s">
        <v>647</v>
      </c>
      <c r="E52" s="210" t="s">
        <v>971</v>
      </c>
      <c r="F52" s="202" t="str">
        <f>VLOOKUP(D52,CSR!$D$4:$E$1180,2,FALSE)</f>
        <v>CSR_11300</v>
      </c>
      <c r="G52" s="203">
        <v>46115</v>
      </c>
      <c r="H52" s="204">
        <v>3</v>
      </c>
      <c r="I52" s="205">
        <f t="shared" si="0"/>
        <v>0.15789473684210525</v>
      </c>
      <c r="J52" s="206" t="s">
        <v>969</v>
      </c>
      <c r="K52" s="204"/>
    </row>
    <row r="53" spans="1:11" ht="32" customHeight="1">
      <c r="A53" s="198" t="s">
        <v>821</v>
      </c>
      <c r="B53" s="199" t="s">
        <v>615</v>
      </c>
      <c r="C53" s="199" t="s">
        <v>17</v>
      </c>
      <c r="D53" s="200" t="s">
        <v>647</v>
      </c>
      <c r="E53" s="210" t="s">
        <v>972</v>
      </c>
      <c r="F53" s="202" t="str">
        <f>VLOOKUP(D53,CSR!$D$4:$E$1180,2,FALSE)</f>
        <v>CSR_11300</v>
      </c>
      <c r="G53" s="203">
        <v>46115</v>
      </c>
      <c r="H53" s="204">
        <v>2</v>
      </c>
      <c r="I53" s="205">
        <f t="shared" si="0"/>
        <v>0.10526315789473684</v>
      </c>
      <c r="J53" s="206" t="s">
        <v>969</v>
      </c>
      <c r="K53" s="218"/>
    </row>
    <row r="54" spans="1:11" ht="32" customHeight="1">
      <c r="A54" s="198" t="s">
        <v>821</v>
      </c>
      <c r="B54" s="199" t="s">
        <v>615</v>
      </c>
      <c r="C54" s="199" t="s">
        <v>17</v>
      </c>
      <c r="D54" s="200" t="s">
        <v>647</v>
      </c>
      <c r="E54" s="210" t="s">
        <v>973</v>
      </c>
      <c r="F54" s="202" t="str">
        <f>VLOOKUP(D54,CSR!$D$4:$E$1180,2,FALSE)</f>
        <v>CSR_11300</v>
      </c>
      <c r="G54" s="203">
        <v>46122</v>
      </c>
      <c r="H54" s="204">
        <v>3</v>
      </c>
      <c r="I54" s="205">
        <f t="shared" si="0"/>
        <v>0.15789473684210525</v>
      </c>
      <c r="J54" s="206" t="s">
        <v>969</v>
      </c>
      <c r="K54" s="204"/>
    </row>
    <row r="55" spans="1:11" ht="32" customHeight="1">
      <c r="A55" s="198" t="s">
        <v>821</v>
      </c>
      <c r="B55" s="199" t="s">
        <v>615</v>
      </c>
      <c r="C55" s="199" t="s">
        <v>17</v>
      </c>
      <c r="D55" s="200" t="s">
        <v>647</v>
      </c>
      <c r="E55" s="210" t="s">
        <v>974</v>
      </c>
      <c r="F55" s="202" t="str">
        <f>VLOOKUP(D55,CSR!$D$4:$E$1180,2,FALSE)</f>
        <v>CSR_11300</v>
      </c>
      <c r="G55" s="203">
        <v>46122</v>
      </c>
      <c r="H55" s="204">
        <v>2</v>
      </c>
      <c r="I55" s="205">
        <f t="shared" si="0"/>
        <v>0.10526315789473684</v>
      </c>
      <c r="J55" s="206" t="s">
        <v>969</v>
      </c>
      <c r="K55" s="204"/>
    </row>
    <row r="56" spans="1:11" ht="32" customHeight="1">
      <c r="A56" s="198" t="s">
        <v>821</v>
      </c>
      <c r="B56" s="220" t="s">
        <v>16</v>
      </c>
      <c r="C56" s="220" t="s">
        <v>17</v>
      </c>
      <c r="D56" s="209" t="s">
        <v>18</v>
      </c>
      <c r="E56" s="210" t="s">
        <v>975</v>
      </c>
      <c r="F56" s="202" t="str">
        <f>VLOOKUP(D56,CSR!$D$4:$E$1180,2,FALSE)</f>
        <v>CSR_11300</v>
      </c>
      <c r="G56" s="203">
        <v>46132</v>
      </c>
      <c r="H56" s="204">
        <v>2</v>
      </c>
      <c r="I56" s="205">
        <f t="shared" si="0"/>
        <v>0.10526315789473684</v>
      </c>
      <c r="J56" s="206" t="s">
        <v>969</v>
      </c>
      <c r="K56" s="204"/>
    </row>
    <row r="57" spans="1:11" ht="32" customHeight="1">
      <c r="A57" s="198" t="s">
        <v>821</v>
      </c>
      <c r="B57" s="220" t="s">
        <v>16</v>
      </c>
      <c r="C57" s="220" t="s">
        <v>17</v>
      </c>
      <c r="D57" s="207" t="s">
        <v>176</v>
      </c>
      <c r="E57" s="210" t="s">
        <v>976</v>
      </c>
      <c r="F57" s="202" t="str">
        <f>VLOOKUP(D57,CSR!$D$4:$E$1180,2,FALSE)</f>
        <v>CSR_40700</v>
      </c>
      <c r="G57" s="203">
        <v>46132</v>
      </c>
      <c r="H57" s="204">
        <v>2</v>
      </c>
      <c r="I57" s="205">
        <f t="shared" si="0"/>
        <v>0.10526315789473684</v>
      </c>
      <c r="J57" s="206" t="s">
        <v>969</v>
      </c>
      <c r="K57" s="204"/>
    </row>
    <row r="58" spans="1:11" ht="32" customHeight="1">
      <c r="A58" s="198" t="s">
        <v>915</v>
      </c>
      <c r="B58" s="199" t="s">
        <v>615</v>
      </c>
      <c r="C58" s="199" t="s">
        <v>17</v>
      </c>
      <c r="D58" s="200" t="s">
        <v>647</v>
      </c>
      <c r="E58" s="210" t="s">
        <v>977</v>
      </c>
      <c r="F58" s="202" t="str">
        <f>VLOOKUP(D58,CSR!$D$4:$E$1180,2,FALSE)</f>
        <v>CSR_11300</v>
      </c>
      <c r="G58" s="203">
        <v>46108</v>
      </c>
      <c r="H58" s="204">
        <v>3</v>
      </c>
      <c r="I58" s="205">
        <f t="shared" si="0"/>
        <v>0.15789473684210525</v>
      </c>
      <c r="J58" s="206" t="s">
        <v>978</v>
      </c>
      <c r="K58" s="204"/>
    </row>
    <row r="59" spans="1:11" ht="32" customHeight="1">
      <c r="A59" s="198" t="s">
        <v>915</v>
      </c>
      <c r="B59" s="199" t="s">
        <v>615</v>
      </c>
      <c r="C59" s="199" t="s">
        <v>17</v>
      </c>
      <c r="D59" s="200" t="s">
        <v>647</v>
      </c>
      <c r="E59" s="210" t="s">
        <v>979</v>
      </c>
      <c r="F59" s="202" t="str">
        <f>VLOOKUP(D59,CSR!$D$4:$E$1180,2,FALSE)</f>
        <v>CSR_11300</v>
      </c>
      <c r="G59" s="203">
        <v>46108</v>
      </c>
      <c r="H59" s="204">
        <v>2</v>
      </c>
      <c r="I59" s="205">
        <f t="shared" si="0"/>
        <v>0.10526315789473684</v>
      </c>
      <c r="J59" s="206" t="s">
        <v>978</v>
      </c>
      <c r="K59" s="212"/>
    </row>
    <row r="60" spans="1:11" ht="32" customHeight="1">
      <c r="A60" s="198" t="s">
        <v>821</v>
      </c>
      <c r="B60" s="199" t="s">
        <v>615</v>
      </c>
      <c r="C60" s="199" t="s">
        <v>17</v>
      </c>
      <c r="D60" s="200" t="s">
        <v>131</v>
      </c>
      <c r="E60" s="210" t="s">
        <v>980</v>
      </c>
      <c r="F60" s="202" t="str">
        <f>VLOOKUP(D60,CSR!$D$4:$E$1180,2,FALSE)</f>
        <v>CSR_10400</v>
      </c>
      <c r="G60" s="203">
        <v>46115</v>
      </c>
      <c r="H60" s="204">
        <v>3</v>
      </c>
      <c r="I60" s="205">
        <f t="shared" si="0"/>
        <v>0.15789473684210525</v>
      </c>
      <c r="J60" s="206" t="s">
        <v>978</v>
      </c>
      <c r="K60" s="204"/>
    </row>
    <row r="61" spans="1:11" ht="32" customHeight="1">
      <c r="A61" s="198" t="s">
        <v>821</v>
      </c>
      <c r="B61" s="199" t="s">
        <v>615</v>
      </c>
      <c r="C61" s="199" t="s">
        <v>17</v>
      </c>
      <c r="D61" s="200" t="s">
        <v>131</v>
      </c>
      <c r="E61" s="210" t="s">
        <v>981</v>
      </c>
      <c r="F61" s="202" t="str">
        <f>VLOOKUP(D61,CSR!$D$4:$E$1180,2,FALSE)</f>
        <v>CSR_10400</v>
      </c>
      <c r="G61" s="203">
        <v>46115</v>
      </c>
      <c r="H61" s="204">
        <v>2</v>
      </c>
      <c r="I61" s="205">
        <f t="shared" si="0"/>
        <v>0.10526315789473684</v>
      </c>
      <c r="J61" s="206" t="s">
        <v>978</v>
      </c>
      <c r="K61" s="204"/>
    </row>
    <row r="62" spans="1:11" ht="32" customHeight="1">
      <c r="A62" s="198" t="s">
        <v>821</v>
      </c>
      <c r="B62" s="199" t="s">
        <v>615</v>
      </c>
      <c r="C62" s="199" t="s">
        <v>17</v>
      </c>
      <c r="D62" s="200" t="s">
        <v>131</v>
      </c>
      <c r="E62" s="210" t="s">
        <v>982</v>
      </c>
      <c r="F62" s="202" t="str">
        <f>VLOOKUP(D62,CSR!$D$4:$E$1180,2,FALSE)</f>
        <v>CSR_10400</v>
      </c>
      <c r="G62" s="203">
        <v>46122</v>
      </c>
      <c r="H62" s="204">
        <v>3</v>
      </c>
      <c r="I62" s="205">
        <f t="shared" si="0"/>
        <v>0.15789473684210525</v>
      </c>
      <c r="J62" s="206" t="s">
        <v>978</v>
      </c>
      <c r="K62" s="204"/>
    </row>
    <row r="63" spans="1:11" ht="32" customHeight="1">
      <c r="A63" s="198" t="s">
        <v>821</v>
      </c>
      <c r="B63" s="199" t="s">
        <v>615</v>
      </c>
      <c r="C63" s="199" t="s">
        <v>17</v>
      </c>
      <c r="D63" s="200" t="s">
        <v>131</v>
      </c>
      <c r="E63" s="210" t="s">
        <v>983</v>
      </c>
      <c r="F63" s="202" t="str">
        <f>VLOOKUP(D63,CSR!$D$4:$E$1180,2,FALSE)</f>
        <v>CSR_10400</v>
      </c>
      <c r="G63" s="203">
        <v>46122</v>
      </c>
      <c r="H63" s="204">
        <v>2</v>
      </c>
      <c r="I63" s="205">
        <f t="shared" si="0"/>
        <v>0.10526315789473684</v>
      </c>
      <c r="J63" s="206" t="s">
        <v>978</v>
      </c>
      <c r="K63" s="204"/>
    </row>
    <row r="64" spans="1:11" ht="32" customHeight="1">
      <c r="A64" s="198" t="s">
        <v>821</v>
      </c>
      <c r="B64" s="199" t="s">
        <v>615</v>
      </c>
      <c r="C64" s="199" t="s">
        <v>17</v>
      </c>
      <c r="D64" s="200" t="s">
        <v>131</v>
      </c>
      <c r="E64" s="210" t="s">
        <v>984</v>
      </c>
      <c r="F64" s="202" t="str">
        <f>VLOOKUP(D64,CSR!$D$4:$E$1180,2,FALSE)</f>
        <v>CSR_10400</v>
      </c>
      <c r="G64" s="203">
        <v>46132</v>
      </c>
      <c r="H64" s="204">
        <v>2</v>
      </c>
      <c r="I64" s="205">
        <f t="shared" si="0"/>
        <v>0.10526315789473684</v>
      </c>
      <c r="J64" s="206" t="s">
        <v>978</v>
      </c>
      <c r="K64" s="204"/>
    </row>
    <row r="65" spans="1:11" ht="32" customHeight="1">
      <c r="A65" s="198" t="s">
        <v>821</v>
      </c>
      <c r="B65" s="199" t="s">
        <v>615</v>
      </c>
      <c r="C65" s="199" t="s">
        <v>17</v>
      </c>
      <c r="D65" s="200" t="s">
        <v>131</v>
      </c>
      <c r="E65" s="210" t="s">
        <v>983</v>
      </c>
      <c r="F65" s="202" t="str">
        <f>VLOOKUP(D65,CSR!$D$4:$E$1180,2,FALSE)</f>
        <v>CSR_10400</v>
      </c>
      <c r="G65" s="203">
        <v>46132</v>
      </c>
      <c r="H65" s="204">
        <v>2</v>
      </c>
      <c r="I65" s="205">
        <f t="shared" si="0"/>
        <v>0.10526315789473684</v>
      </c>
      <c r="J65" s="206" t="s">
        <v>978</v>
      </c>
      <c r="K65" s="204"/>
    </row>
    <row r="66" spans="1:11" ht="32" customHeight="1">
      <c r="A66" s="198" t="s">
        <v>915</v>
      </c>
      <c r="B66" s="199" t="s">
        <v>615</v>
      </c>
      <c r="C66" s="199" t="s">
        <v>17</v>
      </c>
      <c r="D66" s="200" t="s">
        <v>647</v>
      </c>
      <c r="E66" s="210" t="s">
        <v>985</v>
      </c>
      <c r="F66" s="202" t="str">
        <f>VLOOKUP(D66,CSR!$D$4:$E$1180,2,FALSE)</f>
        <v>CSR_11300</v>
      </c>
      <c r="G66" s="203">
        <v>46108</v>
      </c>
      <c r="H66" s="204">
        <v>3</v>
      </c>
      <c r="I66" s="205">
        <f t="shared" ref="I66:I86" si="1">H66*10/190</f>
        <v>0.15789473684210525</v>
      </c>
      <c r="J66" s="206" t="s">
        <v>986</v>
      </c>
      <c r="K66" s="212"/>
    </row>
    <row r="67" spans="1:11" ht="32" customHeight="1">
      <c r="A67" s="198" t="s">
        <v>915</v>
      </c>
      <c r="B67" s="199" t="s">
        <v>615</v>
      </c>
      <c r="C67" s="199" t="s">
        <v>17</v>
      </c>
      <c r="D67" s="200" t="s">
        <v>953</v>
      </c>
      <c r="E67" s="210" t="s">
        <v>987</v>
      </c>
      <c r="F67" s="202" t="str">
        <f>VLOOKUP(D67,CSR!$D$4:$E$1180,2,FALSE)</f>
        <v>CSR_11305</v>
      </c>
      <c r="G67" s="203">
        <v>46108</v>
      </c>
      <c r="H67" s="204">
        <v>2</v>
      </c>
      <c r="I67" s="205">
        <f t="shared" si="1"/>
        <v>0.10526315789473684</v>
      </c>
      <c r="J67" s="206" t="s">
        <v>986</v>
      </c>
      <c r="K67" s="212"/>
    </row>
    <row r="68" spans="1:11" ht="32" customHeight="1">
      <c r="A68" s="198" t="s">
        <v>821</v>
      </c>
      <c r="B68" s="199" t="s">
        <v>615</v>
      </c>
      <c r="C68" s="199" t="s">
        <v>17</v>
      </c>
      <c r="D68" s="200" t="s">
        <v>131</v>
      </c>
      <c r="E68" s="210" t="s">
        <v>988</v>
      </c>
      <c r="F68" s="202" t="str">
        <f>VLOOKUP(D68,CSR!$D$4:$E$1180,2,FALSE)</f>
        <v>CSR_10400</v>
      </c>
      <c r="G68" s="203">
        <v>46115</v>
      </c>
      <c r="H68" s="204">
        <v>3</v>
      </c>
      <c r="I68" s="205">
        <f t="shared" si="1"/>
        <v>0.15789473684210525</v>
      </c>
      <c r="J68" s="206" t="s">
        <v>986</v>
      </c>
      <c r="K68" s="204"/>
    </row>
    <row r="69" spans="1:11" ht="32" customHeight="1">
      <c r="A69" s="198" t="s">
        <v>821</v>
      </c>
      <c r="B69" s="199" t="s">
        <v>615</v>
      </c>
      <c r="C69" s="199" t="s">
        <v>17</v>
      </c>
      <c r="D69" s="200" t="s">
        <v>647</v>
      </c>
      <c r="E69" s="210" t="s">
        <v>989</v>
      </c>
      <c r="F69" s="202" t="str">
        <f>VLOOKUP(D69,CSR!$D$4:$E$1180,2,FALSE)</f>
        <v>CSR_11300</v>
      </c>
      <c r="G69" s="203">
        <v>46115</v>
      </c>
      <c r="H69" s="204">
        <v>2</v>
      </c>
      <c r="I69" s="205">
        <f t="shared" si="1"/>
        <v>0.10526315789473684</v>
      </c>
      <c r="J69" s="206" t="s">
        <v>986</v>
      </c>
      <c r="K69" s="204"/>
    </row>
    <row r="70" spans="1:11" ht="32" customHeight="1">
      <c r="A70" s="198" t="s">
        <v>821</v>
      </c>
      <c r="B70" s="199" t="s">
        <v>615</v>
      </c>
      <c r="C70" s="199" t="s">
        <v>17</v>
      </c>
      <c r="D70" s="200" t="s">
        <v>131</v>
      </c>
      <c r="E70" s="210" t="s">
        <v>990</v>
      </c>
      <c r="F70" s="202" t="str">
        <f>VLOOKUP(D70,CSR!$D$4:$E$1180,2,FALSE)</f>
        <v>CSR_10400</v>
      </c>
      <c r="G70" s="203">
        <v>46122</v>
      </c>
      <c r="H70" s="204">
        <v>3</v>
      </c>
      <c r="I70" s="205">
        <f t="shared" si="1"/>
        <v>0.15789473684210525</v>
      </c>
      <c r="J70" s="206" t="s">
        <v>986</v>
      </c>
      <c r="K70" s="204"/>
    </row>
    <row r="71" spans="1:11" ht="32" customHeight="1">
      <c r="A71" s="198" t="s">
        <v>821</v>
      </c>
      <c r="B71" s="199" t="s">
        <v>615</v>
      </c>
      <c r="C71" s="199" t="s">
        <v>17</v>
      </c>
      <c r="D71" s="200" t="s">
        <v>131</v>
      </c>
      <c r="E71" s="210" t="s">
        <v>991</v>
      </c>
      <c r="F71" s="202" t="str">
        <f>VLOOKUP(D71,CSR!$D$4:$E$1180,2,FALSE)</f>
        <v>CSR_10400</v>
      </c>
      <c r="G71" s="203">
        <v>46122</v>
      </c>
      <c r="H71" s="204">
        <v>2</v>
      </c>
      <c r="I71" s="205">
        <f t="shared" si="1"/>
        <v>0.10526315789473684</v>
      </c>
      <c r="J71" s="206" t="s">
        <v>986</v>
      </c>
      <c r="K71" s="204"/>
    </row>
    <row r="72" spans="1:11" ht="32" customHeight="1">
      <c r="A72" s="198" t="s">
        <v>821</v>
      </c>
      <c r="B72" s="199" t="s">
        <v>615</v>
      </c>
      <c r="C72" s="199" t="s">
        <v>17</v>
      </c>
      <c r="D72" s="200" t="s">
        <v>131</v>
      </c>
      <c r="E72" s="210" t="s">
        <v>992</v>
      </c>
      <c r="F72" s="202" t="str">
        <f>VLOOKUP(D72,CSR!$D$4:$E$1180,2,FALSE)</f>
        <v>CSR_10400</v>
      </c>
      <c r="G72" s="203">
        <v>46132</v>
      </c>
      <c r="H72" s="204">
        <v>2</v>
      </c>
      <c r="I72" s="205">
        <f t="shared" si="1"/>
        <v>0.10526315789473684</v>
      </c>
      <c r="J72" s="206" t="s">
        <v>986</v>
      </c>
      <c r="K72" s="204"/>
    </row>
    <row r="73" spans="1:11" ht="32" customHeight="1">
      <c r="A73" s="198" t="s">
        <v>821</v>
      </c>
      <c r="B73" s="199" t="s">
        <v>615</v>
      </c>
      <c r="C73" s="199" t="s">
        <v>17</v>
      </c>
      <c r="D73" s="200" t="s">
        <v>953</v>
      </c>
      <c r="E73" s="210" t="s">
        <v>993</v>
      </c>
      <c r="F73" s="202" t="str">
        <f>VLOOKUP(D73,CSR!$D$4:$E$1180,2,FALSE)</f>
        <v>CSR_11305</v>
      </c>
      <c r="G73" s="203">
        <v>46132</v>
      </c>
      <c r="H73" s="204">
        <v>2</v>
      </c>
      <c r="I73" s="205">
        <f t="shared" si="1"/>
        <v>0.10526315789473684</v>
      </c>
      <c r="J73" s="206" t="s">
        <v>986</v>
      </c>
      <c r="K73" s="204"/>
    </row>
    <row r="74" spans="1:11" ht="32" customHeight="1">
      <c r="A74" s="198" t="s">
        <v>821</v>
      </c>
      <c r="B74" s="199" t="s">
        <v>758</v>
      </c>
      <c r="C74" s="199" t="s">
        <v>759</v>
      </c>
      <c r="D74" s="200" t="s">
        <v>97</v>
      </c>
      <c r="E74" s="201" t="s">
        <v>823</v>
      </c>
      <c r="F74" s="202" t="str">
        <f>VLOOKUP(D74,CSR!$D$4:$E$1180,2,FALSE)</f>
        <v>CSR_30300</v>
      </c>
      <c r="G74" s="203" t="s">
        <v>994</v>
      </c>
      <c r="H74" s="208">
        <v>2</v>
      </c>
      <c r="I74" s="205">
        <f t="shared" si="1"/>
        <v>0.10526315789473684</v>
      </c>
      <c r="J74" s="206" t="s">
        <v>824</v>
      </c>
      <c r="K74" s="204"/>
    </row>
    <row r="75" spans="1:11" ht="32" customHeight="1">
      <c r="A75" s="198" t="s">
        <v>821</v>
      </c>
      <c r="B75" s="199" t="s">
        <v>758</v>
      </c>
      <c r="C75" s="199" t="s">
        <v>759</v>
      </c>
      <c r="D75" s="200" t="s">
        <v>97</v>
      </c>
      <c r="E75" s="201" t="s">
        <v>823</v>
      </c>
      <c r="F75" s="202" t="str">
        <f>VLOOKUP(D75,CSR!$D$4:$E$1180,2,FALSE)</f>
        <v>CSR_30300</v>
      </c>
      <c r="G75" s="203" t="s">
        <v>994</v>
      </c>
      <c r="H75" s="208">
        <v>2</v>
      </c>
      <c r="I75" s="205">
        <f t="shared" si="1"/>
        <v>0.10526315789473684</v>
      </c>
      <c r="J75" s="206" t="s">
        <v>101</v>
      </c>
      <c r="K75" s="204"/>
    </row>
    <row r="76" spans="1:11" ht="32" customHeight="1">
      <c r="A76" s="198" t="s">
        <v>821</v>
      </c>
      <c r="B76" s="199" t="s">
        <v>758</v>
      </c>
      <c r="C76" s="199" t="s">
        <v>759</v>
      </c>
      <c r="D76" s="200" t="s">
        <v>97</v>
      </c>
      <c r="E76" s="201" t="s">
        <v>823</v>
      </c>
      <c r="F76" s="202" t="str">
        <f>VLOOKUP(D76,CSR!$D$4:$E$1180,2,FALSE)</f>
        <v>CSR_30300</v>
      </c>
      <c r="G76" s="203" t="s">
        <v>994</v>
      </c>
      <c r="H76" s="208">
        <v>2</v>
      </c>
      <c r="I76" s="205">
        <f t="shared" si="1"/>
        <v>0.10526315789473684</v>
      </c>
      <c r="J76" s="206" t="s">
        <v>102</v>
      </c>
      <c r="K76" s="204"/>
    </row>
    <row r="77" spans="1:11" ht="32" customHeight="1">
      <c r="A77" s="216" t="s">
        <v>915</v>
      </c>
      <c r="B77" s="213" t="s">
        <v>615</v>
      </c>
      <c r="C77" s="213" t="s">
        <v>616</v>
      </c>
      <c r="D77" s="207" t="s">
        <v>717</v>
      </c>
      <c r="E77" s="210" t="s">
        <v>995</v>
      </c>
      <c r="F77" s="202" t="str">
        <f>VLOOKUP(D77,CSR!$D$4:$E$1180,2,FALSE)</f>
        <v>CSR_11412</v>
      </c>
      <c r="G77" s="225" t="s">
        <v>996</v>
      </c>
      <c r="H77" s="212">
        <v>4</v>
      </c>
      <c r="I77" s="205">
        <f t="shared" si="1"/>
        <v>0.21052631578947367</v>
      </c>
      <c r="J77" s="206" t="s">
        <v>827</v>
      </c>
      <c r="K77" s="204"/>
    </row>
    <row r="78" spans="1:11" ht="32" customHeight="1">
      <c r="A78" s="216" t="s">
        <v>821</v>
      </c>
      <c r="B78" s="213" t="s">
        <v>615</v>
      </c>
      <c r="C78" s="213" t="s">
        <v>616</v>
      </c>
      <c r="D78" s="207" t="s">
        <v>717</v>
      </c>
      <c r="E78" s="210" t="s">
        <v>997</v>
      </c>
      <c r="F78" s="202" t="str">
        <f>VLOOKUP(D78,CSR!$D$4:$E$1180,2,FALSE)</f>
        <v>CSR_11412</v>
      </c>
      <c r="G78" s="225" t="s">
        <v>998</v>
      </c>
      <c r="H78" s="212">
        <v>4</v>
      </c>
      <c r="I78" s="205">
        <f t="shared" si="1"/>
        <v>0.21052631578947367</v>
      </c>
      <c r="J78" s="206" t="s">
        <v>827</v>
      </c>
      <c r="K78" s="204"/>
    </row>
    <row r="79" spans="1:11" ht="32" customHeight="1">
      <c r="A79" s="216" t="s">
        <v>821</v>
      </c>
      <c r="B79" s="213" t="s">
        <v>615</v>
      </c>
      <c r="C79" s="213" t="s">
        <v>616</v>
      </c>
      <c r="D79" s="207" t="s">
        <v>717</v>
      </c>
      <c r="E79" s="210" t="s">
        <v>999</v>
      </c>
      <c r="F79" s="202" t="str">
        <f>VLOOKUP(D79,CSR!$D$4:$E$1180,2,FALSE)</f>
        <v>CSR_11412</v>
      </c>
      <c r="G79" s="225" t="s">
        <v>1000</v>
      </c>
      <c r="H79" s="212">
        <v>3</v>
      </c>
      <c r="I79" s="205">
        <f t="shared" si="1"/>
        <v>0.15789473684210525</v>
      </c>
      <c r="J79" s="206" t="s">
        <v>827</v>
      </c>
      <c r="K79" s="204"/>
    </row>
    <row r="80" spans="1:11" ht="32" customHeight="1">
      <c r="A80" s="216" t="s">
        <v>821</v>
      </c>
      <c r="B80" s="213" t="s">
        <v>615</v>
      </c>
      <c r="C80" s="213" t="s">
        <v>616</v>
      </c>
      <c r="D80" s="207" t="s">
        <v>717</v>
      </c>
      <c r="E80" s="210" t="s">
        <v>1001</v>
      </c>
      <c r="F80" s="202" t="str">
        <f>VLOOKUP(D80,CSR!$D$4:$E$1180,2,FALSE)</f>
        <v>CSR_11412</v>
      </c>
      <c r="G80" s="225" t="s">
        <v>1002</v>
      </c>
      <c r="H80" s="212">
        <v>1</v>
      </c>
      <c r="I80" s="205">
        <f t="shared" si="1"/>
        <v>5.2631578947368418E-2</v>
      </c>
      <c r="J80" s="206" t="s">
        <v>827</v>
      </c>
      <c r="K80" s="204"/>
    </row>
    <row r="81" spans="1:11" ht="32" customHeight="1">
      <c r="A81" s="216" t="s">
        <v>821</v>
      </c>
      <c r="B81" s="213" t="s">
        <v>615</v>
      </c>
      <c r="C81" s="213" t="s">
        <v>616</v>
      </c>
      <c r="D81" s="207" t="s">
        <v>690</v>
      </c>
      <c r="E81" s="210" t="s">
        <v>1003</v>
      </c>
      <c r="F81" s="202" t="str">
        <f>VLOOKUP(D81,CSR!$D$4:$E$1180,2,FALSE)</f>
        <v>CSR_11400</v>
      </c>
      <c r="G81" s="225" t="s">
        <v>1004</v>
      </c>
      <c r="H81" s="212">
        <v>4</v>
      </c>
      <c r="I81" s="205">
        <f t="shared" si="1"/>
        <v>0.21052631578947367</v>
      </c>
      <c r="J81" s="206" t="s">
        <v>827</v>
      </c>
      <c r="K81" s="204"/>
    </row>
    <row r="82" spans="1:11" ht="32" customHeight="1">
      <c r="A82" s="216" t="s">
        <v>821</v>
      </c>
      <c r="B82" s="213" t="s">
        <v>615</v>
      </c>
      <c r="C82" s="213" t="s">
        <v>616</v>
      </c>
      <c r="D82" s="207" t="s">
        <v>690</v>
      </c>
      <c r="E82" s="210" t="s">
        <v>1005</v>
      </c>
      <c r="F82" s="202" t="str">
        <f>VLOOKUP(D82,CSR!$D$4:$E$1180,2,FALSE)</f>
        <v>CSR_11400</v>
      </c>
      <c r="G82" s="225">
        <v>46132</v>
      </c>
      <c r="H82" s="212">
        <v>3</v>
      </c>
      <c r="I82" s="205">
        <f t="shared" si="1"/>
        <v>0.15789473684210525</v>
      </c>
      <c r="J82" s="206" t="s">
        <v>827</v>
      </c>
      <c r="K82" s="204"/>
    </row>
    <row r="83" spans="1:11" ht="32" customHeight="1">
      <c r="A83" s="198" t="s">
        <v>915</v>
      </c>
      <c r="B83" s="199" t="s">
        <v>16</v>
      </c>
      <c r="C83" s="199" t="s">
        <v>17</v>
      </c>
      <c r="D83" s="208" t="s">
        <v>717</v>
      </c>
      <c r="E83" s="201" t="s">
        <v>1006</v>
      </c>
      <c r="F83" s="202" t="str">
        <f>VLOOKUP(D83,CSR!$D$4:$E$1180,2,FALSE)</f>
        <v>CSR_11412</v>
      </c>
      <c r="G83" s="203" t="s">
        <v>996</v>
      </c>
      <c r="H83" s="204">
        <v>4</v>
      </c>
      <c r="I83" s="205">
        <f t="shared" si="1"/>
        <v>0.21052631578947367</v>
      </c>
      <c r="J83" s="206" t="s">
        <v>839</v>
      </c>
      <c r="K83" s="204"/>
    </row>
    <row r="84" spans="1:11" ht="32" customHeight="1">
      <c r="A84" s="198" t="s">
        <v>821</v>
      </c>
      <c r="B84" s="199" t="s">
        <v>16</v>
      </c>
      <c r="C84" s="199" t="s">
        <v>17</v>
      </c>
      <c r="D84" s="208" t="s">
        <v>717</v>
      </c>
      <c r="E84" s="201" t="s">
        <v>1007</v>
      </c>
      <c r="F84" s="202" t="str">
        <f>VLOOKUP(D84,CSR!$D$4:$E$1180,2,FALSE)</f>
        <v>CSR_11412</v>
      </c>
      <c r="G84" s="203" t="s">
        <v>1008</v>
      </c>
      <c r="H84" s="204">
        <v>4</v>
      </c>
      <c r="I84" s="205">
        <f t="shared" si="1"/>
        <v>0.21052631578947367</v>
      </c>
      <c r="J84" s="206" t="s">
        <v>154</v>
      </c>
      <c r="K84" s="204"/>
    </row>
    <row r="85" spans="1:11" ht="32" customHeight="1">
      <c r="A85" s="198" t="s">
        <v>821</v>
      </c>
      <c r="B85" s="199" t="s">
        <v>16</v>
      </c>
      <c r="C85" s="199" t="s">
        <v>17</v>
      </c>
      <c r="D85" s="208" t="s">
        <v>717</v>
      </c>
      <c r="E85" s="201" t="s">
        <v>1009</v>
      </c>
      <c r="F85" s="202" t="str">
        <f>VLOOKUP(D85,CSR!$D$4:$E$1180,2,FALSE)</f>
        <v>CSR_11412</v>
      </c>
      <c r="G85" s="203" t="s">
        <v>1000</v>
      </c>
      <c r="H85" s="204">
        <v>3</v>
      </c>
      <c r="I85" s="205">
        <f t="shared" si="1"/>
        <v>0.15789473684210525</v>
      </c>
      <c r="J85" s="206" t="s">
        <v>154</v>
      </c>
      <c r="K85" s="204"/>
    </row>
    <row r="86" spans="1:11" ht="32" customHeight="1">
      <c r="A86" s="198" t="s">
        <v>821</v>
      </c>
      <c r="B86" s="199" t="s">
        <v>16</v>
      </c>
      <c r="C86" s="199" t="s">
        <v>17</v>
      </c>
      <c r="D86" s="208" t="s">
        <v>717</v>
      </c>
      <c r="E86" s="201" t="s">
        <v>1010</v>
      </c>
      <c r="F86" s="202" t="str">
        <f>VLOOKUP(D86,CSR!$D$4:$E$1180,2,FALSE)</f>
        <v>CSR_11412</v>
      </c>
      <c r="G86" s="203" t="s">
        <v>1002</v>
      </c>
      <c r="H86" s="204">
        <v>1</v>
      </c>
      <c r="I86" s="205">
        <f t="shared" si="1"/>
        <v>5.2631578947368418E-2</v>
      </c>
      <c r="J86" s="206" t="s">
        <v>154</v>
      </c>
      <c r="K86" s="204"/>
    </row>
    <row r="87" spans="1:11" ht="32" customHeight="1">
      <c r="A87" s="198" t="s">
        <v>15</v>
      </c>
      <c r="B87" s="199" t="s">
        <v>16</v>
      </c>
      <c r="C87" s="199" t="s">
        <v>17</v>
      </c>
      <c r="D87" s="208" t="s">
        <v>1011</v>
      </c>
      <c r="E87" s="201" t="s">
        <v>1012</v>
      </c>
      <c r="F87" s="202" t="str">
        <f>VLOOKUP(D87,CSR!$D$4:$E$1180,2,FALSE)</f>
        <v>CSR_11400</v>
      </c>
      <c r="G87" s="203" t="s">
        <v>1013</v>
      </c>
      <c r="H87" s="204">
        <v>4</v>
      </c>
      <c r="I87" s="205">
        <v>0.21052631578947367</v>
      </c>
      <c r="J87" s="206" t="s">
        <v>154</v>
      </c>
      <c r="K87" s="204"/>
    </row>
    <row r="88" spans="1:11" ht="32" customHeight="1">
      <c r="A88" s="198" t="s">
        <v>15</v>
      </c>
      <c r="B88" s="199" t="s">
        <v>16</v>
      </c>
      <c r="C88" s="199" t="s">
        <v>17</v>
      </c>
      <c r="D88" s="208" t="s">
        <v>1011</v>
      </c>
      <c r="E88" s="201" t="s">
        <v>1012</v>
      </c>
      <c r="F88" s="202" t="str">
        <f>VLOOKUP(D88,CSR!$D$4:$E$1180,2,FALSE)</f>
        <v>CSR_11400</v>
      </c>
      <c r="G88" s="203">
        <v>46132</v>
      </c>
      <c r="H88" s="204">
        <v>3</v>
      </c>
      <c r="I88" s="205">
        <v>0.15789473684210525</v>
      </c>
      <c r="J88" s="206" t="s">
        <v>154</v>
      </c>
      <c r="K88" s="204"/>
    </row>
    <row r="89" spans="1:11" ht="32" customHeight="1">
      <c r="A89" s="198" t="s">
        <v>915</v>
      </c>
      <c r="B89" s="198" t="s">
        <v>31</v>
      </c>
      <c r="C89" s="198" t="s">
        <v>32</v>
      </c>
      <c r="D89" s="200" t="s">
        <v>157</v>
      </c>
      <c r="E89" s="210" t="s">
        <v>842</v>
      </c>
      <c r="F89" s="202" t="str">
        <f>VLOOKUP(D89,CSR!$D$4:$E$1180,2,FALSE)</f>
        <v>CSR_30600</v>
      </c>
      <c r="G89" s="203">
        <v>46108</v>
      </c>
      <c r="H89" s="204">
        <v>5</v>
      </c>
      <c r="I89" s="205">
        <f t="shared" ref="I89:I152" si="2">H89*10/190</f>
        <v>0.26315789473684209</v>
      </c>
      <c r="J89" s="206" t="s">
        <v>160</v>
      </c>
      <c r="K89" s="204"/>
    </row>
    <row r="90" spans="1:11" ht="32" customHeight="1">
      <c r="A90" s="198" t="s">
        <v>821</v>
      </c>
      <c r="B90" s="198" t="s">
        <v>31</v>
      </c>
      <c r="C90" s="198" t="s">
        <v>32</v>
      </c>
      <c r="D90" s="200" t="s">
        <v>157</v>
      </c>
      <c r="E90" s="210" t="s">
        <v>842</v>
      </c>
      <c r="F90" s="202" t="str">
        <f>VLOOKUP(D90,CSR!$D$4:$E$1180,2,FALSE)</f>
        <v>CSR_30600</v>
      </c>
      <c r="G90" s="203">
        <v>46115</v>
      </c>
      <c r="H90" s="204">
        <v>5</v>
      </c>
      <c r="I90" s="205">
        <f t="shared" si="2"/>
        <v>0.26315789473684209</v>
      </c>
      <c r="J90" s="206" t="s">
        <v>160</v>
      </c>
      <c r="K90" s="204"/>
    </row>
    <row r="91" spans="1:11" ht="32" customHeight="1">
      <c r="A91" s="198" t="s">
        <v>821</v>
      </c>
      <c r="B91" s="198" t="s">
        <v>31</v>
      </c>
      <c r="C91" s="198" t="s">
        <v>32</v>
      </c>
      <c r="D91" s="200" t="s">
        <v>157</v>
      </c>
      <c r="E91" s="210" t="s">
        <v>842</v>
      </c>
      <c r="F91" s="202" t="str">
        <f>VLOOKUP(D91,CSR!$D$4:$E$1180,2,FALSE)</f>
        <v>CSR_30600</v>
      </c>
      <c r="G91" s="203">
        <v>46122</v>
      </c>
      <c r="H91" s="204">
        <v>5</v>
      </c>
      <c r="I91" s="205">
        <f t="shared" si="2"/>
        <v>0.26315789473684209</v>
      </c>
      <c r="J91" s="206" t="s">
        <v>160</v>
      </c>
      <c r="K91" s="212"/>
    </row>
    <row r="92" spans="1:11" ht="32" customHeight="1">
      <c r="A92" s="198" t="s">
        <v>821</v>
      </c>
      <c r="B92" s="198" t="s">
        <v>31</v>
      </c>
      <c r="C92" s="198" t="s">
        <v>32</v>
      </c>
      <c r="D92" s="200" t="s">
        <v>157</v>
      </c>
      <c r="E92" s="210" t="s">
        <v>842</v>
      </c>
      <c r="F92" s="202" t="str">
        <f>VLOOKUP(D92,CSR!$D$4:$E$1180,2,FALSE)</f>
        <v>CSR_30600</v>
      </c>
      <c r="G92" s="203">
        <v>46132</v>
      </c>
      <c r="H92" s="204">
        <v>4</v>
      </c>
      <c r="I92" s="205">
        <f t="shared" si="2"/>
        <v>0.21052631578947367</v>
      </c>
      <c r="J92" s="206" t="s">
        <v>160</v>
      </c>
      <c r="K92" s="204"/>
    </row>
    <row r="93" spans="1:11" ht="32" customHeight="1">
      <c r="A93" s="198" t="s">
        <v>915</v>
      </c>
      <c r="B93" s="198" t="s">
        <v>31</v>
      </c>
      <c r="C93" s="198" t="s">
        <v>32</v>
      </c>
      <c r="D93" s="200" t="s">
        <v>157</v>
      </c>
      <c r="E93" s="210" t="s">
        <v>842</v>
      </c>
      <c r="F93" s="202" t="str">
        <f>VLOOKUP(D93,CSR!$D$4:$E$1180,2,FALSE)</f>
        <v>CSR_30600</v>
      </c>
      <c r="G93" s="203">
        <v>46108</v>
      </c>
      <c r="H93" s="204">
        <v>3</v>
      </c>
      <c r="I93" s="205">
        <f t="shared" si="2"/>
        <v>0.15789473684210525</v>
      </c>
      <c r="J93" s="206" t="s">
        <v>843</v>
      </c>
      <c r="K93" s="204"/>
    </row>
    <row r="94" spans="1:11" ht="32" customHeight="1">
      <c r="A94" s="198" t="s">
        <v>821</v>
      </c>
      <c r="B94" s="198" t="s">
        <v>31</v>
      </c>
      <c r="C94" s="198" t="s">
        <v>32</v>
      </c>
      <c r="D94" s="200" t="s">
        <v>157</v>
      </c>
      <c r="E94" s="210" t="s">
        <v>842</v>
      </c>
      <c r="F94" s="202" t="str">
        <f>VLOOKUP(D94,CSR!$D$4:$E$1180,2,FALSE)</f>
        <v>CSR_30600</v>
      </c>
      <c r="G94" s="203">
        <v>46115</v>
      </c>
      <c r="H94" s="204">
        <v>3</v>
      </c>
      <c r="I94" s="205">
        <f t="shared" si="2"/>
        <v>0.15789473684210525</v>
      </c>
      <c r="J94" s="206" t="s">
        <v>843</v>
      </c>
      <c r="K94" s="204"/>
    </row>
    <row r="95" spans="1:11" ht="32" customHeight="1">
      <c r="A95" s="198" t="s">
        <v>821</v>
      </c>
      <c r="B95" s="199" t="s">
        <v>775</v>
      </c>
      <c r="C95" s="199" t="s">
        <v>844</v>
      </c>
      <c r="D95" s="200" t="s">
        <v>164</v>
      </c>
      <c r="E95" s="201" t="s">
        <v>1014</v>
      </c>
      <c r="F95" s="202" t="str">
        <f>VLOOKUP(D95,CSR!$D$4:$E$1180,2,FALSE)</f>
        <v>CSR_41201</v>
      </c>
      <c r="G95" s="203" t="s">
        <v>1015</v>
      </c>
      <c r="H95" s="208">
        <v>3</v>
      </c>
      <c r="I95" s="205">
        <f>H95*10/190</f>
        <v>0.15789473684210525</v>
      </c>
      <c r="J95" s="206" t="s">
        <v>843</v>
      </c>
      <c r="K95" s="204"/>
    </row>
    <row r="96" spans="1:11" ht="32" customHeight="1">
      <c r="A96" s="198" t="s">
        <v>821</v>
      </c>
      <c r="B96" s="198" t="s">
        <v>31</v>
      </c>
      <c r="C96" s="198" t="s">
        <v>32</v>
      </c>
      <c r="D96" s="200" t="s">
        <v>157</v>
      </c>
      <c r="E96" s="210" t="s">
        <v>1016</v>
      </c>
      <c r="F96" s="202" t="str">
        <f>VLOOKUP(D96,CSR!$D$4:$E$1180,2,FALSE)</f>
        <v>CSR_30600</v>
      </c>
      <c r="G96" s="203" t="s">
        <v>1017</v>
      </c>
      <c r="H96" s="204">
        <v>3</v>
      </c>
      <c r="I96" s="205">
        <f t="shared" si="2"/>
        <v>0.15789473684210525</v>
      </c>
      <c r="J96" s="206" t="s">
        <v>843</v>
      </c>
      <c r="K96" s="204"/>
    </row>
    <row r="97" spans="1:11" ht="32" customHeight="1">
      <c r="A97" s="198" t="s">
        <v>821</v>
      </c>
      <c r="B97" s="198" t="s">
        <v>31</v>
      </c>
      <c r="C97" s="198" t="s">
        <v>32</v>
      </c>
      <c r="D97" s="200" t="s">
        <v>157</v>
      </c>
      <c r="E97" s="210" t="s">
        <v>842</v>
      </c>
      <c r="F97" s="202" t="str">
        <f>VLOOKUP(D97,CSR!$D$4:$E$1180,2,FALSE)</f>
        <v>CSR_30600</v>
      </c>
      <c r="G97" s="203">
        <v>46122</v>
      </c>
      <c r="H97" s="204">
        <v>3</v>
      </c>
      <c r="I97" s="205">
        <f t="shared" si="2"/>
        <v>0.15789473684210525</v>
      </c>
      <c r="J97" s="206" t="s">
        <v>843</v>
      </c>
      <c r="K97" s="204"/>
    </row>
    <row r="98" spans="1:11" ht="32" customHeight="1">
      <c r="A98" s="198" t="s">
        <v>821</v>
      </c>
      <c r="B98" s="198" t="s">
        <v>31</v>
      </c>
      <c r="C98" s="198" t="s">
        <v>32</v>
      </c>
      <c r="D98" s="200" t="s">
        <v>157</v>
      </c>
      <c r="E98" s="210" t="s">
        <v>842</v>
      </c>
      <c r="F98" s="202" t="str">
        <f>VLOOKUP(D98,CSR!$D$4:$E$1180,2,FALSE)</f>
        <v>CSR_30600</v>
      </c>
      <c r="G98" s="203">
        <v>46129</v>
      </c>
      <c r="H98" s="204">
        <v>3</v>
      </c>
      <c r="I98" s="205">
        <f t="shared" si="2"/>
        <v>0.15789473684210525</v>
      </c>
      <c r="J98" s="206" t="s">
        <v>843</v>
      </c>
      <c r="K98" s="204"/>
    </row>
    <row r="99" spans="1:11" ht="32" customHeight="1">
      <c r="A99" s="198" t="s">
        <v>821</v>
      </c>
      <c r="B99" s="199" t="s">
        <v>846</v>
      </c>
      <c r="C99" s="199" t="s">
        <v>17</v>
      </c>
      <c r="D99" s="200" t="s">
        <v>168</v>
      </c>
      <c r="E99" s="201" t="s">
        <v>847</v>
      </c>
      <c r="F99" s="202" t="str">
        <f>VLOOKUP(D99,CSR!$D$4:$E$1180,2,FALSE)</f>
        <v>CSR_11500</v>
      </c>
      <c r="G99" s="203" t="s">
        <v>1018</v>
      </c>
      <c r="H99" s="208">
        <v>1</v>
      </c>
      <c r="I99" s="205">
        <f t="shared" si="2"/>
        <v>5.2631578947368418E-2</v>
      </c>
      <c r="J99" s="206" t="s">
        <v>843</v>
      </c>
      <c r="K99" s="204"/>
    </row>
    <row r="100" spans="1:11" ht="32" customHeight="1">
      <c r="A100" s="198" t="s">
        <v>915</v>
      </c>
      <c r="B100" s="213" t="s">
        <v>775</v>
      </c>
      <c r="C100" s="213" t="s">
        <v>175</v>
      </c>
      <c r="D100" s="214" t="s">
        <v>789</v>
      </c>
      <c r="E100" s="210" t="s">
        <v>1019</v>
      </c>
      <c r="F100" s="202" t="str">
        <f>VLOOKUP(D100,CSR!$D$4:$E$1180,2,FALSE)</f>
        <v>CSR_40700</v>
      </c>
      <c r="G100" s="203">
        <v>46105</v>
      </c>
      <c r="H100" s="212">
        <v>0.5</v>
      </c>
      <c r="I100" s="205">
        <f t="shared" si="2"/>
        <v>2.6315789473684209E-2</v>
      </c>
      <c r="J100" s="206" t="s">
        <v>1020</v>
      </c>
      <c r="K100" s="204"/>
    </row>
    <row r="101" spans="1:11" ht="32" customHeight="1">
      <c r="A101" s="198" t="s">
        <v>915</v>
      </c>
      <c r="B101" s="213" t="s">
        <v>775</v>
      </c>
      <c r="C101" s="213" t="s">
        <v>175</v>
      </c>
      <c r="D101" s="208" t="s">
        <v>785</v>
      </c>
      <c r="E101" s="210" t="s">
        <v>1021</v>
      </c>
      <c r="F101" s="202" t="str">
        <f>VLOOKUP(D101,CSR!$D$4:$E$1180,2,FALSE)</f>
        <v>CSR_40400</v>
      </c>
      <c r="G101" s="203">
        <v>46108</v>
      </c>
      <c r="H101" s="212">
        <v>0.5</v>
      </c>
      <c r="I101" s="205">
        <f t="shared" si="2"/>
        <v>2.6315789473684209E-2</v>
      </c>
      <c r="J101" s="206" t="s">
        <v>1020</v>
      </c>
      <c r="K101" s="204"/>
    </row>
    <row r="102" spans="1:11" ht="32" customHeight="1">
      <c r="A102" s="198" t="s">
        <v>821</v>
      </c>
      <c r="B102" s="213" t="s">
        <v>775</v>
      </c>
      <c r="C102" s="213" t="s">
        <v>175</v>
      </c>
      <c r="D102" s="200" t="s">
        <v>784</v>
      </c>
      <c r="E102" s="201" t="s">
        <v>1022</v>
      </c>
      <c r="F102" s="202" t="str">
        <f>VLOOKUP(D102,CSR!$D$4:$E$1180,2,FALSE)</f>
        <v>CSR_40300</v>
      </c>
      <c r="G102" s="203">
        <v>46113</v>
      </c>
      <c r="H102" s="204">
        <v>1</v>
      </c>
      <c r="I102" s="205">
        <f t="shared" si="2"/>
        <v>5.2631578947368418E-2</v>
      </c>
      <c r="J102" s="206" t="s">
        <v>1020</v>
      </c>
      <c r="K102" s="204"/>
    </row>
    <row r="103" spans="1:11" ht="32" customHeight="1">
      <c r="A103" s="198" t="s">
        <v>821</v>
      </c>
      <c r="B103" s="213" t="s">
        <v>775</v>
      </c>
      <c r="C103" s="213" t="s">
        <v>175</v>
      </c>
      <c r="D103" s="200" t="s">
        <v>784</v>
      </c>
      <c r="E103" s="210" t="s">
        <v>1023</v>
      </c>
      <c r="F103" s="202" t="str">
        <f>VLOOKUP(D103,CSR!$D$4:$E$1180,2,FALSE)</f>
        <v>CSR_40300</v>
      </c>
      <c r="G103" s="203">
        <v>46119</v>
      </c>
      <c r="H103" s="204">
        <v>1</v>
      </c>
      <c r="I103" s="205">
        <f t="shared" si="2"/>
        <v>5.2631578947368418E-2</v>
      </c>
      <c r="J103" s="206" t="s">
        <v>1020</v>
      </c>
      <c r="K103" s="204"/>
    </row>
    <row r="104" spans="1:11" ht="32" customHeight="1">
      <c r="A104" s="198" t="s">
        <v>821</v>
      </c>
      <c r="B104" s="213" t="s">
        <v>775</v>
      </c>
      <c r="C104" s="213" t="s">
        <v>175</v>
      </c>
      <c r="D104" s="200" t="s">
        <v>784</v>
      </c>
      <c r="E104" s="201" t="s">
        <v>1024</v>
      </c>
      <c r="F104" s="202" t="str">
        <f>VLOOKUP(D104,CSR!$D$4:$E$1180,2,FALSE)</f>
        <v>CSR_40300</v>
      </c>
      <c r="G104" s="203">
        <v>46120</v>
      </c>
      <c r="H104" s="204">
        <v>0.5</v>
      </c>
      <c r="I104" s="205">
        <f t="shared" si="2"/>
        <v>2.6315789473684209E-2</v>
      </c>
      <c r="J104" s="206" t="s">
        <v>1020</v>
      </c>
      <c r="K104" s="204"/>
    </row>
    <row r="105" spans="1:11" ht="32" customHeight="1">
      <c r="A105" s="198" t="s">
        <v>821</v>
      </c>
      <c r="B105" s="213" t="s">
        <v>775</v>
      </c>
      <c r="C105" s="213" t="s">
        <v>175</v>
      </c>
      <c r="D105" s="214" t="s">
        <v>789</v>
      </c>
      <c r="E105" s="210" t="s">
        <v>1025</v>
      </c>
      <c r="F105" s="202" t="str">
        <f>VLOOKUP(D105,CSR!$D$4:$E$1180,2,FALSE)</f>
        <v>CSR_40700</v>
      </c>
      <c r="G105" s="203">
        <v>46120</v>
      </c>
      <c r="H105" s="212">
        <v>1</v>
      </c>
      <c r="I105" s="205">
        <f t="shared" si="2"/>
        <v>5.2631578947368418E-2</v>
      </c>
      <c r="J105" s="206" t="s">
        <v>1020</v>
      </c>
      <c r="K105" s="204"/>
    </row>
    <row r="106" spans="1:11" ht="32" customHeight="1">
      <c r="A106" s="198" t="s">
        <v>821</v>
      </c>
      <c r="B106" s="198" t="s">
        <v>31</v>
      </c>
      <c r="C106" s="198" t="s">
        <v>32</v>
      </c>
      <c r="D106" s="200" t="s">
        <v>157</v>
      </c>
      <c r="E106" s="210" t="s">
        <v>1016</v>
      </c>
      <c r="F106" s="202" t="str">
        <f>VLOOKUP(D106,CSR!$D$4:$E$1180,2,FALSE)</f>
        <v>CSR_30600</v>
      </c>
      <c r="G106" s="203" t="s">
        <v>1017</v>
      </c>
      <c r="H106" s="204">
        <v>0.3</v>
      </c>
      <c r="I106" s="205">
        <f t="shared" si="2"/>
        <v>1.5789473684210527E-2</v>
      </c>
      <c r="J106" s="217" t="s">
        <v>1020</v>
      </c>
      <c r="K106" s="204"/>
    </row>
    <row r="107" spans="1:11" ht="32" customHeight="1">
      <c r="A107" s="198" t="s">
        <v>821</v>
      </c>
      <c r="B107" s="213" t="s">
        <v>775</v>
      </c>
      <c r="C107" s="213" t="s">
        <v>175</v>
      </c>
      <c r="D107" s="214" t="s">
        <v>786</v>
      </c>
      <c r="E107" s="210" t="s">
        <v>1026</v>
      </c>
      <c r="F107" s="202" t="str">
        <f>VLOOKUP(D107,CSR!$D$4:$E$1180,2,FALSE)</f>
        <v>CSR_40500</v>
      </c>
      <c r="G107" s="203">
        <v>46121</v>
      </c>
      <c r="H107" s="212">
        <v>0.2</v>
      </c>
      <c r="I107" s="205">
        <f t="shared" si="2"/>
        <v>1.0526315789473684E-2</v>
      </c>
      <c r="J107" s="206" t="s">
        <v>1020</v>
      </c>
      <c r="K107" s="204"/>
    </row>
    <row r="108" spans="1:11" ht="32" customHeight="1">
      <c r="A108" s="198" t="s">
        <v>821</v>
      </c>
      <c r="B108" s="199" t="s">
        <v>16</v>
      </c>
      <c r="C108" s="199" t="s">
        <v>616</v>
      </c>
      <c r="D108" s="215" t="s">
        <v>638</v>
      </c>
      <c r="E108" s="210" t="s">
        <v>1027</v>
      </c>
      <c r="F108" s="202" t="str">
        <f>VLOOKUP(D108,CSR!$D$4:$E$1180,2,FALSE)</f>
        <v>CSR_11000</v>
      </c>
      <c r="G108" s="203">
        <v>46125</v>
      </c>
      <c r="H108" s="212">
        <v>1.5</v>
      </c>
      <c r="I108" s="205">
        <f t="shared" si="2"/>
        <v>7.8947368421052627E-2</v>
      </c>
      <c r="J108" s="206" t="s">
        <v>1020</v>
      </c>
      <c r="K108" s="204"/>
    </row>
    <row r="109" spans="1:11" ht="32" customHeight="1">
      <c r="A109" s="198" t="s">
        <v>821</v>
      </c>
      <c r="B109" s="213" t="s">
        <v>775</v>
      </c>
      <c r="C109" s="213" t="s">
        <v>175</v>
      </c>
      <c r="D109" s="200" t="s">
        <v>784</v>
      </c>
      <c r="E109" s="201" t="s">
        <v>1028</v>
      </c>
      <c r="F109" s="202" t="str">
        <f>VLOOKUP(D109,CSR!$D$4:$E$1180,2,FALSE)</f>
        <v>CSR_40300</v>
      </c>
      <c r="G109" s="203">
        <v>46125</v>
      </c>
      <c r="H109" s="204">
        <v>0.5</v>
      </c>
      <c r="I109" s="205">
        <f t="shared" si="2"/>
        <v>2.6315789473684209E-2</v>
      </c>
      <c r="J109" s="206" t="s">
        <v>1020</v>
      </c>
      <c r="K109" s="204"/>
    </row>
    <row r="110" spans="1:11" ht="32" customHeight="1">
      <c r="A110" s="198" t="s">
        <v>821</v>
      </c>
      <c r="B110" s="199" t="s">
        <v>31</v>
      </c>
      <c r="C110" s="199" t="s">
        <v>759</v>
      </c>
      <c r="D110" s="200" t="s">
        <v>764</v>
      </c>
      <c r="E110" s="210" t="s">
        <v>1029</v>
      </c>
      <c r="F110" s="202" t="str">
        <f>VLOOKUP(D110,CSR!$D$4:$E$1180,2,FALSE)</f>
        <v>CSR_30200</v>
      </c>
      <c r="G110" s="203">
        <v>46126</v>
      </c>
      <c r="H110" s="212">
        <v>2</v>
      </c>
      <c r="I110" s="205">
        <f t="shared" si="2"/>
        <v>0.10526315789473684</v>
      </c>
      <c r="J110" s="206" t="s">
        <v>1020</v>
      </c>
      <c r="K110" s="204"/>
    </row>
    <row r="111" spans="1:11" ht="32" customHeight="1">
      <c r="A111" s="198" t="s">
        <v>821</v>
      </c>
      <c r="B111" s="199" t="s">
        <v>31</v>
      </c>
      <c r="C111" s="199" t="s">
        <v>759</v>
      </c>
      <c r="D111" s="200" t="s">
        <v>764</v>
      </c>
      <c r="E111" s="210" t="s">
        <v>1030</v>
      </c>
      <c r="F111" s="202" t="str">
        <f>VLOOKUP(D111,CSR!$D$4:$E$1180,2,FALSE)</f>
        <v>CSR_30200</v>
      </c>
      <c r="G111" s="203">
        <v>46128</v>
      </c>
      <c r="H111" s="212">
        <v>1.5</v>
      </c>
      <c r="I111" s="205">
        <f t="shared" si="2"/>
        <v>7.8947368421052627E-2</v>
      </c>
      <c r="J111" s="206" t="s">
        <v>1020</v>
      </c>
      <c r="K111" s="204"/>
    </row>
    <row r="112" spans="1:11" ht="32" customHeight="1">
      <c r="A112" s="198" t="s">
        <v>821</v>
      </c>
      <c r="B112" s="199" t="s">
        <v>31</v>
      </c>
      <c r="C112" s="199" t="s">
        <v>32</v>
      </c>
      <c r="D112" s="200" t="s">
        <v>760</v>
      </c>
      <c r="E112" s="210" t="s">
        <v>1031</v>
      </c>
      <c r="F112" s="202" t="str">
        <f>VLOOKUP(D112,CSR!$D$4:$E$1180,2,FALSE)</f>
        <v>CSR_30000</v>
      </c>
      <c r="G112" s="203">
        <v>46129</v>
      </c>
      <c r="H112" s="212">
        <v>2</v>
      </c>
      <c r="I112" s="205">
        <f t="shared" si="2"/>
        <v>0.10526315789473684</v>
      </c>
      <c r="J112" s="206" t="s">
        <v>1020</v>
      </c>
      <c r="K112" s="204"/>
    </row>
    <row r="113" spans="1:11" ht="32" customHeight="1">
      <c r="A113" s="198" t="s">
        <v>821</v>
      </c>
      <c r="B113" s="213" t="s">
        <v>775</v>
      </c>
      <c r="C113" s="213" t="s">
        <v>175</v>
      </c>
      <c r="D113" s="208" t="s">
        <v>788</v>
      </c>
      <c r="E113" s="210" t="s">
        <v>1032</v>
      </c>
      <c r="F113" s="202" t="str">
        <f>VLOOKUP(D113,CSR!$D$4:$E$1180,2,FALSE)</f>
        <v>CSR_40600</v>
      </c>
      <c r="G113" s="203">
        <v>46132</v>
      </c>
      <c r="H113" s="212">
        <v>4</v>
      </c>
      <c r="I113" s="205">
        <f t="shared" si="2"/>
        <v>0.21052631578947367</v>
      </c>
      <c r="J113" s="206" t="s">
        <v>1020</v>
      </c>
      <c r="K113" s="204"/>
    </row>
    <row r="114" spans="1:11" ht="32" customHeight="1">
      <c r="A114" s="198" t="s">
        <v>821</v>
      </c>
      <c r="B114" s="213" t="s">
        <v>775</v>
      </c>
      <c r="C114" s="213" t="s">
        <v>175</v>
      </c>
      <c r="D114" s="208" t="s">
        <v>785</v>
      </c>
      <c r="E114" s="210" t="s">
        <v>1033</v>
      </c>
      <c r="F114" s="202" t="str">
        <f>VLOOKUP(D114,CSR!$D$4:$E$1180,2,FALSE)</f>
        <v>CSR_40400</v>
      </c>
      <c r="G114" s="203">
        <v>46132</v>
      </c>
      <c r="H114" s="212">
        <v>1.5</v>
      </c>
      <c r="I114" s="205">
        <f t="shared" si="2"/>
        <v>7.8947368421052627E-2</v>
      </c>
      <c r="J114" s="206" t="s">
        <v>1020</v>
      </c>
      <c r="K114" s="204"/>
    </row>
    <row r="115" spans="1:11" ht="32" customHeight="1">
      <c r="A115" s="198" t="s">
        <v>821</v>
      </c>
      <c r="B115" s="199" t="s">
        <v>31</v>
      </c>
      <c r="C115" s="199" t="s">
        <v>759</v>
      </c>
      <c r="D115" s="200" t="s">
        <v>764</v>
      </c>
      <c r="E115" s="210" t="s">
        <v>1034</v>
      </c>
      <c r="F115" s="202" t="str">
        <f>VLOOKUP(D115,CSR!$D$4:$E$1180,2,FALSE)</f>
        <v>CSR_30200</v>
      </c>
      <c r="G115" s="203">
        <v>46132</v>
      </c>
      <c r="H115" s="212">
        <v>1</v>
      </c>
      <c r="I115" s="205">
        <f t="shared" si="2"/>
        <v>5.2631578947368418E-2</v>
      </c>
      <c r="J115" s="206" t="s">
        <v>1020</v>
      </c>
      <c r="K115" s="204"/>
    </row>
    <row r="116" spans="1:11" ht="32" customHeight="1">
      <c r="A116" s="198" t="s">
        <v>915</v>
      </c>
      <c r="B116" s="199" t="s">
        <v>16</v>
      </c>
      <c r="C116" s="199" t="s">
        <v>17</v>
      </c>
      <c r="D116" s="204" t="s">
        <v>635</v>
      </c>
      <c r="E116" s="201" t="s">
        <v>1035</v>
      </c>
      <c r="F116" s="202" t="str">
        <f>VLOOKUP(D116,CSR!$D$4:$E$1180,2,FALSE)</f>
        <v>CSR_10800</v>
      </c>
      <c r="G116" s="203">
        <v>46106</v>
      </c>
      <c r="H116" s="204">
        <v>0.5</v>
      </c>
      <c r="I116" s="205">
        <f t="shared" si="2"/>
        <v>2.6315789473684209E-2</v>
      </c>
      <c r="J116" s="217" t="s">
        <v>1036</v>
      </c>
      <c r="K116" s="204"/>
    </row>
    <row r="117" spans="1:11" ht="32" customHeight="1">
      <c r="A117" s="198" t="s">
        <v>915</v>
      </c>
      <c r="B117" s="199" t="s">
        <v>16</v>
      </c>
      <c r="C117" s="199" t="s">
        <v>17</v>
      </c>
      <c r="D117" s="207" t="s">
        <v>653</v>
      </c>
      <c r="E117" s="210" t="s">
        <v>1037</v>
      </c>
      <c r="F117" s="202" t="str">
        <f>VLOOKUP(D117,CSR!$D$4:$E$1180,2,FALSE)</f>
        <v>CSR_11303</v>
      </c>
      <c r="G117" s="203">
        <v>46106</v>
      </c>
      <c r="H117" s="204">
        <v>0.3</v>
      </c>
      <c r="I117" s="205">
        <f t="shared" si="2"/>
        <v>1.5789473684210527E-2</v>
      </c>
      <c r="J117" s="217" t="s">
        <v>1036</v>
      </c>
      <c r="K117" s="204"/>
    </row>
    <row r="118" spans="1:11" ht="32" customHeight="1">
      <c r="A118" s="198" t="s">
        <v>915</v>
      </c>
      <c r="B118" s="214" t="s">
        <v>775</v>
      </c>
      <c r="C118" s="214" t="s">
        <v>776</v>
      </c>
      <c r="D118" s="214" t="s">
        <v>230</v>
      </c>
      <c r="E118" s="210" t="s">
        <v>1038</v>
      </c>
      <c r="F118" s="202" t="str">
        <f>VLOOKUP(D118,CSR!$D$4:$E$1180,2,FALSE)</f>
        <v>CSR_40000</v>
      </c>
      <c r="G118" s="203">
        <v>46106</v>
      </c>
      <c r="H118" s="204">
        <v>0.1</v>
      </c>
      <c r="I118" s="205">
        <f t="shared" si="2"/>
        <v>5.263157894736842E-3</v>
      </c>
      <c r="J118" s="217" t="s">
        <v>1036</v>
      </c>
      <c r="K118" s="204"/>
    </row>
    <row r="119" spans="1:11" ht="32" customHeight="1">
      <c r="A119" s="198" t="s">
        <v>915</v>
      </c>
      <c r="B119" s="199" t="s">
        <v>16</v>
      </c>
      <c r="C119" s="199" t="s">
        <v>17</v>
      </c>
      <c r="D119" s="200" t="s">
        <v>131</v>
      </c>
      <c r="E119" s="201" t="s">
        <v>1039</v>
      </c>
      <c r="F119" s="202" t="str">
        <f>VLOOKUP(D119,CSR!$D$4:$E$1180,2,FALSE)</f>
        <v>CSR_10400</v>
      </c>
      <c r="G119" s="203">
        <v>46108</v>
      </c>
      <c r="H119" s="208">
        <v>1</v>
      </c>
      <c r="I119" s="205">
        <f t="shared" si="2"/>
        <v>5.2631578947368418E-2</v>
      </c>
      <c r="J119" s="217" t="s">
        <v>1036</v>
      </c>
      <c r="K119" s="204"/>
    </row>
    <row r="120" spans="1:11" ht="32" customHeight="1">
      <c r="A120" s="198" t="s">
        <v>915</v>
      </c>
      <c r="B120" s="199" t="s">
        <v>49</v>
      </c>
      <c r="C120" s="199" t="s">
        <v>50</v>
      </c>
      <c r="D120" s="207" t="s">
        <v>803</v>
      </c>
      <c r="E120" s="201" t="s">
        <v>1040</v>
      </c>
      <c r="F120" s="202" t="str">
        <f>VLOOKUP(D120,CSR!$D$4:$E$1180,2,FALSE)</f>
        <v>CSR_41103</v>
      </c>
      <c r="G120" s="203">
        <v>46112</v>
      </c>
      <c r="H120" s="204">
        <v>2</v>
      </c>
      <c r="I120" s="205">
        <f t="shared" si="2"/>
        <v>0.10526315789473684</v>
      </c>
      <c r="J120" s="217" t="s">
        <v>1036</v>
      </c>
      <c r="K120" s="204"/>
    </row>
    <row r="121" spans="1:11" ht="32" customHeight="1">
      <c r="A121" s="198" t="s">
        <v>821</v>
      </c>
      <c r="B121" s="199" t="s">
        <v>49</v>
      </c>
      <c r="C121" s="199" t="s">
        <v>50</v>
      </c>
      <c r="D121" s="207" t="s">
        <v>803</v>
      </c>
      <c r="E121" s="201" t="s">
        <v>1041</v>
      </c>
      <c r="F121" s="202" t="str">
        <f>VLOOKUP(D121,CSR!$D$4:$E$1180,2,FALSE)</f>
        <v>CSR_41103</v>
      </c>
      <c r="G121" s="203">
        <v>46115</v>
      </c>
      <c r="H121" s="204">
        <v>3</v>
      </c>
      <c r="I121" s="205">
        <f t="shared" si="2"/>
        <v>0.15789473684210525</v>
      </c>
      <c r="J121" s="217" t="s">
        <v>1036</v>
      </c>
      <c r="K121" s="204"/>
    </row>
    <row r="122" spans="1:11" ht="32" customHeight="1">
      <c r="A122" s="198" t="s">
        <v>821</v>
      </c>
      <c r="B122" s="198" t="s">
        <v>31</v>
      </c>
      <c r="C122" s="198" t="s">
        <v>32</v>
      </c>
      <c r="D122" s="200" t="s">
        <v>157</v>
      </c>
      <c r="E122" s="210" t="s">
        <v>1016</v>
      </c>
      <c r="F122" s="202" t="str">
        <f>VLOOKUP(D122,CSR!$D$4:$E$1180,2,FALSE)</f>
        <v>CSR_30600</v>
      </c>
      <c r="G122" s="203" t="s">
        <v>1017</v>
      </c>
      <c r="H122" s="204">
        <v>0.3</v>
      </c>
      <c r="I122" s="205">
        <f t="shared" si="2"/>
        <v>1.5789473684210527E-2</v>
      </c>
      <c r="J122" s="217" t="s">
        <v>1036</v>
      </c>
      <c r="K122" s="204"/>
    </row>
    <row r="123" spans="1:11" ht="32" customHeight="1">
      <c r="A123" s="198" t="s">
        <v>821</v>
      </c>
      <c r="B123" s="199" t="s">
        <v>16</v>
      </c>
      <c r="C123" s="199" t="s">
        <v>17</v>
      </c>
      <c r="D123" s="204" t="s">
        <v>635</v>
      </c>
      <c r="E123" s="201" t="s">
        <v>1042</v>
      </c>
      <c r="F123" s="202" t="str">
        <f>VLOOKUP(D123,CSR!$D$4:$E$1180,2,FALSE)</f>
        <v>CSR_10800</v>
      </c>
      <c r="G123" s="203">
        <v>46122</v>
      </c>
      <c r="H123" s="204">
        <v>2</v>
      </c>
      <c r="I123" s="205">
        <f t="shared" si="2"/>
        <v>0.10526315789473684</v>
      </c>
      <c r="J123" s="217" t="s">
        <v>1036</v>
      </c>
      <c r="K123" s="204"/>
    </row>
    <row r="124" spans="1:11" ht="32" customHeight="1">
      <c r="A124" s="198" t="s">
        <v>821</v>
      </c>
      <c r="B124" s="199" t="s">
        <v>16</v>
      </c>
      <c r="C124" s="199" t="s">
        <v>17</v>
      </c>
      <c r="D124" s="204" t="s">
        <v>634</v>
      </c>
      <c r="E124" s="218" t="s">
        <v>1043</v>
      </c>
      <c r="F124" s="202" t="str">
        <f>VLOOKUP(D124,CSR!$D$4:$E$1180,2,FALSE)</f>
        <v>CSR_10700</v>
      </c>
      <c r="G124" s="203">
        <v>46122</v>
      </c>
      <c r="H124" s="204">
        <v>0.5</v>
      </c>
      <c r="I124" s="205">
        <f t="shared" si="2"/>
        <v>2.6315789473684209E-2</v>
      </c>
      <c r="J124" s="217" t="s">
        <v>1036</v>
      </c>
      <c r="K124" s="204"/>
    </row>
    <row r="125" spans="1:11" ht="32" customHeight="1">
      <c r="A125" s="198" t="s">
        <v>821</v>
      </c>
      <c r="B125" s="199" t="s">
        <v>16</v>
      </c>
      <c r="C125" s="199" t="s">
        <v>17</v>
      </c>
      <c r="D125" s="204" t="s">
        <v>635</v>
      </c>
      <c r="E125" s="201" t="s">
        <v>1044</v>
      </c>
      <c r="F125" s="202" t="str">
        <f>VLOOKUP(D125,CSR!$D$4:$E$1180,2,FALSE)</f>
        <v>CSR_10800</v>
      </c>
      <c r="G125" s="203">
        <v>46122</v>
      </c>
      <c r="H125" s="204">
        <v>2.5</v>
      </c>
      <c r="I125" s="205">
        <f t="shared" si="2"/>
        <v>0.13157894736842105</v>
      </c>
      <c r="J125" s="217" t="s">
        <v>1036</v>
      </c>
      <c r="K125" s="204"/>
    </row>
    <row r="126" spans="1:11" ht="32" customHeight="1">
      <c r="A126" s="198" t="s">
        <v>821</v>
      </c>
      <c r="B126" s="199" t="s">
        <v>49</v>
      </c>
      <c r="C126" s="199" t="s">
        <v>50</v>
      </c>
      <c r="D126" s="207" t="s">
        <v>803</v>
      </c>
      <c r="E126" s="201" t="s">
        <v>1045</v>
      </c>
      <c r="F126" s="202" t="str">
        <f>VLOOKUP(D126,CSR!$D$4:$E$1180,2,FALSE)</f>
        <v>CSR_41103</v>
      </c>
      <c r="G126" s="203">
        <v>46122</v>
      </c>
      <c r="H126" s="204">
        <v>2</v>
      </c>
      <c r="I126" s="205">
        <f t="shared" si="2"/>
        <v>0.10526315789473684</v>
      </c>
      <c r="J126" s="217" t="s">
        <v>1036</v>
      </c>
      <c r="K126" s="204"/>
    </row>
    <row r="127" spans="1:11" ht="32" customHeight="1">
      <c r="A127" s="198" t="s">
        <v>821</v>
      </c>
      <c r="B127" s="199" t="s">
        <v>758</v>
      </c>
      <c r="C127" s="198" t="s">
        <v>32</v>
      </c>
      <c r="D127" s="207" t="s">
        <v>764</v>
      </c>
      <c r="E127" s="210" t="s">
        <v>1046</v>
      </c>
      <c r="F127" s="202" t="str">
        <f>VLOOKUP(D127,CSR!$D$4:$E$1180,2,FALSE)</f>
        <v>CSR_30200</v>
      </c>
      <c r="G127" s="203">
        <v>46127</v>
      </c>
      <c r="H127" s="204">
        <v>0.3</v>
      </c>
      <c r="I127" s="205">
        <f t="shared" si="2"/>
        <v>1.5789473684210527E-2</v>
      </c>
      <c r="J127" s="217" t="s">
        <v>1036</v>
      </c>
      <c r="K127" s="204"/>
    </row>
    <row r="128" spans="1:11" ht="32" customHeight="1">
      <c r="A128" s="198" t="s">
        <v>821</v>
      </c>
      <c r="B128" s="199" t="s">
        <v>16</v>
      </c>
      <c r="C128" s="199" t="s">
        <v>17</v>
      </c>
      <c r="D128" s="200" t="s">
        <v>131</v>
      </c>
      <c r="E128" s="201" t="s">
        <v>1047</v>
      </c>
      <c r="F128" s="202" t="str">
        <f>VLOOKUP(D128,CSR!$D$4:$E$1180,2,FALSE)</f>
        <v>CSR_10400</v>
      </c>
      <c r="G128" s="203">
        <v>46128</v>
      </c>
      <c r="H128" s="208">
        <v>2</v>
      </c>
      <c r="I128" s="205">
        <f t="shared" si="2"/>
        <v>0.10526315789473684</v>
      </c>
      <c r="J128" s="217" t="s">
        <v>1036</v>
      </c>
      <c r="K128" s="204"/>
    </row>
    <row r="129" spans="1:11" ht="32" customHeight="1">
      <c r="A129" s="198" t="s">
        <v>821</v>
      </c>
      <c r="B129" s="199" t="s">
        <v>16</v>
      </c>
      <c r="C129" s="199" t="s">
        <v>17</v>
      </c>
      <c r="D129" s="207" t="s">
        <v>653</v>
      </c>
      <c r="E129" s="210" t="s">
        <v>1048</v>
      </c>
      <c r="F129" s="202" t="str">
        <f>VLOOKUP(D129,CSR!$D$4:$E$1180,2,FALSE)</f>
        <v>CSR_11303</v>
      </c>
      <c r="G129" s="203">
        <v>46128</v>
      </c>
      <c r="H129" s="204">
        <v>0.5</v>
      </c>
      <c r="I129" s="205">
        <f t="shared" si="2"/>
        <v>2.6315789473684209E-2</v>
      </c>
      <c r="J129" s="217" t="s">
        <v>1036</v>
      </c>
      <c r="K129" s="204"/>
    </row>
    <row r="130" spans="1:11" ht="32" customHeight="1">
      <c r="A130" s="198" t="s">
        <v>821</v>
      </c>
      <c r="B130" s="199" t="s">
        <v>758</v>
      </c>
      <c r="C130" s="198" t="s">
        <v>32</v>
      </c>
      <c r="D130" s="207" t="s">
        <v>760</v>
      </c>
      <c r="E130" s="210" t="s">
        <v>1049</v>
      </c>
      <c r="F130" s="202" t="str">
        <f>VLOOKUP(D130,CSR!$D$4:$E$1180,2,FALSE)</f>
        <v>CSR_30000</v>
      </c>
      <c r="G130" s="203">
        <v>46129</v>
      </c>
      <c r="H130" s="204">
        <v>0.5</v>
      </c>
      <c r="I130" s="205">
        <f t="shared" si="2"/>
        <v>2.6315789473684209E-2</v>
      </c>
      <c r="J130" s="217" t="s">
        <v>1036</v>
      </c>
      <c r="K130" s="204"/>
    </row>
    <row r="131" spans="1:11" ht="32" customHeight="1">
      <c r="A131" s="198" t="s">
        <v>821</v>
      </c>
      <c r="B131" s="199" t="s">
        <v>16</v>
      </c>
      <c r="C131" s="199" t="s">
        <v>17</v>
      </c>
      <c r="D131" s="204" t="s">
        <v>635</v>
      </c>
      <c r="E131" s="201" t="s">
        <v>1050</v>
      </c>
      <c r="F131" s="202" t="str">
        <f>VLOOKUP(D131,CSR!$D$4:$E$1180,2,FALSE)</f>
        <v>CSR_10800</v>
      </c>
      <c r="G131" s="203">
        <v>46132</v>
      </c>
      <c r="H131" s="204">
        <v>1.5</v>
      </c>
      <c r="I131" s="205">
        <f t="shared" si="2"/>
        <v>7.8947368421052627E-2</v>
      </c>
      <c r="J131" s="217" t="s">
        <v>1036</v>
      </c>
      <c r="K131" s="204"/>
    </row>
    <row r="132" spans="1:11" ht="32" customHeight="1">
      <c r="A132" s="198" t="s">
        <v>1051</v>
      </c>
      <c r="B132" s="199" t="s">
        <v>70</v>
      </c>
      <c r="C132" s="199" t="s">
        <v>245</v>
      </c>
      <c r="D132" s="200" t="s">
        <v>255</v>
      </c>
      <c r="E132" s="210" t="s">
        <v>1052</v>
      </c>
      <c r="F132" s="202" t="str">
        <f>VLOOKUP(D132,CSR!$D$4:$E$1180,2,FALSE)</f>
        <v>CSR_20100</v>
      </c>
      <c r="G132" s="203">
        <v>46104</v>
      </c>
      <c r="H132" s="212">
        <v>0.5</v>
      </c>
      <c r="I132" s="205">
        <f t="shared" si="2"/>
        <v>2.6315789473684209E-2</v>
      </c>
      <c r="J132" s="206" t="s">
        <v>852</v>
      </c>
      <c r="K132" s="204"/>
    </row>
    <row r="133" spans="1:11" ht="32" customHeight="1">
      <c r="A133" s="198" t="s">
        <v>821</v>
      </c>
      <c r="B133" s="199" t="s">
        <v>31</v>
      </c>
      <c r="C133" s="199" t="s">
        <v>32</v>
      </c>
      <c r="D133" s="200" t="s">
        <v>764</v>
      </c>
      <c r="E133" s="210" t="s">
        <v>1053</v>
      </c>
      <c r="F133" s="202" t="str">
        <f>VLOOKUP(D133,CSR!$D$4:$E$1180,2,FALSE)</f>
        <v>CSR_30200</v>
      </c>
      <c r="G133" s="203">
        <v>46115</v>
      </c>
      <c r="H133" s="212">
        <v>0.5</v>
      </c>
      <c r="I133" s="205">
        <f t="shared" si="2"/>
        <v>2.6315789473684209E-2</v>
      </c>
      <c r="J133" s="206" t="s">
        <v>852</v>
      </c>
      <c r="K133" s="204"/>
    </row>
    <row r="134" spans="1:11" ht="32" customHeight="1">
      <c r="A134" s="198" t="s">
        <v>821</v>
      </c>
      <c r="B134" s="199" t="s">
        <v>31</v>
      </c>
      <c r="C134" s="199" t="s">
        <v>32</v>
      </c>
      <c r="D134" s="200" t="s">
        <v>764</v>
      </c>
      <c r="E134" s="210" t="s">
        <v>1054</v>
      </c>
      <c r="F134" s="202" t="str">
        <f>VLOOKUP(D134,CSR!$D$4:$E$1180,2,FALSE)</f>
        <v>CSR_30200</v>
      </c>
      <c r="G134" s="203">
        <v>46120</v>
      </c>
      <c r="H134" s="212">
        <v>0.5</v>
      </c>
      <c r="I134" s="205">
        <f t="shared" si="2"/>
        <v>2.6315789473684209E-2</v>
      </c>
      <c r="J134" s="206" t="s">
        <v>241</v>
      </c>
      <c r="K134" s="204"/>
    </row>
    <row r="135" spans="1:11" ht="48">
      <c r="A135" s="198" t="s">
        <v>821</v>
      </c>
      <c r="B135" s="199" t="s">
        <v>31</v>
      </c>
      <c r="C135" s="199" t="s">
        <v>32</v>
      </c>
      <c r="D135" s="200" t="s">
        <v>33</v>
      </c>
      <c r="E135" s="210" t="s">
        <v>1055</v>
      </c>
      <c r="F135" s="202" t="str">
        <f>VLOOKUP(D135,CSR!$D$4:$E$1180,2,FALSE)</f>
        <v>CSR_30200</v>
      </c>
      <c r="G135" s="203">
        <v>46120</v>
      </c>
      <c r="H135" s="212">
        <v>1</v>
      </c>
      <c r="I135" s="205">
        <f t="shared" si="2"/>
        <v>5.2631578947368418E-2</v>
      </c>
      <c r="J135" s="206" t="s">
        <v>852</v>
      </c>
      <c r="K135" s="204"/>
    </row>
    <row r="136" spans="1:11" ht="32">
      <c r="A136" s="198" t="s">
        <v>821</v>
      </c>
      <c r="B136" s="199" t="s">
        <v>70</v>
      </c>
      <c r="C136" s="199" t="s">
        <v>245</v>
      </c>
      <c r="D136" s="200" t="s">
        <v>246</v>
      </c>
      <c r="E136" s="210" t="s">
        <v>1056</v>
      </c>
      <c r="F136" s="202" t="str">
        <f>VLOOKUP(D136,CSR!$D$4:$E$1180,2,FALSE)</f>
        <v>CSR_20000</v>
      </c>
      <c r="G136" s="203">
        <v>46120</v>
      </c>
      <c r="H136" s="212">
        <v>1.5</v>
      </c>
      <c r="I136" s="205">
        <f t="shared" si="2"/>
        <v>7.8947368421052627E-2</v>
      </c>
      <c r="J136" s="206" t="s">
        <v>852</v>
      </c>
      <c r="K136" s="204"/>
    </row>
    <row r="137" spans="1:11" ht="32">
      <c r="A137" s="198" t="s">
        <v>821</v>
      </c>
      <c r="B137" s="199" t="s">
        <v>70</v>
      </c>
      <c r="C137" s="199" t="s">
        <v>245</v>
      </c>
      <c r="D137" s="200" t="s">
        <v>246</v>
      </c>
      <c r="E137" s="210" t="s">
        <v>1057</v>
      </c>
      <c r="F137" s="202" t="str">
        <f>VLOOKUP(D137,CSR!$D$4:$E$1180,2,FALSE)</f>
        <v>CSR_20000</v>
      </c>
      <c r="G137" s="203">
        <v>46120</v>
      </c>
      <c r="H137" s="212">
        <v>1.5</v>
      </c>
      <c r="I137" s="205">
        <f t="shared" si="2"/>
        <v>7.8947368421052627E-2</v>
      </c>
      <c r="J137" s="206" t="s">
        <v>852</v>
      </c>
      <c r="K137" s="204"/>
    </row>
    <row r="138" spans="1:11" ht="32" customHeight="1">
      <c r="A138" s="198" t="s">
        <v>821</v>
      </c>
      <c r="B138" s="198" t="s">
        <v>31</v>
      </c>
      <c r="C138" s="198" t="s">
        <v>32</v>
      </c>
      <c r="D138" s="200" t="s">
        <v>157</v>
      </c>
      <c r="E138" s="210" t="s">
        <v>1016</v>
      </c>
      <c r="F138" s="202" t="str">
        <f>VLOOKUP(D138,CSR!$D$4:$E$1180,2,FALSE)</f>
        <v>CSR_30600</v>
      </c>
      <c r="G138" s="203" t="s">
        <v>1017</v>
      </c>
      <c r="H138" s="204">
        <v>0.3</v>
      </c>
      <c r="I138" s="205">
        <f t="shared" si="2"/>
        <v>1.5789473684210527E-2</v>
      </c>
      <c r="J138" s="206" t="s">
        <v>852</v>
      </c>
      <c r="K138" s="204"/>
    </row>
    <row r="139" spans="1:11" ht="32">
      <c r="A139" s="198" t="s">
        <v>821</v>
      </c>
      <c r="B139" s="199" t="s">
        <v>31</v>
      </c>
      <c r="C139" s="199" t="s">
        <v>32</v>
      </c>
      <c r="D139" s="200" t="s">
        <v>764</v>
      </c>
      <c r="E139" s="210" t="s">
        <v>1058</v>
      </c>
      <c r="F139" s="202" t="str">
        <f>VLOOKUP(D139,CSR!$D$4:$E$1180,2,FALSE)</f>
        <v>CSR_30200</v>
      </c>
      <c r="G139" s="203">
        <v>46125</v>
      </c>
      <c r="H139" s="212">
        <v>0.5</v>
      </c>
      <c r="I139" s="205">
        <f t="shared" si="2"/>
        <v>2.6315789473684209E-2</v>
      </c>
      <c r="J139" s="206" t="s">
        <v>241</v>
      </c>
      <c r="K139" s="204"/>
    </row>
    <row r="140" spans="1:11" ht="32">
      <c r="A140" s="198" t="s">
        <v>821</v>
      </c>
      <c r="B140" s="199" t="s">
        <v>31</v>
      </c>
      <c r="C140" s="199" t="s">
        <v>32</v>
      </c>
      <c r="D140" s="200" t="s">
        <v>199</v>
      </c>
      <c r="E140" s="210" t="s">
        <v>1059</v>
      </c>
      <c r="F140" s="202" t="str">
        <f>VLOOKUP(D140,CSR!$D$4:$E$1180,2,FALSE)</f>
        <v>CSR_30000</v>
      </c>
      <c r="G140" s="203">
        <v>46128</v>
      </c>
      <c r="H140" s="212">
        <v>0.5</v>
      </c>
      <c r="I140" s="205">
        <f t="shared" si="2"/>
        <v>2.6315789473684209E-2</v>
      </c>
      <c r="J140" s="206" t="s">
        <v>241</v>
      </c>
      <c r="K140" s="204"/>
    </row>
    <row r="141" spans="1:11" ht="32">
      <c r="A141" s="198" t="s">
        <v>821</v>
      </c>
      <c r="B141" s="199" t="s">
        <v>70</v>
      </c>
      <c r="C141" s="199" t="s">
        <v>245</v>
      </c>
      <c r="D141" s="200" t="s">
        <v>751</v>
      </c>
      <c r="E141" s="210" t="s">
        <v>1060</v>
      </c>
      <c r="F141" s="202" t="str">
        <f>VLOOKUP(D141,CSR!$D$4:$E$1180,2,FALSE)</f>
        <v>CSR_20100</v>
      </c>
      <c r="G141" s="203">
        <v>46131</v>
      </c>
      <c r="H141" s="212">
        <v>0.2</v>
      </c>
      <c r="I141" s="205">
        <f t="shared" si="2"/>
        <v>1.0526315789473684E-2</v>
      </c>
      <c r="J141" s="206" t="s">
        <v>241</v>
      </c>
      <c r="K141" s="204"/>
    </row>
    <row r="142" spans="1:11" ht="32">
      <c r="A142" s="198" t="s">
        <v>821</v>
      </c>
      <c r="B142" s="199" t="s">
        <v>70</v>
      </c>
      <c r="C142" s="199" t="s">
        <v>71</v>
      </c>
      <c r="D142" s="200" t="s">
        <v>72</v>
      </c>
      <c r="E142" s="210" t="s">
        <v>1061</v>
      </c>
      <c r="F142" s="202" t="str">
        <f>VLOOKUP(D142,CSR!$D$4:$E$1180,2,FALSE)</f>
        <v>CSR_20400</v>
      </c>
      <c r="G142" s="203">
        <v>46132</v>
      </c>
      <c r="H142" s="212">
        <v>1</v>
      </c>
      <c r="I142" s="205">
        <f t="shared" si="2"/>
        <v>5.2631578947368418E-2</v>
      </c>
      <c r="J142" s="206" t="s">
        <v>852</v>
      </c>
      <c r="K142" s="204"/>
    </row>
    <row r="143" spans="1:11" ht="48">
      <c r="A143" s="198" t="s">
        <v>1051</v>
      </c>
      <c r="B143" s="199" t="s">
        <v>70</v>
      </c>
      <c r="C143" s="199" t="s">
        <v>245</v>
      </c>
      <c r="D143" s="200" t="s">
        <v>255</v>
      </c>
      <c r="E143" s="210" t="s">
        <v>1062</v>
      </c>
      <c r="F143" s="202" t="str">
        <f>VLOOKUP(D143,CSR!$D$4:$E$1180,2,FALSE)</f>
        <v>CSR_20100</v>
      </c>
      <c r="G143" s="203">
        <v>46132</v>
      </c>
      <c r="H143" s="212">
        <v>1</v>
      </c>
      <c r="I143" s="205">
        <f t="shared" si="2"/>
        <v>5.2631578947368418E-2</v>
      </c>
      <c r="J143" s="206" t="s">
        <v>852</v>
      </c>
      <c r="K143" s="204"/>
    </row>
    <row r="144" spans="1:11" ht="96">
      <c r="A144" s="198" t="s">
        <v>821</v>
      </c>
      <c r="B144" s="199" t="s">
        <v>70</v>
      </c>
      <c r="C144" s="199" t="s">
        <v>245</v>
      </c>
      <c r="D144" s="200" t="s">
        <v>1063</v>
      </c>
      <c r="E144" s="210" t="s">
        <v>1064</v>
      </c>
      <c r="F144" s="202" t="e">
        <f>VLOOKUP(D144,CSR!$D$4:$E$1180,2,FALSE)</f>
        <v>#N/A</v>
      </c>
      <c r="G144" s="203">
        <v>46132</v>
      </c>
      <c r="H144" s="212">
        <v>1.5</v>
      </c>
      <c r="I144" s="205">
        <f t="shared" si="2"/>
        <v>7.8947368421052627E-2</v>
      </c>
      <c r="J144" s="206" t="s">
        <v>241</v>
      </c>
      <c r="K144" s="204"/>
    </row>
    <row r="145" spans="1:11" ht="64">
      <c r="A145" s="198" t="s">
        <v>821</v>
      </c>
      <c r="B145" s="199" t="s">
        <v>70</v>
      </c>
      <c r="C145" s="199" t="s">
        <v>71</v>
      </c>
      <c r="D145" s="200" t="s">
        <v>252</v>
      </c>
      <c r="E145" s="210" t="s">
        <v>1065</v>
      </c>
      <c r="F145" s="202" t="str">
        <f>VLOOKUP(D145,CSR!$D$4:$E$1180,2,FALSE)</f>
        <v>CSR_20300</v>
      </c>
      <c r="G145" s="203">
        <v>46132</v>
      </c>
      <c r="H145" s="212">
        <v>1.5</v>
      </c>
      <c r="I145" s="205">
        <f t="shared" si="2"/>
        <v>7.8947368421052627E-2</v>
      </c>
      <c r="J145" s="206" t="s">
        <v>241</v>
      </c>
      <c r="K145" s="204"/>
    </row>
    <row r="146" spans="1:11" ht="64">
      <c r="A146" s="198" t="s">
        <v>821</v>
      </c>
      <c r="B146" s="199" t="s">
        <v>31</v>
      </c>
      <c r="C146" s="199" t="s">
        <v>32</v>
      </c>
      <c r="D146" s="200" t="s">
        <v>259</v>
      </c>
      <c r="E146" s="210" t="s">
        <v>1066</v>
      </c>
      <c r="F146" s="202" t="str">
        <f>VLOOKUP(D146,CSR!$D$4:$E$1180,2,FALSE)</f>
        <v>CSR_30100</v>
      </c>
      <c r="G146" s="203">
        <v>46132</v>
      </c>
      <c r="H146" s="212">
        <v>1.5</v>
      </c>
      <c r="I146" s="205">
        <f t="shared" si="2"/>
        <v>7.8947368421052627E-2</v>
      </c>
      <c r="J146" s="206" t="s">
        <v>241</v>
      </c>
      <c r="K146" s="204"/>
    </row>
    <row r="147" spans="1:11" ht="64">
      <c r="A147" s="198" t="s">
        <v>821</v>
      </c>
      <c r="B147" s="199" t="s">
        <v>16</v>
      </c>
      <c r="C147" s="199" t="s">
        <v>17</v>
      </c>
      <c r="D147" s="200" t="s">
        <v>262</v>
      </c>
      <c r="E147" s="210" t="s">
        <v>1067</v>
      </c>
      <c r="F147" s="202" t="str">
        <f>VLOOKUP(D147,CSR!$D$4:$E$1180,2,FALSE)</f>
        <v>CSR_11100</v>
      </c>
      <c r="G147" s="203">
        <v>46132</v>
      </c>
      <c r="H147" s="212">
        <v>1.5</v>
      </c>
      <c r="I147" s="205">
        <f t="shared" si="2"/>
        <v>7.8947368421052627E-2</v>
      </c>
      <c r="J147" s="206" t="s">
        <v>241</v>
      </c>
      <c r="K147" s="204"/>
    </row>
    <row r="148" spans="1:11" ht="48">
      <c r="A148" s="198" t="s">
        <v>15</v>
      </c>
      <c r="B148" s="199" t="s">
        <v>31</v>
      </c>
      <c r="C148" s="199" t="s">
        <v>32</v>
      </c>
      <c r="D148" s="200" t="s">
        <v>259</v>
      </c>
      <c r="E148" s="210" t="s">
        <v>1068</v>
      </c>
      <c r="F148" s="202" t="str">
        <f>VLOOKUP(D148,CSR!$D$4:$E$1180,2,FALSE)</f>
        <v>CSR_30100</v>
      </c>
      <c r="G148" s="203">
        <v>46132</v>
      </c>
      <c r="H148" s="212">
        <v>0.5</v>
      </c>
      <c r="I148" s="205">
        <f t="shared" si="2"/>
        <v>2.6315789473684209E-2</v>
      </c>
      <c r="J148" s="206" t="s">
        <v>241</v>
      </c>
      <c r="K148" s="204"/>
    </row>
    <row r="149" spans="1:11" ht="48">
      <c r="A149" s="198" t="s">
        <v>15</v>
      </c>
      <c r="B149" s="199" t="s">
        <v>31</v>
      </c>
      <c r="C149" s="199" t="s">
        <v>32</v>
      </c>
      <c r="D149" s="200" t="s">
        <v>208</v>
      </c>
      <c r="E149" s="210" t="s">
        <v>1069</v>
      </c>
      <c r="F149" s="202" t="str">
        <f>VLOOKUP(D149,CSR!$D$4:$E$1180,2,FALSE)</f>
        <v>CSR_30400</v>
      </c>
      <c r="G149" s="203">
        <v>46132</v>
      </c>
      <c r="H149" s="212">
        <v>1</v>
      </c>
      <c r="I149" s="205">
        <f t="shared" si="2"/>
        <v>5.2631578947368418E-2</v>
      </c>
      <c r="J149" s="206" t="s">
        <v>241</v>
      </c>
      <c r="K149" s="204"/>
    </row>
    <row r="150" spans="1:11" ht="64">
      <c r="A150" s="198" t="s">
        <v>821</v>
      </c>
      <c r="B150" s="199" t="s">
        <v>70</v>
      </c>
      <c r="C150" s="199" t="s">
        <v>245</v>
      </c>
      <c r="D150" s="200" t="s">
        <v>748</v>
      </c>
      <c r="E150" s="210" t="s">
        <v>1070</v>
      </c>
      <c r="F150" s="202" t="str">
        <f>VLOOKUP(D150,CSR!$D$4:$E$1180,2,FALSE)</f>
        <v>CSR_20007</v>
      </c>
      <c r="G150" s="203">
        <v>46132</v>
      </c>
      <c r="H150" s="212">
        <v>1.5</v>
      </c>
      <c r="I150" s="205">
        <f t="shared" si="2"/>
        <v>7.8947368421052627E-2</v>
      </c>
      <c r="J150" s="206" t="s">
        <v>241</v>
      </c>
      <c r="K150" s="204"/>
    </row>
    <row r="151" spans="1:11" ht="32">
      <c r="A151" s="198" t="s">
        <v>821</v>
      </c>
      <c r="B151" s="199" t="s">
        <v>70</v>
      </c>
      <c r="C151" s="199" t="s">
        <v>71</v>
      </c>
      <c r="D151" s="200" t="s">
        <v>266</v>
      </c>
      <c r="E151" s="210" t="s">
        <v>1071</v>
      </c>
      <c r="F151" s="202" t="str">
        <f>VLOOKUP(D151,CSR!$D$4:$E$1180,2,FALSE)</f>
        <v>CSR_20200</v>
      </c>
      <c r="G151" s="203">
        <v>46132</v>
      </c>
      <c r="H151" s="212">
        <v>1</v>
      </c>
      <c r="I151" s="205">
        <f t="shared" si="2"/>
        <v>5.2631578947368418E-2</v>
      </c>
      <c r="J151" s="206" t="s">
        <v>852</v>
      </c>
      <c r="K151" s="204"/>
    </row>
    <row r="152" spans="1:11" ht="80">
      <c r="A152" s="216" t="s">
        <v>915</v>
      </c>
      <c r="B152" s="199" t="s">
        <v>31</v>
      </c>
      <c r="C152" s="199" t="s">
        <v>32</v>
      </c>
      <c r="D152" s="200" t="s">
        <v>760</v>
      </c>
      <c r="E152" s="201" t="s">
        <v>1072</v>
      </c>
      <c r="F152" s="202" t="str">
        <f>VLOOKUP(D152,CSR!$D$4:$E$1180,2,FALSE)</f>
        <v>CSR_30000</v>
      </c>
      <c r="G152" s="203">
        <v>46112</v>
      </c>
      <c r="H152" s="212">
        <v>3</v>
      </c>
      <c r="I152" s="205">
        <f t="shared" si="2"/>
        <v>0.15789473684210525</v>
      </c>
      <c r="J152" s="206" t="s">
        <v>285</v>
      </c>
      <c r="K152" s="204"/>
    </row>
    <row r="153" spans="1:11" ht="16">
      <c r="A153" s="198" t="s">
        <v>821</v>
      </c>
      <c r="B153" s="199" t="s">
        <v>846</v>
      </c>
      <c r="C153" s="199" t="s">
        <v>17</v>
      </c>
      <c r="D153" s="207" t="s">
        <v>681</v>
      </c>
      <c r="E153" s="210" t="s">
        <v>1073</v>
      </c>
      <c r="F153" s="202" t="str">
        <f>VLOOKUP(D153,CSR!$D$4:$E$1180,2,FALSE)</f>
        <v>CSR_11314</v>
      </c>
      <c r="G153" s="225" t="s">
        <v>1008</v>
      </c>
      <c r="H153" s="212">
        <v>2</v>
      </c>
      <c r="I153" s="205">
        <f t="shared" ref="I153:I216" si="3">H153*10/190</f>
        <v>0.10526315789473684</v>
      </c>
      <c r="J153" s="206" t="s">
        <v>872</v>
      </c>
      <c r="K153" s="204"/>
    </row>
    <row r="154" spans="1:11" ht="64">
      <c r="A154" s="216" t="s">
        <v>821</v>
      </c>
      <c r="B154" s="199" t="s">
        <v>31</v>
      </c>
      <c r="C154" s="199" t="s">
        <v>32</v>
      </c>
      <c r="D154" s="200" t="s">
        <v>760</v>
      </c>
      <c r="E154" s="201" t="s">
        <v>1074</v>
      </c>
      <c r="F154" s="202" t="str">
        <f>VLOOKUP(D154,CSR!$D$4:$E$1180,2,FALSE)</f>
        <v>CSR_30000</v>
      </c>
      <c r="G154" s="203">
        <v>46128</v>
      </c>
      <c r="H154" s="212">
        <v>3</v>
      </c>
      <c r="I154" s="205">
        <f t="shared" si="3"/>
        <v>0.15789473684210525</v>
      </c>
      <c r="J154" s="206" t="s">
        <v>285</v>
      </c>
      <c r="K154" s="204"/>
    </row>
    <row r="155" spans="1:11" ht="64">
      <c r="A155" s="216" t="s">
        <v>821</v>
      </c>
      <c r="B155" s="199" t="s">
        <v>31</v>
      </c>
      <c r="C155" s="199" t="s">
        <v>32</v>
      </c>
      <c r="D155" s="200" t="s">
        <v>199</v>
      </c>
      <c r="E155" s="201" t="s">
        <v>1075</v>
      </c>
      <c r="F155" s="202" t="str">
        <f>VLOOKUP(D155,CSR!$D$4:$E$1180,2,FALSE)</f>
        <v>CSR_30000</v>
      </c>
      <c r="G155" s="203">
        <v>46128</v>
      </c>
      <c r="H155" s="212">
        <v>1</v>
      </c>
      <c r="I155" s="205">
        <f t="shared" si="3"/>
        <v>5.2631578947368418E-2</v>
      </c>
      <c r="J155" s="206" t="s">
        <v>872</v>
      </c>
      <c r="K155" s="204"/>
    </row>
    <row r="156" spans="1:11" ht="64">
      <c r="A156" s="216" t="s">
        <v>821</v>
      </c>
      <c r="B156" s="199" t="s">
        <v>31</v>
      </c>
      <c r="C156" s="199" t="s">
        <v>32</v>
      </c>
      <c r="D156" s="200" t="s">
        <v>199</v>
      </c>
      <c r="E156" s="201" t="s">
        <v>1076</v>
      </c>
      <c r="F156" s="202" t="str">
        <f>VLOOKUP(D156,CSR!$D$4:$E$1180,2,FALSE)</f>
        <v>CSR_30000</v>
      </c>
      <c r="G156" s="203">
        <v>46128</v>
      </c>
      <c r="H156" s="212">
        <v>1</v>
      </c>
      <c r="I156" s="205">
        <f t="shared" si="3"/>
        <v>5.2631578947368418E-2</v>
      </c>
      <c r="J156" s="206" t="s">
        <v>872</v>
      </c>
      <c r="K156" s="204"/>
    </row>
    <row r="157" spans="1:11" ht="16">
      <c r="A157" s="198" t="s">
        <v>821</v>
      </c>
      <c r="B157" s="199" t="s">
        <v>31</v>
      </c>
      <c r="C157" s="199" t="s">
        <v>32</v>
      </c>
      <c r="D157" s="200" t="s">
        <v>760</v>
      </c>
      <c r="E157" s="201" t="s">
        <v>1077</v>
      </c>
      <c r="F157" s="202" t="str">
        <f>VLOOKUP(D157,CSR!$D$4:$E$1180,2,FALSE)</f>
        <v>CSR_30000</v>
      </c>
      <c r="G157" s="225" t="s">
        <v>1018</v>
      </c>
      <c r="H157" s="212">
        <v>1</v>
      </c>
      <c r="I157" s="205">
        <f t="shared" si="3"/>
        <v>5.2631578947368418E-2</v>
      </c>
      <c r="J157" s="206" t="s">
        <v>872</v>
      </c>
      <c r="K157" s="204"/>
    </row>
    <row r="158" spans="1:11" ht="32">
      <c r="A158" s="198" t="s">
        <v>821</v>
      </c>
      <c r="B158" s="199" t="s">
        <v>846</v>
      </c>
      <c r="C158" s="199" t="s">
        <v>17</v>
      </c>
      <c r="D158" s="207" t="s">
        <v>681</v>
      </c>
      <c r="E158" s="210" t="s">
        <v>1078</v>
      </c>
      <c r="F158" s="202" t="str">
        <f>VLOOKUP(D158,CSR!$D$4:$E$1180,2,FALSE)</f>
        <v>CSR_11314</v>
      </c>
      <c r="G158" s="203" t="s">
        <v>1018</v>
      </c>
      <c r="H158" s="204">
        <v>5</v>
      </c>
      <c r="I158" s="205">
        <f t="shared" si="3"/>
        <v>0.26315789473684209</v>
      </c>
      <c r="J158" s="206" t="s">
        <v>872</v>
      </c>
      <c r="K158" s="204"/>
    </row>
    <row r="159" spans="1:11" s="219" customFormat="1" ht="16">
      <c r="A159" s="198" t="s">
        <v>1051</v>
      </c>
      <c r="B159" s="199" t="s">
        <v>16</v>
      </c>
      <c r="C159" s="199" t="s">
        <v>17</v>
      </c>
      <c r="D159" s="200" t="s">
        <v>220</v>
      </c>
      <c r="E159" s="201" t="s">
        <v>1079</v>
      </c>
      <c r="F159" s="202" t="str">
        <f>VLOOKUP(D159,CSR!$D$4:$E$1180,2,FALSE)</f>
        <v>CSR_10700</v>
      </c>
      <c r="G159" s="203" t="s">
        <v>1080</v>
      </c>
      <c r="H159" s="208">
        <v>0.5</v>
      </c>
      <c r="I159" s="205">
        <f t="shared" si="3"/>
        <v>2.6315789473684209E-2</v>
      </c>
      <c r="J159" s="206" t="s">
        <v>1081</v>
      </c>
      <c r="K159" s="204"/>
    </row>
    <row r="160" spans="1:11" ht="48">
      <c r="A160" s="198" t="s">
        <v>1051</v>
      </c>
      <c r="B160" s="199" t="s">
        <v>16</v>
      </c>
      <c r="C160" s="199" t="s">
        <v>17</v>
      </c>
      <c r="D160" s="207" t="s">
        <v>131</v>
      </c>
      <c r="E160" s="226" t="s">
        <v>1082</v>
      </c>
      <c r="F160" s="202" t="str">
        <f>VLOOKUP(D160,CSR!$D$4:$E$1180,2,FALSE)</f>
        <v>CSR_10400</v>
      </c>
      <c r="G160" s="203" t="s">
        <v>1083</v>
      </c>
      <c r="H160" s="212">
        <v>2</v>
      </c>
      <c r="I160" s="205">
        <f t="shared" si="3"/>
        <v>0.10526315789473684</v>
      </c>
      <c r="J160" s="211" t="s">
        <v>297</v>
      </c>
      <c r="K160" s="204"/>
    </row>
    <row r="161" spans="1:11" ht="16">
      <c r="A161" s="198" t="s">
        <v>1051</v>
      </c>
      <c r="B161" s="199" t="s">
        <v>16</v>
      </c>
      <c r="C161" s="199" t="s">
        <v>17</v>
      </c>
      <c r="D161" s="200" t="s">
        <v>55</v>
      </c>
      <c r="E161" s="201" t="s">
        <v>1084</v>
      </c>
      <c r="F161" s="202" t="str">
        <f>VLOOKUP(D161,CSR!$D$4:$E$1180,2,FALSE)</f>
        <v>CSR_11314</v>
      </c>
      <c r="G161" s="203" t="s">
        <v>1083</v>
      </c>
      <c r="H161" s="208">
        <v>2</v>
      </c>
      <c r="I161" s="205">
        <f t="shared" si="3"/>
        <v>0.10526315789473684</v>
      </c>
      <c r="J161" s="206" t="s">
        <v>297</v>
      </c>
      <c r="K161" s="204"/>
    </row>
    <row r="162" spans="1:11" s="219" customFormat="1" ht="16">
      <c r="A162" s="198" t="s">
        <v>1051</v>
      </c>
      <c r="B162" s="199" t="s">
        <v>49</v>
      </c>
      <c r="C162" s="199" t="s">
        <v>175</v>
      </c>
      <c r="D162" s="208" t="s">
        <v>176</v>
      </c>
      <c r="E162" s="201" t="s">
        <v>1085</v>
      </c>
      <c r="F162" s="202" t="str">
        <f>VLOOKUP(D162,CSR!$D$4:$E$1180,2,FALSE)</f>
        <v>CSR_40700</v>
      </c>
      <c r="G162" s="203" t="s">
        <v>1086</v>
      </c>
      <c r="H162" s="204">
        <v>0.5</v>
      </c>
      <c r="I162" s="205">
        <f t="shared" si="3"/>
        <v>2.6315789473684209E-2</v>
      </c>
      <c r="J162" s="206" t="s">
        <v>297</v>
      </c>
      <c r="K162" s="204"/>
    </row>
    <row r="163" spans="1:11" ht="16">
      <c r="A163" s="198" t="s">
        <v>1051</v>
      </c>
      <c r="B163" s="199" t="s">
        <v>49</v>
      </c>
      <c r="C163" s="199" t="s">
        <v>175</v>
      </c>
      <c r="D163" s="208" t="s">
        <v>202</v>
      </c>
      <c r="E163" s="201" t="s">
        <v>1087</v>
      </c>
      <c r="F163" s="202" t="str">
        <f>VLOOKUP(D163,CSR!$D$4:$E$1180,2,FALSE)</f>
        <v>CSR_40600</v>
      </c>
      <c r="G163" s="203" t="s">
        <v>1086</v>
      </c>
      <c r="H163" s="208">
        <v>2</v>
      </c>
      <c r="I163" s="205">
        <f t="shared" si="3"/>
        <v>0.10526315789473684</v>
      </c>
      <c r="J163" s="206" t="s">
        <v>297</v>
      </c>
      <c r="K163" s="204"/>
    </row>
    <row r="164" spans="1:11" ht="16">
      <c r="A164" s="198" t="s">
        <v>15</v>
      </c>
      <c r="B164" s="199" t="s">
        <v>16</v>
      </c>
      <c r="C164" s="199" t="s">
        <v>17</v>
      </c>
      <c r="D164" s="208" t="s">
        <v>65</v>
      </c>
      <c r="E164" s="227" t="s">
        <v>1088</v>
      </c>
      <c r="F164" s="202" t="str">
        <f>VLOOKUP(D164,CSR!$D$4:$E$1180,2,FALSE)</f>
        <v>CSR_10800</v>
      </c>
      <c r="G164" s="203" t="s">
        <v>1089</v>
      </c>
      <c r="H164" s="204">
        <v>3</v>
      </c>
      <c r="I164" s="205">
        <f t="shared" si="3"/>
        <v>0.15789473684210525</v>
      </c>
      <c r="J164" s="206" t="s">
        <v>297</v>
      </c>
      <c r="K164" s="204"/>
    </row>
    <row r="165" spans="1:11" s="219" customFormat="1" ht="16">
      <c r="A165" s="198" t="s">
        <v>15</v>
      </c>
      <c r="B165" s="199" t="s">
        <v>49</v>
      </c>
      <c r="C165" s="199" t="s">
        <v>50</v>
      </c>
      <c r="D165" s="200" t="s">
        <v>298</v>
      </c>
      <c r="E165" s="218" t="s">
        <v>1090</v>
      </c>
      <c r="F165" s="202" t="str">
        <f>VLOOKUP(D165,CSR!$D$4:$E$1180,2,FALSE)</f>
        <v>CSR_41104</v>
      </c>
      <c r="G165" s="203" t="s">
        <v>1091</v>
      </c>
      <c r="H165" s="204">
        <v>1</v>
      </c>
      <c r="I165" s="205">
        <f t="shared" si="3"/>
        <v>5.2631578947368418E-2</v>
      </c>
      <c r="J165" s="206" t="s">
        <v>297</v>
      </c>
      <c r="K165" s="204"/>
    </row>
    <row r="166" spans="1:11" ht="16">
      <c r="A166" s="198" t="s">
        <v>15</v>
      </c>
      <c r="B166" s="199" t="s">
        <v>16</v>
      </c>
      <c r="C166" s="199" t="s">
        <v>17</v>
      </c>
      <c r="D166" s="200" t="s">
        <v>55</v>
      </c>
      <c r="E166" s="201" t="s">
        <v>1084</v>
      </c>
      <c r="F166" s="202" t="str">
        <f>VLOOKUP(D166,CSR!$D$4:$E$1180,2,FALSE)</f>
        <v>CSR_11314</v>
      </c>
      <c r="G166" s="203" t="s">
        <v>1092</v>
      </c>
      <c r="H166" s="204">
        <v>2</v>
      </c>
      <c r="I166" s="205">
        <f t="shared" si="3"/>
        <v>0.10526315789473684</v>
      </c>
      <c r="J166" s="206" t="s">
        <v>297</v>
      </c>
      <c r="K166" s="204"/>
    </row>
    <row r="167" spans="1:11" ht="16">
      <c r="A167" s="198" t="s">
        <v>15</v>
      </c>
      <c r="B167" s="199" t="s">
        <v>49</v>
      </c>
      <c r="C167" s="199" t="s">
        <v>175</v>
      </c>
      <c r="D167" s="208" t="s">
        <v>202</v>
      </c>
      <c r="E167" s="201" t="s">
        <v>1093</v>
      </c>
      <c r="F167" s="202" t="str">
        <f>VLOOKUP(D167,CSR!$D$4:$E$1180,2,FALSE)</f>
        <v>CSR_40600</v>
      </c>
      <c r="G167" s="203" t="s">
        <v>1092</v>
      </c>
      <c r="H167" s="208">
        <v>2</v>
      </c>
      <c r="I167" s="205">
        <f t="shared" si="3"/>
        <v>0.10526315789473684</v>
      </c>
      <c r="J167" s="206" t="s">
        <v>297</v>
      </c>
      <c r="K167" s="204"/>
    </row>
    <row r="168" spans="1:11" ht="64">
      <c r="A168" s="198" t="s">
        <v>15</v>
      </c>
      <c r="B168" s="199" t="s">
        <v>16</v>
      </c>
      <c r="C168" s="199" t="s">
        <v>17</v>
      </c>
      <c r="D168" s="208" t="s">
        <v>131</v>
      </c>
      <c r="E168" s="210" t="s">
        <v>1094</v>
      </c>
      <c r="F168" s="202" t="str">
        <f>VLOOKUP(D168,CSR!$D$4:$E$1180,2,FALSE)</f>
        <v>CSR_10400</v>
      </c>
      <c r="G168" s="203" t="s">
        <v>1095</v>
      </c>
      <c r="H168" s="204">
        <v>4</v>
      </c>
      <c r="I168" s="205">
        <f t="shared" si="3"/>
        <v>0.21052631578947367</v>
      </c>
      <c r="J168" s="206" t="s">
        <v>297</v>
      </c>
      <c r="K168" s="204"/>
    </row>
    <row r="169" spans="1:11" ht="16">
      <c r="A169" s="198" t="s">
        <v>915</v>
      </c>
      <c r="B169" s="199" t="s">
        <v>16</v>
      </c>
      <c r="C169" s="199" t="s">
        <v>17</v>
      </c>
      <c r="D169" s="200" t="s">
        <v>262</v>
      </c>
      <c r="E169" s="210" t="s">
        <v>1096</v>
      </c>
      <c r="F169" s="202" t="str">
        <f>VLOOKUP(D169,CSR!$D$4:$E$1180,2,FALSE)</f>
        <v>CSR_11100</v>
      </c>
      <c r="G169" s="203" t="s">
        <v>1097</v>
      </c>
      <c r="H169" s="212">
        <v>2</v>
      </c>
      <c r="I169" s="205">
        <f t="shared" si="3"/>
        <v>0.10526315789473684</v>
      </c>
      <c r="J169" s="211" t="s">
        <v>1098</v>
      </c>
      <c r="K169" s="204"/>
    </row>
    <row r="170" spans="1:11" ht="16">
      <c r="A170" s="198" t="s">
        <v>821</v>
      </c>
      <c r="B170" s="199" t="s">
        <v>70</v>
      </c>
      <c r="C170" s="199" t="s">
        <v>245</v>
      </c>
      <c r="D170" s="200" t="s">
        <v>1063</v>
      </c>
      <c r="E170" s="204" t="s">
        <v>1099</v>
      </c>
      <c r="F170" s="202" t="e">
        <f>VLOOKUP(D170,CSR!$D$4:$E$1180,2,FALSE)</f>
        <v>#N/A</v>
      </c>
      <c r="G170" s="203" t="s">
        <v>1000</v>
      </c>
      <c r="H170" s="208">
        <v>5</v>
      </c>
      <c r="I170" s="205">
        <f t="shared" si="3"/>
        <v>0.26315789473684209</v>
      </c>
      <c r="J170" s="211" t="s">
        <v>1098</v>
      </c>
      <c r="K170" s="204"/>
    </row>
    <row r="171" spans="1:11" ht="48">
      <c r="A171" s="198" t="s">
        <v>821</v>
      </c>
      <c r="B171" s="199" t="s">
        <v>758</v>
      </c>
      <c r="C171" s="199" t="s">
        <v>759</v>
      </c>
      <c r="D171" s="208" t="s">
        <v>208</v>
      </c>
      <c r="E171" s="210" t="s">
        <v>1069</v>
      </c>
      <c r="F171" s="202" t="str">
        <f>VLOOKUP(D171,CSR!$D$4:$E$1180,2,FALSE)</f>
        <v>CSR_30400</v>
      </c>
      <c r="G171" s="203" t="s">
        <v>1002</v>
      </c>
      <c r="H171" s="204">
        <v>2</v>
      </c>
      <c r="I171" s="205">
        <f t="shared" si="3"/>
        <v>0.10526315789473684</v>
      </c>
      <c r="J171" s="211" t="s">
        <v>1098</v>
      </c>
      <c r="K171" s="204"/>
    </row>
    <row r="172" spans="1:11" ht="64">
      <c r="A172" s="198" t="s">
        <v>821</v>
      </c>
      <c r="B172" s="199" t="s">
        <v>16</v>
      </c>
      <c r="C172" s="199" t="s">
        <v>17</v>
      </c>
      <c r="D172" s="204" t="s">
        <v>635</v>
      </c>
      <c r="E172" s="201" t="s">
        <v>1100</v>
      </c>
      <c r="F172" s="202" t="str">
        <f>VLOOKUP(D172,CSR!$D$4:$E$1180,2,FALSE)</f>
        <v>CSR_10800</v>
      </c>
      <c r="G172" s="203" t="s">
        <v>1101</v>
      </c>
      <c r="H172" s="208">
        <v>4</v>
      </c>
      <c r="I172" s="205">
        <f t="shared" si="3"/>
        <v>0.21052631578947367</v>
      </c>
      <c r="J172" s="211" t="s">
        <v>1098</v>
      </c>
      <c r="K172" s="204"/>
    </row>
    <row r="173" spans="1:11" ht="32">
      <c r="A173" s="198" t="s">
        <v>15</v>
      </c>
      <c r="B173" s="199" t="s">
        <v>16</v>
      </c>
      <c r="C173" s="199" t="s">
        <v>17</v>
      </c>
      <c r="D173" s="200" t="s">
        <v>131</v>
      </c>
      <c r="E173" s="210" t="s">
        <v>1102</v>
      </c>
      <c r="F173" s="202" t="str">
        <f>VLOOKUP(D173,CSR!$D$4:$E$1180,2,FALSE)</f>
        <v>CSR_10400</v>
      </c>
      <c r="G173" s="203" t="s">
        <v>1095</v>
      </c>
      <c r="H173" s="204">
        <v>0.5</v>
      </c>
      <c r="I173" s="205">
        <f t="shared" si="3"/>
        <v>2.6315789473684209E-2</v>
      </c>
      <c r="J173" s="211" t="s">
        <v>1098</v>
      </c>
      <c r="K173" s="204"/>
    </row>
    <row r="174" spans="1:11" ht="16">
      <c r="A174" s="198" t="s">
        <v>15</v>
      </c>
      <c r="B174" s="199" t="s">
        <v>31</v>
      </c>
      <c r="C174" s="199" t="s">
        <v>32</v>
      </c>
      <c r="D174" s="200" t="s">
        <v>33</v>
      </c>
      <c r="E174" s="201" t="s">
        <v>1103</v>
      </c>
      <c r="F174" s="202" t="str">
        <f>VLOOKUP(D174,CSR!$D$4:$E$1180,2,FALSE)</f>
        <v>CSR_30200</v>
      </c>
      <c r="G174" s="203" t="s">
        <v>1095</v>
      </c>
      <c r="H174" s="208">
        <v>0.5</v>
      </c>
      <c r="I174" s="205">
        <f t="shared" si="3"/>
        <v>2.6315789473684209E-2</v>
      </c>
      <c r="J174" s="211" t="s">
        <v>1098</v>
      </c>
      <c r="K174" s="204"/>
    </row>
    <row r="175" spans="1:11" ht="16">
      <c r="A175" s="198" t="s">
        <v>821</v>
      </c>
      <c r="B175" s="199" t="s">
        <v>70</v>
      </c>
      <c r="C175" s="199" t="s">
        <v>245</v>
      </c>
      <c r="D175" s="200" t="s">
        <v>748</v>
      </c>
      <c r="E175" s="210" t="s">
        <v>1104</v>
      </c>
      <c r="F175" s="202" t="str">
        <f>VLOOKUP(D175,CSR!$D$4:$E$1180,2,FALSE)</f>
        <v>CSR_20007</v>
      </c>
      <c r="G175" s="203">
        <v>46132</v>
      </c>
      <c r="H175" s="212">
        <v>4</v>
      </c>
      <c r="I175" s="205">
        <f>H175*10/190</f>
        <v>0.21052631578947367</v>
      </c>
      <c r="J175" s="211" t="s">
        <v>1098</v>
      </c>
      <c r="K175" s="204"/>
    </row>
    <row r="176" spans="1:11" ht="32">
      <c r="A176" s="198" t="s">
        <v>821</v>
      </c>
      <c r="B176" s="199" t="s">
        <v>758</v>
      </c>
      <c r="C176" s="199" t="s">
        <v>759</v>
      </c>
      <c r="D176" s="200" t="s">
        <v>880</v>
      </c>
      <c r="E176" s="201" t="s">
        <v>842</v>
      </c>
      <c r="F176" s="202" t="str">
        <f>VLOOKUP(D176,CSR!$D$4:$E$1180,2,FALSE)</f>
        <v>CSR_30600</v>
      </c>
      <c r="G176" s="203" t="s">
        <v>1017</v>
      </c>
      <c r="H176" s="208">
        <v>5</v>
      </c>
      <c r="I176" s="205">
        <f t="shared" si="3"/>
        <v>0.26315789473684209</v>
      </c>
      <c r="J176" s="206" t="s">
        <v>881</v>
      </c>
      <c r="K176" s="204"/>
    </row>
    <row r="177" spans="1:11" ht="32">
      <c r="A177" s="198" t="s">
        <v>915</v>
      </c>
      <c r="B177" s="199" t="s">
        <v>615</v>
      </c>
      <c r="C177" s="199" t="s">
        <v>17</v>
      </c>
      <c r="D177" s="200" t="s">
        <v>65</v>
      </c>
      <c r="E177" s="210" t="s">
        <v>1105</v>
      </c>
      <c r="F177" s="202" t="str">
        <f>VLOOKUP(D177,CSR!$D$4:$E$1180,2,FALSE)</f>
        <v>CSR_10800</v>
      </c>
      <c r="G177" s="203">
        <v>46108</v>
      </c>
      <c r="H177" s="204">
        <v>3</v>
      </c>
      <c r="I177" s="205">
        <f t="shared" si="3"/>
        <v>0.15789473684210525</v>
      </c>
      <c r="J177" s="206" t="s">
        <v>1106</v>
      </c>
      <c r="K177" s="204"/>
    </row>
    <row r="178" spans="1:11" ht="16">
      <c r="A178" s="198" t="s">
        <v>915</v>
      </c>
      <c r="B178" s="199" t="s">
        <v>615</v>
      </c>
      <c r="C178" s="199" t="s">
        <v>17</v>
      </c>
      <c r="D178" s="200" t="s">
        <v>719</v>
      </c>
      <c r="E178" s="210" t="s">
        <v>1107</v>
      </c>
      <c r="F178" s="202" t="str">
        <f>VLOOKUP(D178,CSR!$D$4:$E$1180,2,FALSE)</f>
        <v>CSR_11413</v>
      </c>
      <c r="G178" s="203">
        <v>46108</v>
      </c>
      <c r="H178" s="204">
        <v>2</v>
      </c>
      <c r="I178" s="205">
        <f t="shared" si="3"/>
        <v>0.10526315789473684</v>
      </c>
      <c r="J178" s="206" t="s">
        <v>1106</v>
      </c>
      <c r="K178" s="204"/>
    </row>
    <row r="179" spans="1:11" ht="16">
      <c r="A179" s="198" t="s">
        <v>821</v>
      </c>
      <c r="B179" s="199" t="s">
        <v>758</v>
      </c>
      <c r="C179" s="199" t="s">
        <v>769</v>
      </c>
      <c r="D179" s="200" t="s">
        <v>772</v>
      </c>
      <c r="E179" s="210" t="s">
        <v>1108</v>
      </c>
      <c r="F179" s="202" t="str">
        <f>VLOOKUP(D179,CSR!$D$4:$E$1180,2,FALSE)</f>
        <v>CSR_30800</v>
      </c>
      <c r="G179" s="203">
        <v>46115</v>
      </c>
      <c r="H179" s="204">
        <v>2</v>
      </c>
      <c r="I179" s="205">
        <f t="shared" si="3"/>
        <v>0.10526315789473684</v>
      </c>
      <c r="J179" s="206" t="s">
        <v>1106</v>
      </c>
      <c r="K179" s="204"/>
    </row>
    <row r="180" spans="1:11" ht="16">
      <c r="A180" s="198" t="s">
        <v>821</v>
      </c>
      <c r="B180" s="199" t="s">
        <v>758</v>
      </c>
      <c r="C180" s="199" t="s">
        <v>759</v>
      </c>
      <c r="D180" s="207" t="s">
        <v>764</v>
      </c>
      <c r="E180" s="210" t="s">
        <v>1109</v>
      </c>
      <c r="F180" s="202" t="str">
        <f>VLOOKUP(D180,CSR!$D$4:$E$1180,2,FALSE)</f>
        <v>CSR_30200</v>
      </c>
      <c r="G180" s="203">
        <v>46115</v>
      </c>
      <c r="H180" s="204">
        <v>3</v>
      </c>
      <c r="I180" s="205">
        <f t="shared" si="3"/>
        <v>0.15789473684210525</v>
      </c>
      <c r="J180" s="206" t="s">
        <v>1106</v>
      </c>
      <c r="K180" s="204"/>
    </row>
    <row r="181" spans="1:11" ht="16">
      <c r="A181" s="198" t="s">
        <v>821</v>
      </c>
      <c r="B181" s="199" t="s">
        <v>615</v>
      </c>
      <c r="C181" s="199" t="s">
        <v>17</v>
      </c>
      <c r="D181" s="200" t="s">
        <v>719</v>
      </c>
      <c r="E181" s="210" t="s">
        <v>1110</v>
      </c>
      <c r="F181" s="202" t="str">
        <f>VLOOKUP(D181,CSR!$D$4:$E$1180,2,FALSE)</f>
        <v>CSR_11413</v>
      </c>
      <c r="G181" s="203">
        <v>46122</v>
      </c>
      <c r="H181" s="204">
        <v>3</v>
      </c>
      <c r="I181" s="205">
        <f t="shared" si="3"/>
        <v>0.15789473684210525</v>
      </c>
      <c r="J181" s="206" t="s">
        <v>1106</v>
      </c>
      <c r="K181" s="204"/>
    </row>
    <row r="182" spans="1:11" ht="16">
      <c r="A182" s="198" t="s">
        <v>821</v>
      </c>
      <c r="B182" s="199" t="s">
        <v>758</v>
      </c>
      <c r="C182" s="199" t="s">
        <v>769</v>
      </c>
      <c r="D182" s="200" t="s">
        <v>772</v>
      </c>
      <c r="E182" s="210" t="s">
        <v>1111</v>
      </c>
      <c r="F182" s="202" t="str">
        <f>VLOOKUP(D182,CSR!$D$4:$E$1180,2,FALSE)</f>
        <v>CSR_30800</v>
      </c>
      <c r="G182" s="203">
        <v>46122</v>
      </c>
      <c r="H182" s="204">
        <v>2</v>
      </c>
      <c r="I182" s="205">
        <f t="shared" si="3"/>
        <v>0.10526315789473684</v>
      </c>
      <c r="J182" s="206" t="s">
        <v>1106</v>
      </c>
      <c r="K182" s="204"/>
    </row>
    <row r="183" spans="1:11" ht="16">
      <c r="A183" s="198" t="s">
        <v>821</v>
      </c>
      <c r="B183" s="199" t="s">
        <v>758</v>
      </c>
      <c r="C183" s="199" t="s">
        <v>759</v>
      </c>
      <c r="D183" s="207" t="s">
        <v>764</v>
      </c>
      <c r="E183" s="210" t="s">
        <v>1112</v>
      </c>
      <c r="F183" s="202" t="str">
        <f>VLOOKUP(D183,CSR!$D$4:$E$1180,2,FALSE)</f>
        <v>CSR_30200</v>
      </c>
      <c r="G183" s="203">
        <v>46132</v>
      </c>
      <c r="H183" s="204">
        <v>2</v>
      </c>
      <c r="I183" s="205">
        <f t="shared" si="3"/>
        <v>0.10526315789473684</v>
      </c>
      <c r="J183" s="206" t="s">
        <v>1106</v>
      </c>
      <c r="K183" s="204"/>
    </row>
    <row r="184" spans="1:11" ht="16">
      <c r="A184" s="198" t="s">
        <v>821</v>
      </c>
      <c r="B184" s="199" t="s">
        <v>31</v>
      </c>
      <c r="C184" s="199" t="s">
        <v>759</v>
      </c>
      <c r="D184" s="200" t="s">
        <v>770</v>
      </c>
      <c r="E184" s="210" t="s">
        <v>1113</v>
      </c>
      <c r="F184" s="202" t="str">
        <f>VLOOKUP(D184,CSR!$D$4:$E$1180,2,FALSE)</f>
        <v>CSR_30700</v>
      </c>
      <c r="G184" s="203">
        <v>46132</v>
      </c>
      <c r="H184" s="204">
        <v>2</v>
      </c>
      <c r="I184" s="205">
        <f t="shared" si="3"/>
        <v>0.10526315789473684</v>
      </c>
      <c r="J184" s="206" t="s">
        <v>1106</v>
      </c>
      <c r="K184" s="204"/>
    </row>
    <row r="185" spans="1:11" ht="32">
      <c r="A185" s="198" t="s">
        <v>915</v>
      </c>
      <c r="B185" s="199" t="s">
        <v>615</v>
      </c>
      <c r="C185" s="199" t="s">
        <v>17</v>
      </c>
      <c r="D185" s="200" t="s">
        <v>647</v>
      </c>
      <c r="E185" s="210" t="s">
        <v>1114</v>
      </c>
      <c r="F185" s="202" t="str">
        <f>VLOOKUP(D185,CSR!$D$4:$E$1180,2,FALSE)</f>
        <v>CSR_11300</v>
      </c>
      <c r="G185" s="203">
        <v>46108</v>
      </c>
      <c r="H185" s="204">
        <v>3</v>
      </c>
      <c r="I185" s="205">
        <f t="shared" si="3"/>
        <v>0.15789473684210525</v>
      </c>
      <c r="J185" s="206" t="s">
        <v>1115</v>
      </c>
      <c r="K185" s="204"/>
    </row>
    <row r="186" spans="1:11" ht="16">
      <c r="A186" s="198" t="s">
        <v>915</v>
      </c>
      <c r="B186" s="199" t="s">
        <v>615</v>
      </c>
      <c r="C186" s="199" t="s">
        <v>17</v>
      </c>
      <c r="D186" s="200" t="s">
        <v>627</v>
      </c>
      <c r="E186" s="210" t="s">
        <v>1116</v>
      </c>
      <c r="F186" s="202" t="str">
        <f>VLOOKUP(D186,CSR!$D$4:$E$1180,2,FALSE)</f>
        <v>CSR_10400</v>
      </c>
      <c r="G186" s="203">
        <v>46108</v>
      </c>
      <c r="H186" s="204">
        <v>2</v>
      </c>
      <c r="I186" s="205">
        <f t="shared" si="3"/>
        <v>0.10526315789473684</v>
      </c>
      <c r="J186" s="206" t="s">
        <v>1115</v>
      </c>
      <c r="K186" s="204"/>
    </row>
    <row r="187" spans="1:11" ht="32">
      <c r="A187" s="198" t="s">
        <v>821</v>
      </c>
      <c r="B187" s="199" t="s">
        <v>615</v>
      </c>
      <c r="C187" s="199" t="s">
        <v>17</v>
      </c>
      <c r="D187" s="200" t="s">
        <v>647</v>
      </c>
      <c r="E187" s="210" t="s">
        <v>1117</v>
      </c>
      <c r="F187" s="202" t="str">
        <f>VLOOKUP(D187,CSR!$D$4:$E$1180,2,FALSE)</f>
        <v>CSR_11300</v>
      </c>
      <c r="G187" s="203">
        <v>46115</v>
      </c>
      <c r="H187" s="204">
        <v>3</v>
      </c>
      <c r="I187" s="205">
        <f t="shared" si="3"/>
        <v>0.15789473684210525</v>
      </c>
      <c r="J187" s="206" t="s">
        <v>1115</v>
      </c>
      <c r="K187" s="218"/>
    </row>
    <row r="188" spans="1:11" ht="32">
      <c r="A188" s="198" t="s">
        <v>821</v>
      </c>
      <c r="B188" s="199" t="s">
        <v>31</v>
      </c>
      <c r="C188" s="199" t="s">
        <v>759</v>
      </c>
      <c r="D188" s="200" t="s">
        <v>770</v>
      </c>
      <c r="E188" s="210" t="s">
        <v>1118</v>
      </c>
      <c r="F188" s="202" t="str">
        <f>VLOOKUP(D188,CSR!$D$4:$E$1180,2,FALSE)</f>
        <v>CSR_30700</v>
      </c>
      <c r="G188" s="203">
        <v>46115</v>
      </c>
      <c r="H188" s="204">
        <v>2</v>
      </c>
      <c r="I188" s="205">
        <f t="shared" si="3"/>
        <v>0.10526315789473684</v>
      </c>
      <c r="J188" s="206" t="s">
        <v>1115</v>
      </c>
      <c r="K188" s="204"/>
    </row>
    <row r="189" spans="1:11" ht="32">
      <c r="A189" s="198" t="s">
        <v>821</v>
      </c>
      <c r="B189" s="199" t="s">
        <v>615</v>
      </c>
      <c r="C189" s="199" t="s">
        <v>17</v>
      </c>
      <c r="D189" s="200" t="s">
        <v>647</v>
      </c>
      <c r="E189" s="210" t="s">
        <v>1119</v>
      </c>
      <c r="F189" s="202" t="str">
        <f>VLOOKUP(D189,CSR!$D$4:$E$1180,2,FALSE)</f>
        <v>CSR_11300</v>
      </c>
      <c r="G189" s="203">
        <v>46122</v>
      </c>
      <c r="H189" s="204">
        <v>3</v>
      </c>
      <c r="I189" s="205">
        <f t="shared" si="3"/>
        <v>0.15789473684210525</v>
      </c>
      <c r="J189" s="206" t="s">
        <v>1115</v>
      </c>
      <c r="K189" s="204"/>
    </row>
    <row r="190" spans="1:11" ht="32">
      <c r="A190" s="198" t="s">
        <v>821</v>
      </c>
      <c r="B190" s="199" t="s">
        <v>31</v>
      </c>
      <c r="C190" s="199" t="s">
        <v>759</v>
      </c>
      <c r="D190" s="200" t="s">
        <v>770</v>
      </c>
      <c r="E190" s="210" t="s">
        <v>1120</v>
      </c>
      <c r="F190" s="202" t="str">
        <f>VLOOKUP(D190,CSR!$D$4:$E$1180,2,FALSE)</f>
        <v>CSR_30700</v>
      </c>
      <c r="G190" s="203">
        <v>46122</v>
      </c>
      <c r="H190" s="204">
        <v>2</v>
      </c>
      <c r="I190" s="205">
        <f t="shared" si="3"/>
        <v>0.10526315789473684</v>
      </c>
      <c r="J190" s="206" t="s">
        <v>1115</v>
      </c>
      <c r="K190" s="204"/>
    </row>
    <row r="191" spans="1:11" ht="16">
      <c r="A191" s="198" t="s">
        <v>821</v>
      </c>
      <c r="B191" s="199" t="s">
        <v>615</v>
      </c>
      <c r="C191" s="199" t="s">
        <v>17</v>
      </c>
      <c r="D191" s="200" t="s">
        <v>647</v>
      </c>
      <c r="E191" s="210" t="s">
        <v>1121</v>
      </c>
      <c r="F191" s="202" t="str">
        <f>VLOOKUP(D191,CSR!$D$4:$E$1180,2,FALSE)</f>
        <v>CSR_11300</v>
      </c>
      <c r="G191" s="203">
        <v>46132</v>
      </c>
      <c r="H191" s="204">
        <v>2</v>
      </c>
      <c r="I191" s="205">
        <f t="shared" si="3"/>
        <v>0.10526315789473684</v>
      </c>
      <c r="J191" s="206" t="s">
        <v>1115</v>
      </c>
      <c r="K191" s="204"/>
    </row>
    <row r="192" spans="1:11" ht="32">
      <c r="A192" s="198" t="s">
        <v>821</v>
      </c>
      <c r="B192" s="199" t="s">
        <v>758</v>
      </c>
      <c r="C192" s="199" t="s">
        <v>759</v>
      </c>
      <c r="D192" s="207" t="s">
        <v>764</v>
      </c>
      <c r="E192" s="210" t="s">
        <v>1122</v>
      </c>
      <c r="F192" s="202" t="str">
        <f>VLOOKUP(D192,CSR!$D$4:$E$1180,2,FALSE)</f>
        <v>CSR_30200</v>
      </c>
      <c r="G192" s="203">
        <v>46132</v>
      </c>
      <c r="H192" s="204">
        <v>2</v>
      </c>
      <c r="I192" s="205">
        <f t="shared" si="3"/>
        <v>0.10526315789473684</v>
      </c>
      <c r="J192" s="206" t="s">
        <v>1115</v>
      </c>
      <c r="K192" s="204"/>
    </row>
    <row r="193" spans="1:11" ht="16">
      <c r="A193" s="198" t="s">
        <v>915</v>
      </c>
      <c r="B193" s="199" t="s">
        <v>615</v>
      </c>
      <c r="C193" s="199" t="s">
        <v>17</v>
      </c>
      <c r="D193" s="200" t="s">
        <v>647</v>
      </c>
      <c r="E193" s="210" t="s">
        <v>1123</v>
      </c>
      <c r="F193" s="202" t="str">
        <f>VLOOKUP(D193,CSR!$D$4:$E$1180,2,FALSE)</f>
        <v>CSR_11300</v>
      </c>
      <c r="G193" s="203">
        <v>46108</v>
      </c>
      <c r="H193" s="204">
        <v>3</v>
      </c>
      <c r="I193" s="205">
        <f t="shared" si="3"/>
        <v>0.15789473684210525</v>
      </c>
      <c r="J193" s="206" t="s">
        <v>1124</v>
      </c>
      <c r="K193" s="204"/>
    </row>
    <row r="194" spans="1:11" ht="16">
      <c r="A194" s="198" t="s">
        <v>915</v>
      </c>
      <c r="B194" s="199" t="s">
        <v>615</v>
      </c>
      <c r="C194" s="199" t="s">
        <v>17</v>
      </c>
      <c r="D194" s="200" t="s">
        <v>647</v>
      </c>
      <c r="E194" s="210" t="s">
        <v>1125</v>
      </c>
      <c r="F194" s="202" t="str">
        <f>VLOOKUP(D194,CSR!$D$4:$E$1180,2,FALSE)</f>
        <v>CSR_11300</v>
      </c>
      <c r="G194" s="203">
        <v>46108</v>
      </c>
      <c r="H194" s="204">
        <v>2</v>
      </c>
      <c r="I194" s="205">
        <f t="shared" si="3"/>
        <v>0.10526315789473684</v>
      </c>
      <c r="J194" s="206" t="s">
        <v>1124</v>
      </c>
      <c r="K194" s="204"/>
    </row>
    <row r="195" spans="1:11" ht="32">
      <c r="A195" s="198" t="s">
        <v>821</v>
      </c>
      <c r="B195" s="199" t="s">
        <v>615</v>
      </c>
      <c r="C195" s="199" t="s">
        <v>17</v>
      </c>
      <c r="D195" s="200" t="s">
        <v>647</v>
      </c>
      <c r="E195" s="210" t="s">
        <v>1126</v>
      </c>
      <c r="F195" s="202" t="str">
        <f>VLOOKUP(D195,CSR!$D$4:$E$1180,2,FALSE)</f>
        <v>CSR_11300</v>
      </c>
      <c r="G195" s="203">
        <v>46115</v>
      </c>
      <c r="H195" s="204">
        <v>3</v>
      </c>
      <c r="I195" s="205">
        <f t="shared" si="3"/>
        <v>0.15789473684210525</v>
      </c>
      <c r="J195" s="206" t="s">
        <v>1124</v>
      </c>
      <c r="K195" s="204"/>
    </row>
    <row r="196" spans="1:11" ht="32">
      <c r="A196" s="198" t="s">
        <v>821</v>
      </c>
      <c r="B196" s="199" t="s">
        <v>615</v>
      </c>
      <c r="C196" s="199" t="s">
        <v>17</v>
      </c>
      <c r="D196" s="200" t="s">
        <v>647</v>
      </c>
      <c r="E196" s="210" t="s">
        <v>1127</v>
      </c>
      <c r="F196" s="202" t="str">
        <f>VLOOKUP(D196,CSR!$D$4:$E$1180,2,FALSE)</f>
        <v>CSR_11300</v>
      </c>
      <c r="G196" s="203">
        <v>46115</v>
      </c>
      <c r="H196" s="204">
        <v>2</v>
      </c>
      <c r="I196" s="205">
        <f t="shared" si="3"/>
        <v>0.10526315789473684</v>
      </c>
      <c r="J196" s="206" t="s">
        <v>1124</v>
      </c>
      <c r="K196" s="204"/>
    </row>
    <row r="197" spans="1:11" ht="32">
      <c r="A197" s="198" t="s">
        <v>821</v>
      </c>
      <c r="B197" s="199" t="s">
        <v>615</v>
      </c>
      <c r="C197" s="199" t="s">
        <v>17</v>
      </c>
      <c r="D197" s="200" t="s">
        <v>647</v>
      </c>
      <c r="E197" s="210" t="s">
        <v>1128</v>
      </c>
      <c r="F197" s="202" t="str">
        <f>VLOOKUP(D197,CSR!$D$4:$E$1180,2,FALSE)</f>
        <v>CSR_11300</v>
      </c>
      <c r="G197" s="203">
        <v>46122</v>
      </c>
      <c r="H197" s="204">
        <v>3</v>
      </c>
      <c r="I197" s="205">
        <f t="shared" si="3"/>
        <v>0.15789473684210525</v>
      </c>
      <c r="J197" s="206" t="s">
        <v>1124</v>
      </c>
      <c r="K197" s="204"/>
    </row>
    <row r="198" spans="1:11" ht="16">
      <c r="A198" s="198" t="s">
        <v>821</v>
      </c>
      <c r="B198" s="199" t="s">
        <v>615</v>
      </c>
      <c r="C198" s="199" t="s">
        <v>17</v>
      </c>
      <c r="D198" s="200" t="s">
        <v>647</v>
      </c>
      <c r="E198" s="210" t="s">
        <v>1129</v>
      </c>
      <c r="F198" s="202" t="str">
        <f>VLOOKUP(D198,CSR!$D$4:$E$1180,2,FALSE)</f>
        <v>CSR_11300</v>
      </c>
      <c r="G198" s="203">
        <v>46122</v>
      </c>
      <c r="H198" s="204">
        <v>2</v>
      </c>
      <c r="I198" s="205">
        <f t="shared" si="3"/>
        <v>0.10526315789473684</v>
      </c>
      <c r="J198" s="206" t="s">
        <v>1124</v>
      </c>
      <c r="K198" s="218"/>
    </row>
    <row r="199" spans="1:11" ht="32">
      <c r="A199" s="198" t="s">
        <v>821</v>
      </c>
      <c r="B199" s="220" t="s">
        <v>16</v>
      </c>
      <c r="C199" s="220" t="s">
        <v>17</v>
      </c>
      <c r="D199" s="209" t="s">
        <v>18</v>
      </c>
      <c r="E199" s="210" t="s">
        <v>1130</v>
      </c>
      <c r="F199" s="202" t="str">
        <f>VLOOKUP(D199,CSR!$D$4:$E$1180,2,FALSE)</f>
        <v>CSR_11300</v>
      </c>
      <c r="G199" s="203">
        <v>46132</v>
      </c>
      <c r="H199" s="204">
        <v>2</v>
      </c>
      <c r="I199" s="205">
        <f t="shared" si="3"/>
        <v>0.10526315789473684</v>
      </c>
      <c r="J199" s="206" t="s">
        <v>1124</v>
      </c>
      <c r="K199" s="204"/>
    </row>
    <row r="200" spans="1:11" ht="32">
      <c r="A200" s="198" t="s">
        <v>821</v>
      </c>
      <c r="B200" s="220" t="s">
        <v>16</v>
      </c>
      <c r="C200" s="220" t="s">
        <v>17</v>
      </c>
      <c r="D200" s="209" t="s">
        <v>18</v>
      </c>
      <c r="E200" s="210" t="s">
        <v>1131</v>
      </c>
      <c r="F200" s="202" t="str">
        <f>VLOOKUP(D200,CSR!$D$4:$E$1180,2,FALSE)</f>
        <v>CSR_11300</v>
      </c>
      <c r="G200" s="203">
        <v>46132</v>
      </c>
      <c r="H200" s="204">
        <v>2</v>
      </c>
      <c r="I200" s="205">
        <f t="shared" si="3"/>
        <v>0.10526315789473684</v>
      </c>
      <c r="J200" s="206" t="s">
        <v>1124</v>
      </c>
      <c r="K200" s="204"/>
    </row>
    <row r="201" spans="1:11" ht="16">
      <c r="A201" s="198" t="s">
        <v>915</v>
      </c>
      <c r="B201" s="199" t="s">
        <v>729</v>
      </c>
      <c r="C201" s="199" t="s">
        <v>245</v>
      </c>
      <c r="D201" s="200" t="s">
        <v>743</v>
      </c>
      <c r="E201" s="210" t="s">
        <v>1132</v>
      </c>
      <c r="F201" s="202" t="str">
        <f>VLOOKUP(D201,CSR!$D$4:$E$1180,2,FALSE)</f>
        <v>CSR_20005</v>
      </c>
      <c r="G201" s="203">
        <v>46108</v>
      </c>
      <c r="H201" s="204">
        <v>3</v>
      </c>
      <c r="I201" s="205">
        <f t="shared" si="3"/>
        <v>0.15789473684210525</v>
      </c>
      <c r="J201" s="206" t="s">
        <v>1133</v>
      </c>
      <c r="K201" s="204"/>
    </row>
    <row r="202" spans="1:11" ht="32">
      <c r="A202" s="198" t="s">
        <v>915</v>
      </c>
      <c r="B202" s="199" t="s">
        <v>31</v>
      </c>
      <c r="C202" s="199" t="s">
        <v>759</v>
      </c>
      <c r="D202" s="200" t="s">
        <v>770</v>
      </c>
      <c r="E202" s="210" t="s">
        <v>1134</v>
      </c>
      <c r="F202" s="202" t="str">
        <f>VLOOKUP(D202,CSR!$D$4:$E$1180,2,FALSE)</f>
        <v>CSR_30700</v>
      </c>
      <c r="G202" s="203">
        <v>46108</v>
      </c>
      <c r="H202" s="204">
        <v>2</v>
      </c>
      <c r="I202" s="205">
        <f t="shared" si="3"/>
        <v>0.10526315789473684</v>
      </c>
      <c r="J202" s="206" t="s">
        <v>1133</v>
      </c>
      <c r="K202" s="204"/>
    </row>
    <row r="203" spans="1:11" ht="32">
      <c r="A203" s="198" t="s">
        <v>821</v>
      </c>
      <c r="B203" s="199" t="s">
        <v>31</v>
      </c>
      <c r="C203" s="199" t="s">
        <v>759</v>
      </c>
      <c r="D203" s="200" t="s">
        <v>770</v>
      </c>
      <c r="E203" s="210" t="s">
        <v>1135</v>
      </c>
      <c r="F203" s="202" t="str">
        <f>VLOOKUP(D203,CSR!$D$4:$E$1180,2,FALSE)</f>
        <v>CSR_30700</v>
      </c>
      <c r="G203" s="203">
        <v>46115</v>
      </c>
      <c r="H203" s="204">
        <v>3</v>
      </c>
      <c r="I203" s="205">
        <f t="shared" si="3"/>
        <v>0.15789473684210525</v>
      </c>
      <c r="J203" s="206" t="s">
        <v>1133</v>
      </c>
      <c r="K203" s="218"/>
    </row>
    <row r="204" spans="1:11" ht="16">
      <c r="A204" s="198" t="s">
        <v>821</v>
      </c>
      <c r="B204" s="199" t="s">
        <v>615</v>
      </c>
      <c r="C204" s="199" t="s">
        <v>17</v>
      </c>
      <c r="D204" s="200" t="s">
        <v>719</v>
      </c>
      <c r="E204" s="210" t="s">
        <v>1136</v>
      </c>
      <c r="F204" s="202" t="str">
        <f>VLOOKUP(D204,CSR!$D$4:$E$1180,2,FALSE)</f>
        <v>CSR_11413</v>
      </c>
      <c r="G204" s="203">
        <v>46115</v>
      </c>
      <c r="H204" s="204">
        <v>2</v>
      </c>
      <c r="I204" s="205">
        <f t="shared" si="3"/>
        <v>0.10526315789473684</v>
      </c>
      <c r="J204" s="206" t="s">
        <v>1133</v>
      </c>
      <c r="K204" s="204"/>
    </row>
    <row r="205" spans="1:11" ht="16">
      <c r="A205" s="198" t="s">
        <v>821</v>
      </c>
      <c r="B205" s="199" t="s">
        <v>758</v>
      </c>
      <c r="C205" s="199" t="s">
        <v>769</v>
      </c>
      <c r="D205" s="200" t="s">
        <v>772</v>
      </c>
      <c r="E205" s="210" t="s">
        <v>1137</v>
      </c>
      <c r="F205" s="202" t="str">
        <f>VLOOKUP(D205,CSR!$D$4:$E$1180,2,FALSE)</f>
        <v>CSR_30800</v>
      </c>
      <c r="G205" s="203">
        <v>46122</v>
      </c>
      <c r="H205" s="204">
        <v>2</v>
      </c>
      <c r="I205" s="205">
        <f t="shared" si="3"/>
        <v>0.10526315789473684</v>
      </c>
      <c r="J205" s="206" t="s">
        <v>1133</v>
      </c>
      <c r="K205" s="204"/>
    </row>
    <row r="206" spans="1:11" ht="16">
      <c r="A206" s="198" t="s">
        <v>821</v>
      </c>
      <c r="B206" s="199" t="s">
        <v>615</v>
      </c>
      <c r="C206" s="199" t="s">
        <v>17</v>
      </c>
      <c r="D206" s="200" t="s">
        <v>647</v>
      </c>
      <c r="E206" s="210" t="s">
        <v>1138</v>
      </c>
      <c r="F206" s="202" t="str">
        <f>VLOOKUP(D206,CSR!$D$4:$E$1180,2,FALSE)</f>
        <v>CSR_11300</v>
      </c>
      <c r="G206" s="203">
        <v>46122</v>
      </c>
      <c r="H206" s="204">
        <v>3</v>
      </c>
      <c r="I206" s="205">
        <f t="shared" si="3"/>
        <v>0.15789473684210525</v>
      </c>
      <c r="J206" s="206" t="s">
        <v>1133</v>
      </c>
      <c r="K206" s="204"/>
    </row>
    <row r="207" spans="1:11" ht="32">
      <c r="A207" s="198" t="s">
        <v>821</v>
      </c>
      <c r="B207" s="199" t="s">
        <v>31</v>
      </c>
      <c r="C207" s="199" t="s">
        <v>759</v>
      </c>
      <c r="D207" s="200" t="s">
        <v>770</v>
      </c>
      <c r="E207" s="210" t="s">
        <v>1139</v>
      </c>
      <c r="F207" s="202" t="str">
        <f>VLOOKUP(D207,CSR!$D$4:$E$1180,2,FALSE)</f>
        <v>CSR_30700</v>
      </c>
      <c r="G207" s="203">
        <v>46132</v>
      </c>
      <c r="H207" s="204">
        <v>2</v>
      </c>
      <c r="I207" s="205">
        <f t="shared" si="3"/>
        <v>0.10526315789473684</v>
      </c>
      <c r="J207" s="206" t="s">
        <v>1133</v>
      </c>
      <c r="K207" s="204"/>
    </row>
    <row r="208" spans="1:11" ht="32">
      <c r="A208" s="198" t="s">
        <v>821</v>
      </c>
      <c r="B208" s="199" t="s">
        <v>615</v>
      </c>
      <c r="C208" s="199" t="s">
        <v>17</v>
      </c>
      <c r="D208" s="200" t="s">
        <v>647</v>
      </c>
      <c r="E208" s="210" t="s">
        <v>1140</v>
      </c>
      <c r="F208" s="202" t="str">
        <f>VLOOKUP(D208,CSR!$D$4:$E$1180,2,FALSE)</f>
        <v>CSR_11300</v>
      </c>
      <c r="G208" s="203">
        <v>46132</v>
      </c>
      <c r="H208" s="204">
        <v>2</v>
      </c>
      <c r="I208" s="205">
        <f t="shared" si="3"/>
        <v>0.10526315789473684</v>
      </c>
      <c r="J208" s="206" t="s">
        <v>1133</v>
      </c>
      <c r="K208" s="204"/>
    </row>
    <row r="209" spans="1:11" ht="32">
      <c r="A209" s="198" t="s">
        <v>915</v>
      </c>
      <c r="B209" s="199" t="s">
        <v>615</v>
      </c>
      <c r="C209" s="199" t="s">
        <v>17</v>
      </c>
      <c r="D209" s="200" t="s">
        <v>719</v>
      </c>
      <c r="E209" s="210" t="s">
        <v>1141</v>
      </c>
      <c r="F209" s="202" t="str">
        <f>VLOOKUP(D209,CSR!$D$4:$E$1180,2,FALSE)</f>
        <v>CSR_11413</v>
      </c>
      <c r="G209" s="203">
        <v>46108</v>
      </c>
      <c r="H209" s="204">
        <v>3</v>
      </c>
      <c r="I209" s="205">
        <f t="shared" si="3"/>
        <v>0.15789473684210525</v>
      </c>
      <c r="J209" s="206" t="s">
        <v>1142</v>
      </c>
      <c r="K209" s="212"/>
    </row>
    <row r="210" spans="1:11" ht="16">
      <c r="A210" s="198" t="s">
        <v>915</v>
      </c>
      <c r="B210" s="199" t="s">
        <v>758</v>
      </c>
      <c r="C210" s="199" t="s">
        <v>759</v>
      </c>
      <c r="D210" s="207" t="s">
        <v>764</v>
      </c>
      <c r="E210" s="210" t="s">
        <v>1143</v>
      </c>
      <c r="F210" s="202" t="str">
        <f>VLOOKUP(D210,CSR!$D$4:$E$1180,2,FALSE)</f>
        <v>CSR_30200</v>
      </c>
      <c r="G210" s="203">
        <v>46108</v>
      </c>
      <c r="H210" s="204">
        <v>2</v>
      </c>
      <c r="I210" s="205">
        <f t="shared" si="3"/>
        <v>0.10526315789473684</v>
      </c>
      <c r="J210" s="206" t="s">
        <v>1142</v>
      </c>
      <c r="K210" s="204"/>
    </row>
    <row r="211" spans="1:11" ht="32">
      <c r="A211" s="198" t="s">
        <v>821</v>
      </c>
      <c r="B211" s="199" t="s">
        <v>615</v>
      </c>
      <c r="C211" s="199" t="s">
        <v>17</v>
      </c>
      <c r="D211" s="200" t="s">
        <v>719</v>
      </c>
      <c r="E211" s="210" t="s">
        <v>1144</v>
      </c>
      <c r="F211" s="202" t="str">
        <f>VLOOKUP(D211,CSR!$D$4:$E$1180,2,FALSE)</f>
        <v>CSR_11413</v>
      </c>
      <c r="G211" s="203">
        <v>46115</v>
      </c>
      <c r="H211" s="204">
        <v>3</v>
      </c>
      <c r="I211" s="205">
        <f t="shared" si="3"/>
        <v>0.15789473684210525</v>
      </c>
      <c r="J211" s="206" t="s">
        <v>1142</v>
      </c>
      <c r="K211" s="204"/>
    </row>
    <row r="212" spans="1:11" ht="32">
      <c r="A212" s="198" t="s">
        <v>821</v>
      </c>
      <c r="B212" s="199" t="s">
        <v>758</v>
      </c>
      <c r="C212" s="199" t="s">
        <v>759</v>
      </c>
      <c r="D212" s="207" t="s">
        <v>764</v>
      </c>
      <c r="E212" s="210" t="s">
        <v>1145</v>
      </c>
      <c r="F212" s="202" t="str">
        <f>VLOOKUP(D212,CSR!$D$4:$E$1180,2,FALSE)</f>
        <v>CSR_30200</v>
      </c>
      <c r="G212" s="203">
        <v>46115</v>
      </c>
      <c r="H212" s="204">
        <v>2</v>
      </c>
      <c r="I212" s="205">
        <f t="shared" si="3"/>
        <v>0.10526315789473684</v>
      </c>
      <c r="J212" s="206" t="s">
        <v>1142</v>
      </c>
      <c r="K212" s="204"/>
    </row>
    <row r="213" spans="1:11" ht="32">
      <c r="A213" s="198" t="s">
        <v>821</v>
      </c>
      <c r="B213" s="199" t="s">
        <v>615</v>
      </c>
      <c r="C213" s="199" t="s">
        <v>17</v>
      </c>
      <c r="D213" s="200" t="s">
        <v>719</v>
      </c>
      <c r="E213" s="210" t="s">
        <v>1146</v>
      </c>
      <c r="F213" s="202" t="str">
        <f>VLOOKUP(D213,CSR!$D$4:$E$1180,2,FALSE)</f>
        <v>CSR_11413</v>
      </c>
      <c r="G213" s="203">
        <v>46122</v>
      </c>
      <c r="H213" s="204">
        <v>3</v>
      </c>
      <c r="I213" s="205">
        <f t="shared" si="3"/>
        <v>0.15789473684210525</v>
      </c>
      <c r="J213" s="206" t="s">
        <v>1142</v>
      </c>
      <c r="K213" s="204"/>
    </row>
    <row r="214" spans="1:11" ht="32">
      <c r="A214" s="198" t="s">
        <v>821</v>
      </c>
      <c r="B214" s="199" t="s">
        <v>758</v>
      </c>
      <c r="C214" s="199" t="s">
        <v>769</v>
      </c>
      <c r="D214" s="200" t="s">
        <v>772</v>
      </c>
      <c r="E214" s="210" t="s">
        <v>1147</v>
      </c>
      <c r="F214" s="202" t="str">
        <f>VLOOKUP(D214,CSR!$D$4:$E$1180,2,FALSE)</f>
        <v>CSR_30800</v>
      </c>
      <c r="G214" s="203">
        <v>46122</v>
      </c>
      <c r="H214" s="204">
        <v>2</v>
      </c>
      <c r="I214" s="205">
        <f t="shared" si="3"/>
        <v>0.10526315789473684</v>
      </c>
      <c r="J214" s="206" t="s">
        <v>1142</v>
      </c>
      <c r="K214" s="204"/>
    </row>
    <row r="215" spans="1:11" ht="32">
      <c r="A215" s="198" t="s">
        <v>821</v>
      </c>
      <c r="B215" s="199" t="s">
        <v>615</v>
      </c>
      <c r="C215" s="199" t="s">
        <v>17</v>
      </c>
      <c r="D215" s="200" t="s">
        <v>719</v>
      </c>
      <c r="E215" s="210" t="s">
        <v>1148</v>
      </c>
      <c r="F215" s="202" t="str">
        <f>VLOOKUP(D215,CSR!$D$4:$E$1180,2,FALSE)</f>
        <v>CSR_11413</v>
      </c>
      <c r="G215" s="203">
        <v>46132</v>
      </c>
      <c r="H215" s="204">
        <v>2</v>
      </c>
      <c r="I215" s="205">
        <f t="shared" si="3"/>
        <v>0.10526315789473684</v>
      </c>
      <c r="J215" s="206" t="s">
        <v>1142</v>
      </c>
      <c r="K215" s="204"/>
    </row>
    <row r="216" spans="1:11" ht="32">
      <c r="A216" s="198" t="s">
        <v>821</v>
      </c>
      <c r="B216" s="199" t="s">
        <v>758</v>
      </c>
      <c r="C216" s="199" t="s">
        <v>769</v>
      </c>
      <c r="D216" s="200" t="s">
        <v>772</v>
      </c>
      <c r="E216" s="210" t="s">
        <v>1149</v>
      </c>
      <c r="F216" s="202" t="str">
        <f>VLOOKUP(D216,CSR!$D$4:$E$1180,2,FALSE)</f>
        <v>CSR_30800</v>
      </c>
      <c r="G216" s="203">
        <v>46132</v>
      </c>
      <c r="H216" s="204">
        <v>2</v>
      </c>
      <c r="I216" s="205">
        <f t="shared" si="3"/>
        <v>0.10526315789473684</v>
      </c>
      <c r="J216" s="206" t="s">
        <v>1142</v>
      </c>
      <c r="K216" s="204"/>
    </row>
    <row r="217" spans="1:11" ht="16">
      <c r="A217" s="198" t="s">
        <v>915</v>
      </c>
      <c r="B217" s="199" t="s">
        <v>615</v>
      </c>
      <c r="C217" s="199" t="s">
        <v>17</v>
      </c>
      <c r="D217" s="200" t="s">
        <v>647</v>
      </c>
      <c r="E217" s="210" t="s">
        <v>1150</v>
      </c>
      <c r="F217" s="202" t="str">
        <f>VLOOKUP(D217,CSR!$D$4:$E$1180,2,FALSE)</f>
        <v>CSR_11300</v>
      </c>
      <c r="G217" s="203">
        <v>46108</v>
      </c>
      <c r="H217" s="204">
        <v>3</v>
      </c>
      <c r="I217" s="205">
        <f t="shared" ref="I217:I235" si="4">H217*10/190</f>
        <v>0.15789473684210525</v>
      </c>
      <c r="J217" s="206" t="s">
        <v>1151</v>
      </c>
      <c r="K217" s="204"/>
    </row>
    <row r="218" spans="1:11" ht="16">
      <c r="A218" s="198" t="s">
        <v>915</v>
      </c>
      <c r="B218" s="199" t="s">
        <v>615</v>
      </c>
      <c r="C218" s="199" t="s">
        <v>17</v>
      </c>
      <c r="D218" s="200" t="s">
        <v>647</v>
      </c>
      <c r="E218" s="210" t="s">
        <v>1152</v>
      </c>
      <c r="F218" s="202" t="str">
        <f>VLOOKUP(D218,CSR!$D$4:$E$1180,2,FALSE)</f>
        <v>CSR_11300</v>
      </c>
      <c r="G218" s="203">
        <v>46108</v>
      </c>
      <c r="H218" s="204">
        <v>2</v>
      </c>
      <c r="I218" s="205">
        <f t="shared" si="4"/>
        <v>0.10526315789473684</v>
      </c>
      <c r="J218" s="206" t="s">
        <v>1151</v>
      </c>
      <c r="K218" s="204"/>
    </row>
    <row r="219" spans="1:11" ht="32">
      <c r="A219" s="198" t="s">
        <v>821</v>
      </c>
      <c r="B219" s="199" t="s">
        <v>615</v>
      </c>
      <c r="C219" s="199" t="s">
        <v>17</v>
      </c>
      <c r="D219" s="200" t="s">
        <v>647</v>
      </c>
      <c r="E219" s="210" t="s">
        <v>1153</v>
      </c>
      <c r="F219" s="202" t="str">
        <f>VLOOKUP(D219,CSR!$D$4:$E$1180,2,FALSE)</f>
        <v>CSR_11300</v>
      </c>
      <c r="G219" s="228">
        <v>46115</v>
      </c>
      <c r="H219" s="204">
        <v>3</v>
      </c>
      <c r="I219" s="205">
        <f t="shared" si="4"/>
        <v>0.15789473684210525</v>
      </c>
      <c r="J219" s="206" t="s">
        <v>1151</v>
      </c>
      <c r="K219" s="204"/>
    </row>
    <row r="220" spans="1:11" ht="16">
      <c r="A220" s="198" t="s">
        <v>821</v>
      </c>
      <c r="B220" s="199" t="s">
        <v>775</v>
      </c>
      <c r="C220" s="199" t="s">
        <v>792</v>
      </c>
      <c r="D220" s="200" t="s">
        <v>804</v>
      </c>
      <c r="E220" s="210" t="s">
        <v>1154</v>
      </c>
      <c r="F220" s="202" t="str">
        <f>VLOOKUP(D220,CSR!$D$4:$E$1180,2,FALSE)</f>
        <v>CSR_41104</v>
      </c>
      <c r="G220" s="203">
        <v>46115</v>
      </c>
      <c r="H220" s="204">
        <v>2</v>
      </c>
      <c r="I220" s="205">
        <f t="shared" si="4"/>
        <v>0.10526315789473684</v>
      </c>
      <c r="J220" s="206" t="s">
        <v>1151</v>
      </c>
      <c r="K220" s="229"/>
    </row>
    <row r="221" spans="1:11" ht="32">
      <c r="A221" s="198" t="s">
        <v>821</v>
      </c>
      <c r="B221" s="230" t="s">
        <v>615</v>
      </c>
      <c r="C221" s="230" t="s">
        <v>17</v>
      </c>
      <c r="D221" s="221" t="s">
        <v>647</v>
      </c>
      <c r="E221" s="231" t="s">
        <v>1153</v>
      </c>
      <c r="F221" s="202" t="str">
        <f>VLOOKUP(D221,CSR!$D$4:$E$1180,2,FALSE)</f>
        <v>CSR_11300</v>
      </c>
      <c r="G221" s="228">
        <v>46122</v>
      </c>
      <c r="H221" s="229">
        <v>3</v>
      </c>
      <c r="I221" s="205">
        <f t="shared" si="4"/>
        <v>0.15789473684210525</v>
      </c>
      <c r="J221" s="232" t="s">
        <v>1151</v>
      </c>
      <c r="K221" s="204"/>
    </row>
    <row r="222" spans="1:11" ht="32">
      <c r="A222" s="198" t="s">
        <v>821</v>
      </c>
      <c r="B222" s="199" t="s">
        <v>615</v>
      </c>
      <c r="C222" s="199" t="s">
        <v>17</v>
      </c>
      <c r="D222" s="200" t="s">
        <v>131</v>
      </c>
      <c r="E222" s="210" t="s">
        <v>1155</v>
      </c>
      <c r="F222" s="202" t="str">
        <f>VLOOKUP(D222,CSR!$D$4:$E$1180,2,FALSE)</f>
        <v>CSR_10400</v>
      </c>
      <c r="G222" s="203">
        <v>46122</v>
      </c>
      <c r="H222" s="204">
        <v>2</v>
      </c>
      <c r="I222" s="205">
        <f t="shared" si="4"/>
        <v>0.10526315789473684</v>
      </c>
      <c r="J222" s="206" t="s">
        <v>1151</v>
      </c>
      <c r="K222" s="204"/>
    </row>
    <row r="223" spans="1:11" ht="32">
      <c r="A223" s="198" t="s">
        <v>821</v>
      </c>
      <c r="B223" s="199" t="s">
        <v>615</v>
      </c>
      <c r="C223" s="199" t="s">
        <v>17</v>
      </c>
      <c r="D223" s="200" t="s">
        <v>647</v>
      </c>
      <c r="E223" s="210" t="s">
        <v>1156</v>
      </c>
      <c r="F223" s="202" t="str">
        <f>VLOOKUP(D223,CSR!$D$4:$E$1180,2,FALSE)</f>
        <v>CSR_11300</v>
      </c>
      <c r="G223" s="203">
        <v>46132</v>
      </c>
      <c r="H223" s="204">
        <v>2</v>
      </c>
      <c r="I223" s="205">
        <f t="shared" si="4"/>
        <v>0.10526315789473684</v>
      </c>
      <c r="J223" s="206" t="s">
        <v>1151</v>
      </c>
      <c r="K223" s="204"/>
    </row>
    <row r="224" spans="1:11" ht="32">
      <c r="A224" s="198" t="s">
        <v>821</v>
      </c>
      <c r="B224" s="199" t="s">
        <v>615</v>
      </c>
      <c r="C224" s="199" t="s">
        <v>17</v>
      </c>
      <c r="D224" s="200" t="s">
        <v>953</v>
      </c>
      <c r="E224" s="210" t="s">
        <v>1157</v>
      </c>
      <c r="F224" s="202" t="str">
        <f>VLOOKUP(D224,CSR!$D$4:$E$1180,2,FALSE)</f>
        <v>CSR_11305</v>
      </c>
      <c r="G224" s="203">
        <v>46132</v>
      </c>
      <c r="H224" s="204">
        <v>2</v>
      </c>
      <c r="I224" s="205">
        <f t="shared" si="4"/>
        <v>0.10526315789473684</v>
      </c>
      <c r="J224" s="206" t="s">
        <v>1151</v>
      </c>
      <c r="K224" s="204"/>
    </row>
    <row r="225" spans="1:11" ht="32">
      <c r="A225" s="198" t="s">
        <v>915</v>
      </c>
      <c r="B225" s="199" t="s">
        <v>615</v>
      </c>
      <c r="C225" s="199" t="s">
        <v>17</v>
      </c>
      <c r="D225" s="200" t="s">
        <v>647</v>
      </c>
      <c r="E225" s="210" t="s">
        <v>1158</v>
      </c>
      <c r="F225" s="202" t="str">
        <f>VLOOKUP(D225,CSR!$D$4:$E$1180,2,FALSE)</f>
        <v>CSR_11300</v>
      </c>
      <c r="G225" s="203">
        <v>46108</v>
      </c>
      <c r="H225" s="204">
        <v>3</v>
      </c>
      <c r="I225" s="205">
        <f t="shared" si="4"/>
        <v>0.15789473684210525</v>
      </c>
      <c r="J225" s="206" t="s">
        <v>1159</v>
      </c>
      <c r="K225" s="204"/>
    </row>
    <row r="226" spans="1:11" ht="32">
      <c r="A226" s="198" t="s">
        <v>915</v>
      </c>
      <c r="B226" s="199" t="s">
        <v>758</v>
      </c>
      <c r="C226" s="199" t="s">
        <v>759</v>
      </c>
      <c r="D226" s="207" t="s">
        <v>764</v>
      </c>
      <c r="E226" s="210" t="s">
        <v>1160</v>
      </c>
      <c r="F226" s="202" t="str">
        <f>VLOOKUP(D226,CSR!$D$4:$E$1180,2,FALSE)</f>
        <v>CSR_30200</v>
      </c>
      <c r="G226" s="228">
        <v>46108</v>
      </c>
      <c r="H226" s="204">
        <v>2</v>
      </c>
      <c r="I226" s="205">
        <f t="shared" si="4"/>
        <v>0.10526315789473684</v>
      </c>
      <c r="J226" s="206" t="s">
        <v>1159</v>
      </c>
      <c r="K226" s="204"/>
    </row>
    <row r="227" spans="1:11" ht="32">
      <c r="A227" s="198" t="s">
        <v>821</v>
      </c>
      <c r="B227" s="199" t="s">
        <v>758</v>
      </c>
      <c r="C227" s="199" t="s">
        <v>759</v>
      </c>
      <c r="D227" s="207" t="s">
        <v>764</v>
      </c>
      <c r="E227" s="210" t="s">
        <v>1161</v>
      </c>
      <c r="F227" s="202" t="str">
        <f>VLOOKUP(D227,CSR!$D$4:$E$1180,2,FALSE)</f>
        <v>CSR_30200</v>
      </c>
      <c r="G227" s="203">
        <v>46115</v>
      </c>
      <c r="H227" s="204">
        <v>2</v>
      </c>
      <c r="I227" s="205">
        <f t="shared" si="4"/>
        <v>0.10526315789473684</v>
      </c>
      <c r="J227" s="206" t="s">
        <v>1159</v>
      </c>
      <c r="K227" s="204"/>
    </row>
    <row r="228" spans="1:11" ht="16">
      <c r="A228" s="198" t="s">
        <v>821</v>
      </c>
      <c r="B228" s="199" t="s">
        <v>615</v>
      </c>
      <c r="C228" s="199" t="s">
        <v>17</v>
      </c>
      <c r="D228" s="200" t="s">
        <v>647</v>
      </c>
      <c r="E228" s="210" t="s">
        <v>1162</v>
      </c>
      <c r="F228" s="202" t="str">
        <f>VLOOKUP(D228,CSR!$D$4:$E$1180,2,FALSE)</f>
        <v>CSR_11300</v>
      </c>
      <c r="G228" s="203">
        <v>46115</v>
      </c>
      <c r="H228" s="204">
        <v>3</v>
      </c>
      <c r="I228" s="205">
        <f t="shared" si="4"/>
        <v>0.15789473684210525</v>
      </c>
      <c r="J228" s="206" t="s">
        <v>1159</v>
      </c>
      <c r="K228" s="204"/>
    </row>
    <row r="229" spans="1:11" ht="32">
      <c r="A229" s="198" t="s">
        <v>821</v>
      </c>
      <c r="B229" s="199" t="s">
        <v>758</v>
      </c>
      <c r="C229" s="199" t="s">
        <v>759</v>
      </c>
      <c r="D229" s="207" t="s">
        <v>764</v>
      </c>
      <c r="E229" s="210" t="s">
        <v>1163</v>
      </c>
      <c r="F229" s="202" t="str">
        <f>VLOOKUP(D229,CSR!$D$4:$E$1180,2,FALSE)</f>
        <v>CSR_30200</v>
      </c>
      <c r="G229" s="228">
        <v>46122</v>
      </c>
      <c r="H229" s="204">
        <v>2</v>
      </c>
      <c r="I229" s="205">
        <f t="shared" si="4"/>
        <v>0.10526315789473684</v>
      </c>
      <c r="J229" s="206" t="s">
        <v>1159</v>
      </c>
      <c r="K229" s="204"/>
    </row>
    <row r="230" spans="1:11" ht="32">
      <c r="A230" s="198" t="s">
        <v>821</v>
      </c>
      <c r="B230" s="199" t="s">
        <v>615</v>
      </c>
      <c r="C230" s="199" t="s">
        <v>17</v>
      </c>
      <c r="D230" s="200" t="s">
        <v>647</v>
      </c>
      <c r="E230" s="210" t="s">
        <v>1164</v>
      </c>
      <c r="F230" s="202" t="str">
        <f>VLOOKUP(D230,CSR!$D$4:$E$1180,2,FALSE)</f>
        <v>CSR_11300</v>
      </c>
      <c r="G230" s="203">
        <v>46122</v>
      </c>
      <c r="H230" s="204">
        <v>3</v>
      </c>
      <c r="I230" s="205">
        <f t="shared" si="4"/>
        <v>0.15789473684210525</v>
      </c>
      <c r="J230" s="206" t="s">
        <v>1159</v>
      </c>
      <c r="K230" s="204"/>
    </row>
    <row r="231" spans="1:11" ht="32">
      <c r="A231" s="21" t="s">
        <v>821</v>
      </c>
      <c r="B231" s="199" t="s">
        <v>758</v>
      </c>
      <c r="C231" s="199" t="s">
        <v>759</v>
      </c>
      <c r="D231" s="207" t="s">
        <v>764</v>
      </c>
      <c r="E231" s="233" t="s">
        <v>1165</v>
      </c>
      <c r="F231" s="202" t="str">
        <f>VLOOKUP(D231,CSR!$D$4:$E$1180,2,FALSE)</f>
        <v>CSR_30200</v>
      </c>
      <c r="G231" s="228">
        <v>46132</v>
      </c>
      <c r="H231" s="229">
        <v>2</v>
      </c>
      <c r="I231" s="205">
        <f t="shared" si="4"/>
        <v>0.10526315789473684</v>
      </c>
      <c r="J231" s="206" t="s">
        <v>1159</v>
      </c>
      <c r="K231" s="204"/>
    </row>
    <row r="232" spans="1:11" ht="16">
      <c r="A232" s="198" t="s">
        <v>821</v>
      </c>
      <c r="B232" s="220" t="s">
        <v>16</v>
      </c>
      <c r="C232" s="220" t="s">
        <v>17</v>
      </c>
      <c r="D232" s="209" t="s">
        <v>18</v>
      </c>
      <c r="E232" s="210" t="s">
        <v>1166</v>
      </c>
      <c r="F232" s="202" t="str">
        <f>VLOOKUP(D232,CSR!$D$4:$E$1180,2,FALSE)</f>
        <v>CSR_11300</v>
      </c>
      <c r="G232" s="203">
        <v>46132</v>
      </c>
      <c r="H232" s="204">
        <v>2</v>
      </c>
      <c r="I232" s="205">
        <f t="shared" si="4"/>
        <v>0.10526315789473684</v>
      </c>
      <c r="J232" s="206" t="s">
        <v>1159</v>
      </c>
      <c r="K232" s="204"/>
    </row>
    <row r="233" spans="1:11" ht="16">
      <c r="A233" s="198" t="s">
        <v>915</v>
      </c>
      <c r="B233" s="199" t="s">
        <v>1167</v>
      </c>
      <c r="C233" s="199" t="s">
        <v>730</v>
      </c>
      <c r="D233" s="208" t="s">
        <v>743</v>
      </c>
      <c r="E233" s="210" t="s">
        <v>1168</v>
      </c>
      <c r="F233" s="202" t="str">
        <f>VLOOKUP(D233,CSR!$D$4:$E$1180,2,FALSE)</f>
        <v>CSR_20005</v>
      </c>
      <c r="G233" s="203">
        <v>46106</v>
      </c>
      <c r="H233" s="208">
        <v>2</v>
      </c>
      <c r="I233" s="205">
        <f t="shared" si="4"/>
        <v>0.10526315789473684</v>
      </c>
      <c r="J233" s="206" t="s">
        <v>914</v>
      </c>
      <c r="K233" s="204"/>
    </row>
    <row r="234" spans="1:11" ht="16">
      <c r="A234" s="198" t="s">
        <v>821</v>
      </c>
      <c r="B234" s="199" t="s">
        <v>70</v>
      </c>
      <c r="C234" s="199" t="s">
        <v>245</v>
      </c>
      <c r="D234" s="200" t="s">
        <v>1063</v>
      </c>
      <c r="E234" s="204" t="s">
        <v>1169</v>
      </c>
      <c r="F234" s="202" t="e">
        <f>VLOOKUP(D234,CSR!$D$4:$E$1180,2,FALSE)</f>
        <v>#N/A</v>
      </c>
      <c r="G234" s="234">
        <v>46115</v>
      </c>
      <c r="H234" s="204">
        <v>2.5</v>
      </c>
      <c r="I234" s="205">
        <f t="shared" si="4"/>
        <v>0.13157894736842105</v>
      </c>
      <c r="J234" s="198" t="s">
        <v>914</v>
      </c>
      <c r="K234" s="204"/>
    </row>
    <row r="235" spans="1:11" ht="16">
      <c r="A235" s="198" t="s">
        <v>821</v>
      </c>
      <c r="B235" s="199" t="s">
        <v>758</v>
      </c>
      <c r="C235" s="199" t="s">
        <v>759</v>
      </c>
      <c r="D235" s="208" t="s">
        <v>208</v>
      </c>
      <c r="E235" s="210" t="s">
        <v>1170</v>
      </c>
      <c r="F235" s="202" t="str">
        <f>VLOOKUP(D235,CSR!$D$4:$E$1180,2,FALSE)</f>
        <v>CSR_30400</v>
      </c>
      <c r="G235" s="203">
        <v>46126</v>
      </c>
      <c r="H235" s="204">
        <v>2</v>
      </c>
      <c r="I235" s="205">
        <f t="shared" si="4"/>
        <v>0.10526315789473684</v>
      </c>
      <c r="J235" s="206" t="s">
        <v>914</v>
      </c>
      <c r="K235" s="204"/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34"/>
  <sheetViews>
    <sheetView topLeftCell="A113" zoomScale="96" zoomScaleNormal="96" workbookViewId="0">
      <selection activeCell="D122" sqref="D122"/>
    </sheetView>
  </sheetViews>
  <sheetFormatPr baseColWidth="10" defaultColWidth="9" defaultRowHeight="15"/>
  <cols>
    <col min="1" max="1" width="6.6640625" style="21" bestFit="1" customWidth="1"/>
    <col min="2" max="2" width="14.1640625" style="19" bestFit="1" customWidth="1"/>
    <col min="3" max="3" width="20.33203125" style="19" customWidth="1"/>
    <col min="4" max="4" width="55.5" style="19" bestFit="1" customWidth="1"/>
    <col min="5" max="5" width="43.83203125" style="19" customWidth="1"/>
    <col min="6" max="6" width="10.5" style="19" bestFit="1" customWidth="1"/>
    <col min="7" max="7" width="9.6640625" style="21" customWidth="1"/>
    <col min="8" max="8" width="9.6640625" style="19" customWidth="1"/>
    <col min="9" max="9" width="9.6640625" style="222" customWidth="1"/>
    <col min="10" max="10" width="17.83203125" style="21" customWidth="1"/>
    <col min="11" max="11" width="9.6640625" style="19" customWidth="1"/>
    <col min="12" max="16384" width="9" style="197"/>
  </cols>
  <sheetData>
    <row r="1" spans="1:11" ht="16">
      <c r="A1" s="223" t="s">
        <v>815</v>
      </c>
      <c r="B1" s="223" t="s">
        <v>589</v>
      </c>
      <c r="C1" s="223" t="s">
        <v>590</v>
      </c>
      <c r="D1" s="223" t="s">
        <v>591</v>
      </c>
      <c r="E1" s="223" t="s">
        <v>816</v>
      </c>
      <c r="F1" s="223" t="s">
        <v>817</v>
      </c>
      <c r="G1" s="223" t="s">
        <v>8</v>
      </c>
      <c r="H1" s="223" t="s">
        <v>818</v>
      </c>
      <c r="I1" s="224" t="s">
        <v>819</v>
      </c>
      <c r="J1" s="223" t="s">
        <v>820</v>
      </c>
      <c r="K1" s="223" t="s">
        <v>588</v>
      </c>
    </row>
    <row r="2" spans="1:11" ht="32">
      <c r="A2" s="198" t="s">
        <v>1171</v>
      </c>
      <c r="B2" s="199" t="s">
        <v>16</v>
      </c>
      <c r="C2" s="199" t="s">
        <v>616</v>
      </c>
      <c r="D2" s="200" t="s">
        <v>1172</v>
      </c>
      <c r="E2" s="201" t="s">
        <v>1173</v>
      </c>
      <c r="F2" s="202" t="str">
        <f>VLOOKUP(D2,[3]CSR!$D$4:$E$1159,2,FALSE)</f>
        <v>CSR_11409</v>
      </c>
      <c r="G2" s="203">
        <v>46080</v>
      </c>
      <c r="H2" s="208">
        <v>4</v>
      </c>
      <c r="I2" s="205">
        <f t="shared" ref="I2:I65" si="0">H2*10/190</f>
        <v>0.21052631578947367</v>
      </c>
      <c r="J2" s="206" t="s">
        <v>22</v>
      </c>
      <c r="K2" s="204"/>
    </row>
    <row r="3" spans="1:11" ht="32">
      <c r="A3" s="198" t="s">
        <v>915</v>
      </c>
      <c r="B3" s="199" t="s">
        <v>16</v>
      </c>
      <c r="C3" s="199" t="s">
        <v>616</v>
      </c>
      <c r="D3" s="200" t="s">
        <v>18</v>
      </c>
      <c r="E3" s="201" t="s">
        <v>1174</v>
      </c>
      <c r="F3" s="202" t="str">
        <f>VLOOKUP(D3,[3]CSR!$D$4:$E$1159,2,FALSE)</f>
        <v>CSR_11300</v>
      </c>
      <c r="G3" s="203">
        <v>46087</v>
      </c>
      <c r="H3" s="204">
        <v>3</v>
      </c>
      <c r="I3" s="205">
        <f t="shared" si="0"/>
        <v>0.15789473684210525</v>
      </c>
      <c r="J3" s="206" t="s">
        <v>22</v>
      </c>
      <c r="K3" s="204"/>
    </row>
    <row r="4" spans="1:11" ht="32">
      <c r="A4" s="198" t="s">
        <v>915</v>
      </c>
      <c r="B4" s="199" t="s">
        <v>16</v>
      </c>
      <c r="C4" s="199" t="s">
        <v>616</v>
      </c>
      <c r="D4" s="200" t="s">
        <v>1172</v>
      </c>
      <c r="E4" s="210" t="s">
        <v>1175</v>
      </c>
      <c r="F4" s="202" t="str">
        <f>VLOOKUP(D4,[3]CSR!$D$4:$E$1159,2,FALSE)</f>
        <v>CSR_11409</v>
      </c>
      <c r="G4" s="203">
        <v>46087</v>
      </c>
      <c r="H4" s="204">
        <v>2</v>
      </c>
      <c r="I4" s="205">
        <f t="shared" si="0"/>
        <v>0.10526315789473684</v>
      </c>
      <c r="J4" s="206" t="s">
        <v>22</v>
      </c>
      <c r="K4" s="204"/>
    </row>
    <row r="5" spans="1:11" ht="32">
      <c r="A5" s="198" t="s">
        <v>915</v>
      </c>
      <c r="B5" s="199" t="s">
        <v>16</v>
      </c>
      <c r="C5" s="199" t="s">
        <v>616</v>
      </c>
      <c r="D5" s="200" t="s">
        <v>1172</v>
      </c>
      <c r="E5" s="210" t="s">
        <v>1176</v>
      </c>
      <c r="F5" s="202" t="str">
        <f>VLOOKUP(D5,[3]CSR!$D$4:$E$1159,2,FALSE)</f>
        <v>CSR_11409</v>
      </c>
      <c r="G5" s="203">
        <v>46094</v>
      </c>
      <c r="H5" s="204">
        <v>2</v>
      </c>
      <c r="I5" s="205">
        <f t="shared" si="0"/>
        <v>0.10526315789473684</v>
      </c>
      <c r="J5" s="206" t="s">
        <v>22</v>
      </c>
      <c r="K5" s="204"/>
    </row>
    <row r="6" spans="1:11" ht="32">
      <c r="A6" s="198" t="s">
        <v>915</v>
      </c>
      <c r="B6" s="199" t="s">
        <v>16</v>
      </c>
      <c r="C6" s="199" t="s">
        <v>616</v>
      </c>
      <c r="D6" s="200" t="s">
        <v>1177</v>
      </c>
      <c r="E6" s="210" t="s">
        <v>1178</v>
      </c>
      <c r="F6" s="202" t="str">
        <f>VLOOKUP(D6,[3]CSR!$D$4:$E$1159,2,FALSE)</f>
        <v>CSR_11312</v>
      </c>
      <c r="G6" s="203">
        <v>46094</v>
      </c>
      <c r="H6" s="204">
        <v>3</v>
      </c>
      <c r="I6" s="205">
        <f t="shared" si="0"/>
        <v>0.15789473684210525</v>
      </c>
      <c r="J6" s="206" t="s">
        <v>22</v>
      </c>
      <c r="K6" s="204"/>
    </row>
    <row r="7" spans="1:11" ht="32">
      <c r="A7" s="198" t="s">
        <v>915</v>
      </c>
      <c r="B7" s="199" t="s">
        <v>16</v>
      </c>
      <c r="C7" s="199" t="s">
        <v>616</v>
      </c>
      <c r="D7" s="200" t="s">
        <v>1172</v>
      </c>
      <c r="E7" s="226" t="s">
        <v>1179</v>
      </c>
      <c r="F7" s="202" t="str">
        <f>VLOOKUP(D7,[3]CSR!$D$4:$E$1159,2,FALSE)</f>
        <v>CSR_11409</v>
      </c>
      <c r="G7" s="203">
        <v>46101</v>
      </c>
      <c r="H7" s="212">
        <v>1</v>
      </c>
      <c r="I7" s="205">
        <f t="shared" si="0"/>
        <v>5.2631578947368418E-2</v>
      </c>
      <c r="J7" s="211" t="s">
        <v>22</v>
      </c>
      <c r="K7" s="212"/>
    </row>
    <row r="8" spans="1:11" ht="32">
      <c r="A8" s="198" t="s">
        <v>915</v>
      </c>
      <c r="B8" s="199" t="s">
        <v>16</v>
      </c>
      <c r="C8" s="199" t="s">
        <v>616</v>
      </c>
      <c r="D8" s="207" t="s">
        <v>18</v>
      </c>
      <c r="E8" s="210" t="s">
        <v>1180</v>
      </c>
      <c r="F8" s="202" t="str">
        <f>VLOOKUP(D8,[3]CSR!$D$4:$E$1159,2,FALSE)</f>
        <v>CSR_11300</v>
      </c>
      <c r="G8" s="203">
        <v>46101</v>
      </c>
      <c r="H8" s="204">
        <v>2</v>
      </c>
      <c r="I8" s="205">
        <f t="shared" si="0"/>
        <v>0.10526315789473684</v>
      </c>
      <c r="J8" s="206" t="s">
        <v>22</v>
      </c>
      <c r="K8" s="204"/>
    </row>
    <row r="9" spans="1:11" ht="32">
      <c r="A9" s="198" t="s">
        <v>915</v>
      </c>
      <c r="B9" s="199" t="s">
        <v>49</v>
      </c>
      <c r="C9" s="199" t="s">
        <v>50</v>
      </c>
      <c r="D9" s="208" t="s">
        <v>1181</v>
      </c>
      <c r="E9" s="210" t="s">
        <v>1182</v>
      </c>
      <c r="F9" s="202" t="str">
        <f>VLOOKUP(D9,[3]CSR!$D$4:$E$1159,2,FALSE)</f>
        <v>CSR_41103</v>
      </c>
      <c r="G9" s="203">
        <v>46101</v>
      </c>
      <c r="H9" s="204">
        <v>2</v>
      </c>
      <c r="I9" s="205">
        <f t="shared" si="0"/>
        <v>0.10526315789473684</v>
      </c>
      <c r="J9" s="206" t="s">
        <v>22</v>
      </c>
      <c r="K9" s="204"/>
    </row>
    <row r="10" spans="1:11" ht="32">
      <c r="A10" s="198" t="s">
        <v>1171</v>
      </c>
      <c r="B10" s="199" t="s">
        <v>16</v>
      </c>
      <c r="C10" s="199" t="s">
        <v>616</v>
      </c>
      <c r="D10" s="208" t="s">
        <v>634</v>
      </c>
      <c r="E10" s="210" t="s">
        <v>1183</v>
      </c>
      <c r="F10" s="202" t="str">
        <f>VLOOKUP(D10,[3]CSR!$D$4:$E$1159,2,FALSE)</f>
        <v>CSR_10700</v>
      </c>
      <c r="G10" s="203">
        <v>46080</v>
      </c>
      <c r="H10" s="204">
        <v>3</v>
      </c>
      <c r="I10" s="205">
        <f t="shared" si="0"/>
        <v>0.15789473684210525</v>
      </c>
      <c r="J10" s="206" t="s">
        <v>54</v>
      </c>
      <c r="K10" s="204"/>
    </row>
    <row r="11" spans="1:11" ht="32">
      <c r="A11" s="198" t="s">
        <v>1171</v>
      </c>
      <c r="B11" s="199" t="s">
        <v>16</v>
      </c>
      <c r="C11" s="199" t="s">
        <v>616</v>
      </c>
      <c r="D11" s="200" t="s">
        <v>1172</v>
      </c>
      <c r="E11" s="201" t="s">
        <v>1184</v>
      </c>
      <c r="F11" s="202" t="str">
        <f>VLOOKUP(D11,[3]CSR!$D$4:$E$1159,2,FALSE)</f>
        <v>CSR_11409</v>
      </c>
      <c r="G11" s="203">
        <v>46080</v>
      </c>
      <c r="H11" s="204">
        <v>2</v>
      </c>
      <c r="I11" s="205">
        <f t="shared" si="0"/>
        <v>0.10526315789473684</v>
      </c>
      <c r="J11" s="206" t="s">
        <v>54</v>
      </c>
      <c r="K11" s="204"/>
    </row>
    <row r="12" spans="1:11" ht="32">
      <c r="A12" s="198" t="s">
        <v>915</v>
      </c>
      <c r="B12" s="199" t="s">
        <v>16</v>
      </c>
      <c r="C12" s="199" t="s">
        <v>616</v>
      </c>
      <c r="D12" s="200" t="s">
        <v>1172</v>
      </c>
      <c r="E12" s="201" t="s">
        <v>1185</v>
      </c>
      <c r="F12" s="202" t="str">
        <f>VLOOKUP(D12,[3]CSR!$D$4:$E$1159,2,FALSE)</f>
        <v>CSR_11409</v>
      </c>
      <c r="G12" s="203">
        <v>46087</v>
      </c>
      <c r="H12" s="204">
        <v>2</v>
      </c>
      <c r="I12" s="205">
        <f t="shared" si="0"/>
        <v>0.10526315789473684</v>
      </c>
      <c r="J12" s="217" t="s">
        <v>54</v>
      </c>
      <c r="K12" s="204"/>
    </row>
    <row r="13" spans="1:11" ht="32">
      <c r="A13" s="198" t="s">
        <v>915</v>
      </c>
      <c r="B13" s="199" t="s">
        <v>16</v>
      </c>
      <c r="C13" s="199" t="s">
        <v>616</v>
      </c>
      <c r="D13" s="200" t="s">
        <v>1172</v>
      </c>
      <c r="E13" s="201" t="s">
        <v>1186</v>
      </c>
      <c r="F13" s="202" t="str">
        <f>VLOOKUP(D13,[3]CSR!$D$4:$E$1159,2,FALSE)</f>
        <v>CSR_11409</v>
      </c>
      <c r="G13" s="203">
        <v>46087</v>
      </c>
      <c r="H13" s="208">
        <v>1</v>
      </c>
      <c r="I13" s="205">
        <f t="shared" si="0"/>
        <v>5.2631578947368418E-2</v>
      </c>
      <c r="J13" s="206" t="s">
        <v>54</v>
      </c>
      <c r="K13" s="204"/>
    </row>
    <row r="14" spans="1:11" ht="32">
      <c r="A14" s="198" t="s">
        <v>915</v>
      </c>
      <c r="B14" s="199" t="s">
        <v>16</v>
      </c>
      <c r="C14" s="199" t="s">
        <v>616</v>
      </c>
      <c r="D14" s="200" t="s">
        <v>1172</v>
      </c>
      <c r="E14" s="210" t="s">
        <v>1175</v>
      </c>
      <c r="F14" s="202" t="str">
        <f>VLOOKUP(D14,[3]CSR!$D$4:$E$1159,2,FALSE)</f>
        <v>CSR_11409</v>
      </c>
      <c r="G14" s="203">
        <v>46087</v>
      </c>
      <c r="H14" s="208">
        <v>2</v>
      </c>
      <c r="I14" s="205">
        <f t="shared" si="0"/>
        <v>0.10526315789473684</v>
      </c>
      <c r="J14" s="206" t="s">
        <v>54</v>
      </c>
      <c r="K14" s="204"/>
    </row>
    <row r="15" spans="1:11" ht="32">
      <c r="A15" s="198" t="s">
        <v>915</v>
      </c>
      <c r="B15" s="199" t="s">
        <v>16</v>
      </c>
      <c r="C15" s="199" t="s">
        <v>616</v>
      </c>
      <c r="D15" s="200" t="s">
        <v>1172</v>
      </c>
      <c r="E15" s="210" t="s">
        <v>1176</v>
      </c>
      <c r="F15" s="202" t="str">
        <f>VLOOKUP(D15,[3]CSR!$D$4:$E$1159,2,FALSE)</f>
        <v>CSR_11409</v>
      </c>
      <c r="G15" s="203">
        <v>46094</v>
      </c>
      <c r="H15" s="204">
        <v>2</v>
      </c>
      <c r="I15" s="205">
        <f t="shared" si="0"/>
        <v>0.10526315789473684</v>
      </c>
      <c r="J15" s="206" t="s">
        <v>54</v>
      </c>
      <c r="K15" s="204"/>
    </row>
    <row r="16" spans="1:11" ht="32">
      <c r="A16" s="198" t="s">
        <v>915</v>
      </c>
      <c r="B16" s="199" t="s">
        <v>16</v>
      </c>
      <c r="C16" s="199" t="s">
        <v>616</v>
      </c>
      <c r="D16" s="200" t="s">
        <v>131</v>
      </c>
      <c r="E16" s="201" t="s">
        <v>1187</v>
      </c>
      <c r="F16" s="202" t="str">
        <f>VLOOKUP(D16,[3]CSR!$D$4:$E$1159,2,FALSE)</f>
        <v>CSR_10400</v>
      </c>
      <c r="G16" s="203">
        <v>46094</v>
      </c>
      <c r="H16" s="208">
        <v>3</v>
      </c>
      <c r="I16" s="205">
        <f t="shared" si="0"/>
        <v>0.15789473684210525</v>
      </c>
      <c r="J16" s="206" t="s">
        <v>54</v>
      </c>
      <c r="K16" s="204"/>
    </row>
    <row r="17" spans="1:11" ht="32">
      <c r="A17" s="198" t="s">
        <v>915</v>
      </c>
      <c r="B17" s="199" t="s">
        <v>16</v>
      </c>
      <c r="C17" s="199" t="s">
        <v>616</v>
      </c>
      <c r="D17" s="200" t="s">
        <v>1172</v>
      </c>
      <c r="E17" s="201" t="s">
        <v>1188</v>
      </c>
      <c r="F17" s="202" t="str">
        <f>VLOOKUP(D17,[3]CSR!$D$4:$E$1159,2,FALSE)</f>
        <v>CSR_11409</v>
      </c>
      <c r="G17" s="203">
        <v>46101</v>
      </c>
      <c r="H17" s="212">
        <v>1</v>
      </c>
      <c r="I17" s="205">
        <f t="shared" si="0"/>
        <v>5.2631578947368418E-2</v>
      </c>
      <c r="J17" s="211" t="s">
        <v>54</v>
      </c>
      <c r="K17" s="212"/>
    </row>
    <row r="18" spans="1:11" ht="32">
      <c r="A18" s="198" t="s">
        <v>915</v>
      </c>
      <c r="B18" s="199" t="s">
        <v>16</v>
      </c>
      <c r="C18" s="199" t="s">
        <v>616</v>
      </c>
      <c r="D18" s="200" t="s">
        <v>1172</v>
      </c>
      <c r="E18" s="226" t="s">
        <v>1179</v>
      </c>
      <c r="F18" s="202" t="str">
        <f>VLOOKUP(D18,[3]CSR!$D$4:$E$1159,2,FALSE)</f>
        <v>CSR_11409</v>
      </c>
      <c r="G18" s="203">
        <v>46101</v>
      </c>
      <c r="H18" s="212">
        <v>1</v>
      </c>
      <c r="I18" s="205">
        <f t="shared" si="0"/>
        <v>5.2631578947368418E-2</v>
      </c>
      <c r="J18" s="211" t="s">
        <v>54</v>
      </c>
      <c r="K18" s="212"/>
    </row>
    <row r="19" spans="1:11" ht="32">
      <c r="A19" s="198" t="s">
        <v>915</v>
      </c>
      <c r="B19" s="199" t="s">
        <v>16</v>
      </c>
      <c r="C19" s="199" t="s">
        <v>616</v>
      </c>
      <c r="D19" s="200" t="s">
        <v>1189</v>
      </c>
      <c r="E19" s="201" t="s">
        <v>1190</v>
      </c>
      <c r="F19" s="202" t="str">
        <f>VLOOKUP(D19,[3]CSR!$D$4:$E$1159,2,FALSE)</f>
        <v>CSR_11310</v>
      </c>
      <c r="G19" s="203">
        <v>46101</v>
      </c>
      <c r="H19" s="208">
        <v>2</v>
      </c>
      <c r="I19" s="205">
        <f t="shared" si="0"/>
        <v>0.10526315789473684</v>
      </c>
      <c r="J19" s="206" t="s">
        <v>54</v>
      </c>
      <c r="K19" s="204"/>
    </row>
    <row r="20" spans="1:11" ht="32">
      <c r="A20" s="198" t="s">
        <v>1171</v>
      </c>
      <c r="B20" s="199" t="s">
        <v>16</v>
      </c>
      <c r="C20" s="199" t="s">
        <v>616</v>
      </c>
      <c r="D20" s="200" t="s">
        <v>131</v>
      </c>
      <c r="E20" s="201" t="s">
        <v>1191</v>
      </c>
      <c r="F20" s="202" t="str">
        <f>VLOOKUP(D20,[3]CSR!$D$4:$E$1159,2,FALSE)</f>
        <v>CSR_10400</v>
      </c>
      <c r="G20" s="203">
        <v>46080</v>
      </c>
      <c r="H20" s="208">
        <v>3</v>
      </c>
      <c r="I20" s="205">
        <f t="shared" si="0"/>
        <v>0.15789473684210525</v>
      </c>
      <c r="J20" s="206" t="s">
        <v>68</v>
      </c>
      <c r="K20" s="204"/>
    </row>
    <row r="21" spans="1:11" ht="32">
      <c r="A21" s="198" t="s">
        <v>1171</v>
      </c>
      <c r="B21" s="199" t="s">
        <v>16</v>
      </c>
      <c r="C21" s="199" t="s">
        <v>616</v>
      </c>
      <c r="D21" s="200" t="s">
        <v>1172</v>
      </c>
      <c r="E21" s="201" t="s">
        <v>1192</v>
      </c>
      <c r="F21" s="202" t="str">
        <f>VLOOKUP(D21,[3]CSR!$D$4:$E$1159,2,FALSE)</f>
        <v>CSR_11409</v>
      </c>
      <c r="G21" s="203">
        <v>46080</v>
      </c>
      <c r="H21" s="204">
        <v>2</v>
      </c>
      <c r="I21" s="205">
        <f t="shared" si="0"/>
        <v>0.10526315789473684</v>
      </c>
      <c r="J21" s="206" t="s">
        <v>68</v>
      </c>
      <c r="K21" s="204"/>
    </row>
    <row r="22" spans="1:11" ht="32">
      <c r="A22" s="198" t="s">
        <v>915</v>
      </c>
      <c r="B22" s="199" t="s">
        <v>16</v>
      </c>
      <c r="C22" s="199" t="s">
        <v>616</v>
      </c>
      <c r="D22" s="200" t="s">
        <v>1172</v>
      </c>
      <c r="E22" s="201" t="s">
        <v>1193</v>
      </c>
      <c r="F22" s="202" t="str">
        <f>VLOOKUP(D22,[3]CSR!$D$4:$E$1159,2,FALSE)</f>
        <v>CSR_11409</v>
      </c>
      <c r="G22" s="203">
        <v>46087</v>
      </c>
      <c r="H22" s="208">
        <v>2</v>
      </c>
      <c r="I22" s="205">
        <f t="shared" si="0"/>
        <v>0.10526315789473684</v>
      </c>
      <c r="J22" s="206" t="s">
        <v>68</v>
      </c>
      <c r="K22" s="204"/>
    </row>
    <row r="23" spans="1:11" ht="32">
      <c r="A23" s="198" t="s">
        <v>915</v>
      </c>
      <c r="B23" s="199" t="s">
        <v>16</v>
      </c>
      <c r="C23" s="199" t="s">
        <v>616</v>
      </c>
      <c r="D23" s="200" t="s">
        <v>1172</v>
      </c>
      <c r="E23" s="201" t="s">
        <v>1186</v>
      </c>
      <c r="F23" s="202" t="str">
        <f>VLOOKUP(D23,[3]CSR!$D$4:$E$1159,2,FALSE)</f>
        <v>CSR_11409</v>
      </c>
      <c r="G23" s="203">
        <v>46087</v>
      </c>
      <c r="H23" s="208">
        <v>3</v>
      </c>
      <c r="I23" s="205">
        <f t="shared" si="0"/>
        <v>0.15789473684210525</v>
      </c>
      <c r="J23" s="206" t="s">
        <v>68</v>
      </c>
      <c r="K23" s="204"/>
    </row>
    <row r="24" spans="1:11" ht="32">
      <c r="A24" s="198" t="s">
        <v>915</v>
      </c>
      <c r="B24" s="199" t="s">
        <v>16</v>
      </c>
      <c r="C24" s="199" t="s">
        <v>616</v>
      </c>
      <c r="D24" s="200" t="s">
        <v>1172</v>
      </c>
      <c r="E24" s="201" t="s">
        <v>1194</v>
      </c>
      <c r="F24" s="202" t="str">
        <f>VLOOKUP(D24,[3]CSR!$D$4:$E$1159,2,FALSE)</f>
        <v>CSR_11409</v>
      </c>
      <c r="G24" s="203">
        <v>46094</v>
      </c>
      <c r="H24" s="208">
        <v>2</v>
      </c>
      <c r="I24" s="205">
        <f t="shared" si="0"/>
        <v>0.10526315789473684</v>
      </c>
      <c r="J24" s="206" t="s">
        <v>68</v>
      </c>
      <c r="K24" s="204"/>
    </row>
    <row r="25" spans="1:11" ht="32">
      <c r="A25" s="198" t="s">
        <v>915</v>
      </c>
      <c r="B25" s="199" t="s">
        <v>16</v>
      </c>
      <c r="C25" s="199" t="s">
        <v>616</v>
      </c>
      <c r="D25" s="200" t="s">
        <v>1172</v>
      </c>
      <c r="E25" s="201" t="s">
        <v>1188</v>
      </c>
      <c r="F25" s="202" t="str">
        <f>VLOOKUP(D25,[3]CSR!$D$4:$E$1159,2,FALSE)</f>
        <v>CSR_11409</v>
      </c>
      <c r="G25" s="203">
        <v>46094</v>
      </c>
      <c r="H25" s="208">
        <v>3</v>
      </c>
      <c r="I25" s="205">
        <f t="shared" si="0"/>
        <v>0.15789473684210525</v>
      </c>
      <c r="J25" s="206" t="s">
        <v>68</v>
      </c>
      <c r="K25" s="204"/>
    </row>
    <row r="26" spans="1:11" ht="32">
      <c r="A26" s="198" t="s">
        <v>915</v>
      </c>
      <c r="B26" s="199" t="s">
        <v>16</v>
      </c>
      <c r="C26" s="199" t="s">
        <v>616</v>
      </c>
      <c r="D26" s="200" t="s">
        <v>1172</v>
      </c>
      <c r="E26" s="201" t="s">
        <v>1188</v>
      </c>
      <c r="F26" s="202" t="str">
        <f>VLOOKUP(D26,[3]CSR!$D$4:$E$1159,2,FALSE)</f>
        <v>CSR_11409</v>
      </c>
      <c r="G26" s="203">
        <v>46101</v>
      </c>
      <c r="H26" s="212">
        <v>1</v>
      </c>
      <c r="I26" s="205">
        <f t="shared" si="0"/>
        <v>5.2631578947368418E-2</v>
      </c>
      <c r="J26" s="211" t="s">
        <v>68</v>
      </c>
      <c r="K26" s="212"/>
    </row>
    <row r="27" spans="1:11" ht="32">
      <c r="A27" s="198" t="s">
        <v>915</v>
      </c>
      <c r="B27" s="199" t="s">
        <v>16</v>
      </c>
      <c r="C27" s="199" t="s">
        <v>616</v>
      </c>
      <c r="D27" s="207" t="s">
        <v>18</v>
      </c>
      <c r="E27" s="210" t="s">
        <v>1195</v>
      </c>
      <c r="F27" s="202" t="str">
        <f>VLOOKUP(D27,[3]CSR!$D$4:$E$1159,2,FALSE)</f>
        <v>CSR_11300</v>
      </c>
      <c r="G27" s="203">
        <v>46101</v>
      </c>
      <c r="H27" s="204">
        <v>3</v>
      </c>
      <c r="I27" s="205">
        <f t="shared" si="0"/>
        <v>0.15789473684210525</v>
      </c>
      <c r="J27" s="206" t="s">
        <v>68</v>
      </c>
      <c r="K27" s="204"/>
    </row>
    <row r="28" spans="1:11" ht="32">
      <c r="A28" s="198" t="s">
        <v>1171</v>
      </c>
      <c r="B28" s="199" t="s">
        <v>16</v>
      </c>
      <c r="C28" s="199" t="s">
        <v>616</v>
      </c>
      <c r="D28" s="200" t="s">
        <v>1172</v>
      </c>
      <c r="E28" s="235" t="s">
        <v>1196</v>
      </c>
      <c r="F28" s="202" t="str">
        <f>VLOOKUP(D28,[3]CSR!$D$4:$E$1159,2,FALSE)</f>
        <v>CSR_11409</v>
      </c>
      <c r="G28" s="203">
        <v>46080</v>
      </c>
      <c r="H28" s="204">
        <v>2</v>
      </c>
      <c r="I28" s="205">
        <f t="shared" si="0"/>
        <v>0.10526315789473684</v>
      </c>
      <c r="J28" s="206" t="s">
        <v>83</v>
      </c>
      <c r="K28" s="204"/>
    </row>
    <row r="29" spans="1:11" ht="32">
      <c r="A29" s="198" t="s">
        <v>1171</v>
      </c>
      <c r="B29" s="199" t="s">
        <v>16</v>
      </c>
      <c r="C29" s="199" t="s">
        <v>616</v>
      </c>
      <c r="D29" s="200" t="s">
        <v>1172</v>
      </c>
      <c r="E29" s="201" t="s">
        <v>1197</v>
      </c>
      <c r="F29" s="202" t="str">
        <f>VLOOKUP(D29,[3]CSR!$D$4:$E$1159,2,FALSE)</f>
        <v>CSR_11409</v>
      </c>
      <c r="G29" s="203">
        <v>46080</v>
      </c>
      <c r="H29" s="204">
        <v>2</v>
      </c>
      <c r="I29" s="205">
        <f t="shared" si="0"/>
        <v>0.10526315789473684</v>
      </c>
      <c r="J29" s="199" t="s">
        <v>83</v>
      </c>
      <c r="K29" s="204"/>
    </row>
    <row r="30" spans="1:11" ht="32">
      <c r="A30" s="198" t="s">
        <v>915</v>
      </c>
      <c r="B30" s="199" t="s">
        <v>16</v>
      </c>
      <c r="C30" s="199" t="s">
        <v>616</v>
      </c>
      <c r="D30" s="200" t="s">
        <v>1172</v>
      </c>
      <c r="E30" s="201" t="s">
        <v>1198</v>
      </c>
      <c r="F30" s="202" t="str">
        <f>VLOOKUP(D30,[3]CSR!$D$4:$E$1159,2,FALSE)</f>
        <v>CSR_11409</v>
      </c>
      <c r="G30" s="203">
        <v>46087</v>
      </c>
      <c r="H30" s="204">
        <v>2</v>
      </c>
      <c r="I30" s="205">
        <f t="shared" si="0"/>
        <v>0.10526315789473684</v>
      </c>
      <c r="J30" s="206" t="s">
        <v>83</v>
      </c>
      <c r="K30" s="204"/>
    </row>
    <row r="31" spans="1:11" ht="32">
      <c r="A31" s="198" t="s">
        <v>915</v>
      </c>
      <c r="B31" s="199" t="s">
        <v>16</v>
      </c>
      <c r="C31" s="199" t="s">
        <v>616</v>
      </c>
      <c r="D31" s="200" t="s">
        <v>18</v>
      </c>
      <c r="E31" s="201" t="s">
        <v>1174</v>
      </c>
      <c r="F31" s="202" t="str">
        <f>VLOOKUP(D31,[3]CSR!$D$4:$E$1159,2,FALSE)</f>
        <v>CSR_11300</v>
      </c>
      <c r="G31" s="203">
        <v>46087</v>
      </c>
      <c r="H31" s="204">
        <v>3</v>
      </c>
      <c r="I31" s="205">
        <f t="shared" si="0"/>
        <v>0.15789473684210525</v>
      </c>
      <c r="J31" s="206" t="s">
        <v>83</v>
      </c>
      <c r="K31" s="204"/>
    </row>
    <row r="32" spans="1:11" ht="32">
      <c r="A32" s="198" t="s">
        <v>915</v>
      </c>
      <c r="B32" s="199" t="s">
        <v>16</v>
      </c>
      <c r="C32" s="199" t="s">
        <v>616</v>
      </c>
      <c r="D32" s="200" t="s">
        <v>1172</v>
      </c>
      <c r="E32" s="201" t="s">
        <v>1194</v>
      </c>
      <c r="F32" s="202" t="str">
        <f>VLOOKUP(D32,[3]CSR!$D$4:$E$1159,2,FALSE)</f>
        <v>CSR_11409</v>
      </c>
      <c r="G32" s="203">
        <v>46094</v>
      </c>
      <c r="H32" s="208">
        <v>2</v>
      </c>
      <c r="I32" s="205">
        <f t="shared" si="0"/>
        <v>0.10526315789473684</v>
      </c>
      <c r="J32" s="206" t="s">
        <v>83</v>
      </c>
      <c r="K32" s="204"/>
    </row>
    <row r="33" spans="1:11" ht="32">
      <c r="A33" s="198" t="s">
        <v>915</v>
      </c>
      <c r="B33" s="199" t="s">
        <v>16</v>
      </c>
      <c r="C33" s="199" t="s">
        <v>616</v>
      </c>
      <c r="D33" s="200" t="s">
        <v>1172</v>
      </c>
      <c r="E33" s="201" t="s">
        <v>1188</v>
      </c>
      <c r="F33" s="202" t="str">
        <f>VLOOKUP(D33,[3]CSR!$D$4:$E$1159,2,FALSE)</f>
        <v>CSR_11409</v>
      </c>
      <c r="G33" s="203">
        <v>46094</v>
      </c>
      <c r="H33" s="208">
        <v>3</v>
      </c>
      <c r="I33" s="205">
        <f t="shared" si="0"/>
        <v>0.15789473684210525</v>
      </c>
      <c r="J33" s="206" t="s">
        <v>83</v>
      </c>
      <c r="K33" s="204"/>
    </row>
    <row r="34" spans="1:11" ht="32">
      <c r="A34" s="198" t="s">
        <v>915</v>
      </c>
      <c r="B34" s="199" t="s">
        <v>16</v>
      </c>
      <c r="C34" s="199" t="s">
        <v>616</v>
      </c>
      <c r="D34" s="200" t="s">
        <v>1172</v>
      </c>
      <c r="E34" s="226" t="s">
        <v>1179</v>
      </c>
      <c r="F34" s="202" t="str">
        <f>VLOOKUP(D34,[3]CSR!$D$4:$E$1159,2,FALSE)</f>
        <v>CSR_11409</v>
      </c>
      <c r="G34" s="203">
        <v>46101</v>
      </c>
      <c r="H34" s="212">
        <v>1</v>
      </c>
      <c r="I34" s="205">
        <f t="shared" si="0"/>
        <v>5.2631578947368418E-2</v>
      </c>
      <c r="J34" s="211" t="s">
        <v>83</v>
      </c>
      <c r="K34" s="212"/>
    </row>
    <row r="35" spans="1:11" ht="32">
      <c r="A35" s="198" t="s">
        <v>915</v>
      </c>
      <c r="B35" s="199" t="s">
        <v>49</v>
      </c>
      <c r="C35" s="199" t="s">
        <v>50</v>
      </c>
      <c r="D35" s="200" t="s">
        <v>1181</v>
      </c>
      <c r="E35" s="201" t="s">
        <v>1199</v>
      </c>
      <c r="F35" s="202" t="str">
        <f>VLOOKUP(D35,[3]CSR!$D$4:$E$1159,2,FALSE)</f>
        <v>CSR_41103</v>
      </c>
      <c r="G35" s="203">
        <v>46101</v>
      </c>
      <c r="H35" s="208">
        <v>2</v>
      </c>
      <c r="I35" s="205">
        <f t="shared" si="0"/>
        <v>0.10526315789473684</v>
      </c>
      <c r="J35" s="206" t="s">
        <v>83</v>
      </c>
      <c r="K35" s="204"/>
    </row>
    <row r="36" spans="1:11" ht="32">
      <c r="A36" s="198" t="s">
        <v>915</v>
      </c>
      <c r="B36" s="199" t="s">
        <v>16</v>
      </c>
      <c r="C36" s="199" t="s">
        <v>616</v>
      </c>
      <c r="D36" s="208" t="s">
        <v>644</v>
      </c>
      <c r="E36" s="210" t="s">
        <v>1200</v>
      </c>
      <c r="F36" s="202" t="str">
        <f>VLOOKUP(D36,[3]CSR!$D$4:$E$1159,2,FALSE)</f>
        <v>CSR_11100</v>
      </c>
      <c r="G36" s="203">
        <v>46101</v>
      </c>
      <c r="H36" s="204">
        <v>2</v>
      </c>
      <c r="I36" s="205">
        <f t="shared" si="0"/>
        <v>0.10526315789473684</v>
      </c>
      <c r="J36" s="206" t="s">
        <v>83</v>
      </c>
      <c r="K36" s="204"/>
    </row>
    <row r="37" spans="1:11" ht="32">
      <c r="A37" s="198" t="s">
        <v>1171</v>
      </c>
      <c r="B37" s="198" t="s">
        <v>1167</v>
      </c>
      <c r="C37" s="198" t="s">
        <v>753</v>
      </c>
      <c r="D37" s="208" t="s">
        <v>72</v>
      </c>
      <c r="E37" s="201" t="s">
        <v>1201</v>
      </c>
      <c r="F37" s="202" t="str">
        <f>VLOOKUP(D37,[3]CSR!$D$4:$E$1159,2,FALSE)</f>
        <v>CSR_20400</v>
      </c>
      <c r="G37" s="203">
        <v>46080</v>
      </c>
      <c r="H37" s="204">
        <v>4</v>
      </c>
      <c r="I37" s="205">
        <f t="shared" si="0"/>
        <v>0.21052631578947367</v>
      </c>
      <c r="J37" s="199" t="s">
        <v>90</v>
      </c>
      <c r="K37" s="208"/>
    </row>
    <row r="38" spans="1:11" ht="32">
      <c r="A38" s="198" t="s">
        <v>915</v>
      </c>
      <c r="B38" s="199" t="s">
        <v>16</v>
      </c>
      <c r="C38" s="199" t="s">
        <v>616</v>
      </c>
      <c r="D38" s="215" t="s">
        <v>18</v>
      </c>
      <c r="E38" s="201" t="s">
        <v>1174</v>
      </c>
      <c r="F38" s="202" t="str">
        <f>VLOOKUP(D38,[3]CSR!$D$4:$E$1159,2,FALSE)</f>
        <v>CSR_11300</v>
      </c>
      <c r="G38" s="203">
        <v>46087</v>
      </c>
      <c r="H38" s="204">
        <v>4</v>
      </c>
      <c r="I38" s="205">
        <f t="shared" si="0"/>
        <v>0.21052631578947367</v>
      </c>
      <c r="J38" s="206" t="s">
        <v>90</v>
      </c>
      <c r="K38" s="204"/>
    </row>
    <row r="39" spans="1:11" ht="32">
      <c r="A39" s="198" t="s">
        <v>915</v>
      </c>
      <c r="B39" s="199" t="s">
        <v>16</v>
      </c>
      <c r="C39" s="199" t="s">
        <v>616</v>
      </c>
      <c r="D39" s="200" t="s">
        <v>18</v>
      </c>
      <c r="E39" s="201" t="s">
        <v>1174</v>
      </c>
      <c r="F39" s="202" t="str">
        <f>VLOOKUP(D39,[3]CSR!$D$4:$E$1159,2,FALSE)</f>
        <v>CSR_11300</v>
      </c>
      <c r="G39" s="203">
        <v>46087</v>
      </c>
      <c r="H39" s="204">
        <v>1</v>
      </c>
      <c r="I39" s="205">
        <f t="shared" si="0"/>
        <v>5.2631578947368418E-2</v>
      </c>
      <c r="J39" s="206" t="s">
        <v>90</v>
      </c>
      <c r="K39" s="204"/>
    </row>
    <row r="40" spans="1:11" ht="32">
      <c r="A40" s="198" t="s">
        <v>915</v>
      </c>
      <c r="B40" s="199" t="s">
        <v>16</v>
      </c>
      <c r="C40" s="199" t="s">
        <v>616</v>
      </c>
      <c r="D40" s="200" t="s">
        <v>1172</v>
      </c>
      <c r="E40" s="201" t="s">
        <v>1194</v>
      </c>
      <c r="F40" s="202" t="str">
        <f>VLOOKUP(D40,[3]CSR!$D$4:$E$1159,2,FALSE)</f>
        <v>CSR_11409</v>
      </c>
      <c r="G40" s="203">
        <v>46094</v>
      </c>
      <c r="H40" s="208">
        <v>2</v>
      </c>
      <c r="I40" s="205">
        <f t="shared" si="0"/>
        <v>0.10526315789473684</v>
      </c>
      <c r="J40" s="206" t="s">
        <v>90</v>
      </c>
      <c r="K40" s="204"/>
    </row>
    <row r="41" spans="1:11" ht="32">
      <c r="A41" s="198" t="s">
        <v>915</v>
      </c>
      <c r="B41" s="199" t="s">
        <v>16</v>
      </c>
      <c r="C41" s="199" t="s">
        <v>616</v>
      </c>
      <c r="D41" s="200" t="s">
        <v>1172</v>
      </c>
      <c r="E41" s="201" t="s">
        <v>1188</v>
      </c>
      <c r="F41" s="202" t="str">
        <f>VLOOKUP(D41,[3]CSR!$D$4:$E$1159,2,FALSE)</f>
        <v>CSR_11409</v>
      </c>
      <c r="G41" s="203">
        <v>46094</v>
      </c>
      <c r="H41" s="208">
        <v>3</v>
      </c>
      <c r="I41" s="205">
        <f t="shared" si="0"/>
        <v>0.15789473684210525</v>
      </c>
      <c r="J41" s="206" t="s">
        <v>90</v>
      </c>
      <c r="K41" s="204"/>
    </row>
    <row r="42" spans="1:11" ht="32">
      <c r="A42" s="198" t="s">
        <v>915</v>
      </c>
      <c r="B42" s="199" t="s">
        <v>16</v>
      </c>
      <c r="C42" s="199" t="s">
        <v>616</v>
      </c>
      <c r="D42" s="200" t="s">
        <v>1172</v>
      </c>
      <c r="E42" s="201" t="s">
        <v>1188</v>
      </c>
      <c r="F42" s="202" t="str">
        <f>VLOOKUP(D42,[3]CSR!$D$4:$E$1159,2,FALSE)</f>
        <v>CSR_11409</v>
      </c>
      <c r="G42" s="203">
        <v>46101</v>
      </c>
      <c r="H42" s="212">
        <v>1</v>
      </c>
      <c r="I42" s="205">
        <f t="shared" si="0"/>
        <v>5.2631578947368418E-2</v>
      </c>
      <c r="J42" s="211" t="s">
        <v>90</v>
      </c>
      <c r="K42" s="212"/>
    </row>
    <row r="43" spans="1:11" ht="32">
      <c r="A43" s="198" t="s">
        <v>915</v>
      </c>
      <c r="B43" s="199" t="s">
        <v>16</v>
      </c>
      <c r="C43" s="199" t="s">
        <v>616</v>
      </c>
      <c r="D43" s="200" t="s">
        <v>1202</v>
      </c>
      <c r="E43" s="201" t="s">
        <v>1203</v>
      </c>
      <c r="F43" s="202" t="str">
        <f>VLOOKUP(D43,[3]CSR!$D$4:$E$1159,2,FALSE)</f>
        <v>CSR_11309</v>
      </c>
      <c r="G43" s="203">
        <v>46101</v>
      </c>
      <c r="H43" s="208">
        <v>2</v>
      </c>
      <c r="I43" s="205">
        <f t="shared" si="0"/>
        <v>0.10526315789473684</v>
      </c>
      <c r="J43" s="206" t="s">
        <v>90</v>
      </c>
      <c r="K43" s="204"/>
    </row>
    <row r="44" spans="1:11" ht="32">
      <c r="A44" s="198" t="s">
        <v>915</v>
      </c>
      <c r="B44" s="199" t="s">
        <v>16</v>
      </c>
      <c r="C44" s="199" t="s">
        <v>616</v>
      </c>
      <c r="D44" s="200" t="s">
        <v>262</v>
      </c>
      <c r="E44" s="210" t="s">
        <v>1204</v>
      </c>
      <c r="F44" s="202" t="str">
        <f>VLOOKUP(D44,[3]CSR!$D$4:$E$1159,2,FALSE)</f>
        <v>CSR_11100</v>
      </c>
      <c r="G44" s="203">
        <v>46101</v>
      </c>
      <c r="H44" s="204">
        <v>2</v>
      </c>
      <c r="I44" s="205">
        <f t="shared" si="0"/>
        <v>0.10526315789473684</v>
      </c>
      <c r="J44" s="206" t="s">
        <v>90</v>
      </c>
      <c r="K44" s="204"/>
    </row>
    <row r="45" spans="1:11" ht="32">
      <c r="A45" s="198" t="s">
        <v>1171</v>
      </c>
      <c r="B45" s="199" t="s">
        <v>31</v>
      </c>
      <c r="C45" s="199" t="s">
        <v>32</v>
      </c>
      <c r="D45" s="208" t="s">
        <v>199</v>
      </c>
      <c r="E45" s="210" t="s">
        <v>1205</v>
      </c>
      <c r="F45" s="202" t="str">
        <f>VLOOKUP(D45,[3]CSR!$D$4:$E$1159,2,FALSE)</f>
        <v>CSR_30000</v>
      </c>
      <c r="G45" s="203">
        <v>46080</v>
      </c>
      <c r="H45" s="208">
        <v>1</v>
      </c>
      <c r="I45" s="205">
        <f t="shared" si="0"/>
        <v>5.2631578947368418E-2</v>
      </c>
      <c r="J45" s="206" t="s">
        <v>104</v>
      </c>
      <c r="K45" s="204"/>
    </row>
    <row r="46" spans="1:11" ht="32">
      <c r="A46" s="198" t="s">
        <v>1171</v>
      </c>
      <c r="B46" s="199" t="s">
        <v>16</v>
      </c>
      <c r="C46" s="199" t="s">
        <v>616</v>
      </c>
      <c r="D46" s="200" t="s">
        <v>220</v>
      </c>
      <c r="E46" s="210" t="s">
        <v>1206</v>
      </c>
      <c r="F46" s="202" t="str">
        <f>VLOOKUP(D46,[3]CSR!$D$4:$E$1159,2,FALSE)</f>
        <v>CSR_10700</v>
      </c>
      <c r="G46" s="203">
        <v>46080</v>
      </c>
      <c r="H46" s="208">
        <v>2</v>
      </c>
      <c r="I46" s="205">
        <f t="shared" si="0"/>
        <v>0.10526315789473684</v>
      </c>
      <c r="J46" s="206" t="s">
        <v>104</v>
      </c>
      <c r="K46" s="204"/>
    </row>
    <row r="47" spans="1:11" ht="32">
      <c r="A47" s="198" t="s">
        <v>1171</v>
      </c>
      <c r="B47" s="199" t="s">
        <v>16</v>
      </c>
      <c r="C47" s="199" t="s">
        <v>616</v>
      </c>
      <c r="D47" s="200" t="s">
        <v>1172</v>
      </c>
      <c r="E47" s="201" t="s">
        <v>1197</v>
      </c>
      <c r="F47" s="202" t="str">
        <f>VLOOKUP(D47,[3]CSR!$D$4:$E$1159,2,FALSE)</f>
        <v>CSR_11409</v>
      </c>
      <c r="G47" s="203">
        <v>46080</v>
      </c>
      <c r="H47" s="204">
        <v>1</v>
      </c>
      <c r="I47" s="205">
        <f t="shared" si="0"/>
        <v>5.2631578947368418E-2</v>
      </c>
      <c r="J47" s="199" t="s">
        <v>104</v>
      </c>
      <c r="K47" s="204"/>
    </row>
    <row r="48" spans="1:11" ht="32">
      <c r="A48" s="198" t="s">
        <v>915</v>
      </c>
      <c r="B48" s="199" t="s">
        <v>16</v>
      </c>
      <c r="C48" s="199" t="s">
        <v>616</v>
      </c>
      <c r="D48" s="200" t="s">
        <v>1172</v>
      </c>
      <c r="E48" s="201" t="s">
        <v>1185</v>
      </c>
      <c r="F48" s="202" t="str">
        <f>VLOOKUP(D48,[3]CSR!$D$4:$E$1159,2,FALSE)</f>
        <v>CSR_11409</v>
      </c>
      <c r="G48" s="203">
        <v>46087</v>
      </c>
      <c r="H48" s="204">
        <v>2</v>
      </c>
      <c r="I48" s="205">
        <f t="shared" si="0"/>
        <v>0.10526315789473684</v>
      </c>
      <c r="J48" s="206" t="s">
        <v>104</v>
      </c>
      <c r="K48" s="204"/>
    </row>
    <row r="49" spans="1:11" ht="32">
      <c r="A49" s="198" t="s">
        <v>915</v>
      </c>
      <c r="B49" s="199" t="s">
        <v>16</v>
      </c>
      <c r="C49" s="199" t="s">
        <v>616</v>
      </c>
      <c r="D49" s="200" t="s">
        <v>1172</v>
      </c>
      <c r="E49" s="201" t="s">
        <v>1207</v>
      </c>
      <c r="F49" s="202" t="str">
        <f>VLOOKUP(D49,[3]CSR!$D$4:$E$1159,2,FALSE)</f>
        <v>CSR_11409</v>
      </c>
      <c r="G49" s="203">
        <v>46087</v>
      </c>
      <c r="H49" s="204">
        <v>1</v>
      </c>
      <c r="I49" s="205">
        <f t="shared" si="0"/>
        <v>5.2631578947368418E-2</v>
      </c>
      <c r="J49" s="206" t="s">
        <v>104</v>
      </c>
      <c r="K49" s="218"/>
    </row>
    <row r="50" spans="1:11" ht="32">
      <c r="A50" s="198" t="s">
        <v>915</v>
      </c>
      <c r="B50" s="199" t="s">
        <v>16</v>
      </c>
      <c r="C50" s="199" t="s">
        <v>616</v>
      </c>
      <c r="D50" s="200" t="s">
        <v>1172</v>
      </c>
      <c r="E50" s="210" t="s">
        <v>1208</v>
      </c>
      <c r="F50" s="202" t="str">
        <f>VLOOKUP(D50,[3]CSR!$D$4:$E$1159,2,FALSE)</f>
        <v>CSR_11409</v>
      </c>
      <c r="G50" s="203">
        <v>46087</v>
      </c>
      <c r="H50" s="204">
        <v>2</v>
      </c>
      <c r="I50" s="205">
        <f t="shared" si="0"/>
        <v>0.10526315789473684</v>
      </c>
      <c r="J50" s="206" t="s">
        <v>104</v>
      </c>
      <c r="K50" s="204"/>
    </row>
    <row r="51" spans="1:11" ht="32">
      <c r="A51" s="198" t="s">
        <v>915</v>
      </c>
      <c r="B51" s="199" t="s">
        <v>16</v>
      </c>
      <c r="C51" s="199" t="s">
        <v>616</v>
      </c>
      <c r="D51" s="200" t="s">
        <v>1172</v>
      </c>
      <c r="E51" s="210" t="s">
        <v>1209</v>
      </c>
      <c r="F51" s="202" t="str">
        <f>VLOOKUP(D51,[3]CSR!$D$4:$E$1159,2,FALSE)</f>
        <v>CSR_11409</v>
      </c>
      <c r="G51" s="203">
        <v>46094</v>
      </c>
      <c r="H51" s="204">
        <v>2</v>
      </c>
      <c r="I51" s="205">
        <f t="shared" si="0"/>
        <v>0.10526315789473684</v>
      </c>
      <c r="J51" s="206" t="s">
        <v>104</v>
      </c>
      <c r="K51" s="204"/>
    </row>
    <row r="52" spans="1:11" ht="48">
      <c r="A52" s="198" t="s">
        <v>915</v>
      </c>
      <c r="B52" s="199" t="s">
        <v>31</v>
      </c>
      <c r="C52" s="199" t="s">
        <v>32</v>
      </c>
      <c r="D52" s="208" t="s">
        <v>199</v>
      </c>
      <c r="E52" s="210" t="s">
        <v>1210</v>
      </c>
      <c r="F52" s="202" t="str">
        <f>VLOOKUP(D52,[3]CSR!$D$4:$E$1159,2,FALSE)</f>
        <v>CSR_30000</v>
      </c>
      <c r="G52" s="203">
        <v>46094</v>
      </c>
      <c r="H52" s="208">
        <v>1</v>
      </c>
      <c r="I52" s="205">
        <f t="shared" si="0"/>
        <v>5.2631578947368418E-2</v>
      </c>
      <c r="J52" s="206" t="s">
        <v>104</v>
      </c>
      <c r="K52" s="204"/>
    </row>
    <row r="53" spans="1:11" ht="32">
      <c r="A53" s="198" t="s">
        <v>915</v>
      </c>
      <c r="B53" s="199" t="s">
        <v>16</v>
      </c>
      <c r="C53" s="199" t="s">
        <v>616</v>
      </c>
      <c r="D53" s="200" t="s">
        <v>1172</v>
      </c>
      <c r="E53" s="201" t="s">
        <v>1211</v>
      </c>
      <c r="F53" s="202" t="str">
        <f>VLOOKUP(D53,[3]CSR!$D$4:$E$1159,2,FALSE)</f>
        <v>CSR_11409</v>
      </c>
      <c r="G53" s="203">
        <v>46094</v>
      </c>
      <c r="H53" s="204">
        <v>2</v>
      </c>
      <c r="I53" s="205">
        <f t="shared" si="0"/>
        <v>0.10526315789473684</v>
      </c>
      <c r="J53" s="206" t="s">
        <v>104</v>
      </c>
      <c r="K53" s="204"/>
    </row>
    <row r="54" spans="1:11" ht="32">
      <c r="A54" s="198" t="s">
        <v>915</v>
      </c>
      <c r="B54" s="199" t="s">
        <v>16</v>
      </c>
      <c r="C54" s="199" t="s">
        <v>616</v>
      </c>
      <c r="D54" s="200" t="s">
        <v>1172</v>
      </c>
      <c r="E54" s="226" t="s">
        <v>1212</v>
      </c>
      <c r="F54" s="202" t="str">
        <f>VLOOKUP(D54,[3]CSR!$D$4:$E$1159,2,FALSE)</f>
        <v>CSR_11409</v>
      </c>
      <c r="G54" s="203">
        <v>46101</v>
      </c>
      <c r="H54" s="212">
        <v>1</v>
      </c>
      <c r="I54" s="205">
        <f t="shared" si="0"/>
        <v>5.2631578947368418E-2</v>
      </c>
      <c r="J54" s="211" t="s">
        <v>104</v>
      </c>
      <c r="K54" s="212"/>
    </row>
    <row r="55" spans="1:11" ht="16">
      <c r="A55" s="198" t="s">
        <v>915</v>
      </c>
      <c r="B55" s="199" t="s">
        <v>16</v>
      </c>
      <c r="C55" s="199" t="s">
        <v>616</v>
      </c>
      <c r="D55" s="207" t="s">
        <v>1213</v>
      </c>
      <c r="E55" s="210" t="s">
        <v>1214</v>
      </c>
      <c r="F55" s="202" t="str">
        <f>VLOOKUP(D55,[3]CSR!$D$4:$E$1159,2,FALSE)</f>
        <v>CSR_11313</v>
      </c>
      <c r="G55" s="203">
        <v>46101</v>
      </c>
      <c r="H55" s="204">
        <v>3</v>
      </c>
      <c r="I55" s="205">
        <f t="shared" si="0"/>
        <v>0.15789473684210525</v>
      </c>
      <c r="J55" s="206" t="s">
        <v>104</v>
      </c>
      <c r="K55" s="204"/>
    </row>
    <row r="56" spans="1:11" ht="32">
      <c r="A56" s="198" t="s">
        <v>915</v>
      </c>
      <c r="B56" s="199" t="s">
        <v>49</v>
      </c>
      <c r="C56" s="199" t="s">
        <v>50</v>
      </c>
      <c r="D56" s="208" t="s">
        <v>1181</v>
      </c>
      <c r="E56" s="210" t="s">
        <v>1215</v>
      </c>
      <c r="F56" s="202" t="str">
        <f>VLOOKUP(D56,[3]CSR!$D$4:$E$1159,2,FALSE)</f>
        <v>CSR_41103</v>
      </c>
      <c r="G56" s="203">
        <v>46101</v>
      </c>
      <c r="H56" s="204">
        <v>1</v>
      </c>
      <c r="I56" s="205">
        <f t="shared" si="0"/>
        <v>5.2631578947368418E-2</v>
      </c>
      <c r="J56" s="206" t="s">
        <v>104</v>
      </c>
      <c r="K56" s="204"/>
    </row>
    <row r="57" spans="1:11" ht="32">
      <c r="A57" s="198" t="s">
        <v>1171</v>
      </c>
      <c r="B57" s="199" t="s">
        <v>16</v>
      </c>
      <c r="C57" s="199" t="s">
        <v>616</v>
      </c>
      <c r="D57" s="200" t="s">
        <v>1172</v>
      </c>
      <c r="E57" s="235" t="s">
        <v>1196</v>
      </c>
      <c r="F57" s="202" t="str">
        <f>VLOOKUP(D57,[3]CSR!$D$4:$E$1159,2,FALSE)</f>
        <v>CSR_11409</v>
      </c>
      <c r="G57" s="203">
        <v>46080</v>
      </c>
      <c r="H57" s="204">
        <v>3</v>
      </c>
      <c r="I57" s="205">
        <f t="shared" si="0"/>
        <v>0.15789473684210525</v>
      </c>
      <c r="J57" s="206" t="s">
        <v>114</v>
      </c>
      <c r="K57" s="204"/>
    </row>
    <row r="58" spans="1:11" ht="32">
      <c r="A58" s="198" t="s">
        <v>1171</v>
      </c>
      <c r="B58" s="199" t="s">
        <v>16</v>
      </c>
      <c r="C58" s="199" t="s">
        <v>616</v>
      </c>
      <c r="D58" s="208" t="s">
        <v>131</v>
      </c>
      <c r="E58" s="201" t="s">
        <v>1216</v>
      </c>
      <c r="F58" s="202" t="str">
        <f>VLOOKUP(D58,[3]CSR!$D$4:$E$1159,2,FALSE)</f>
        <v>CSR_10400</v>
      </c>
      <c r="G58" s="203">
        <v>46080</v>
      </c>
      <c r="H58" s="204">
        <v>2</v>
      </c>
      <c r="I58" s="205">
        <f t="shared" si="0"/>
        <v>0.10526315789473684</v>
      </c>
      <c r="J58" s="199" t="s">
        <v>114</v>
      </c>
      <c r="K58" s="204"/>
    </row>
    <row r="59" spans="1:11" ht="32">
      <c r="A59" s="198" t="s">
        <v>915</v>
      </c>
      <c r="B59" s="199" t="s">
        <v>16</v>
      </c>
      <c r="C59" s="199" t="s">
        <v>616</v>
      </c>
      <c r="D59" s="200" t="s">
        <v>1172</v>
      </c>
      <c r="E59" s="201" t="s">
        <v>1207</v>
      </c>
      <c r="F59" s="202" t="str">
        <f>VLOOKUP(D59,[3]CSR!$D$4:$E$1159,2,FALSE)</f>
        <v>CSR_11409</v>
      </c>
      <c r="G59" s="203">
        <v>46087</v>
      </c>
      <c r="H59" s="204">
        <v>2</v>
      </c>
      <c r="I59" s="205">
        <f t="shared" si="0"/>
        <v>0.10526315789473684</v>
      </c>
      <c r="J59" s="206" t="s">
        <v>114</v>
      </c>
      <c r="K59" s="218"/>
    </row>
    <row r="60" spans="1:11" ht="32">
      <c r="A60" s="198" t="s">
        <v>915</v>
      </c>
      <c r="B60" s="199" t="s">
        <v>16</v>
      </c>
      <c r="C60" s="199" t="s">
        <v>616</v>
      </c>
      <c r="D60" s="200" t="s">
        <v>1172</v>
      </c>
      <c r="E60" s="210" t="s">
        <v>1208</v>
      </c>
      <c r="F60" s="202" t="str">
        <f>VLOOKUP(D60,[3]CSR!$D$4:$E$1159,2,FALSE)</f>
        <v>CSR_11409</v>
      </c>
      <c r="G60" s="203">
        <v>46087</v>
      </c>
      <c r="H60" s="208">
        <v>2</v>
      </c>
      <c r="I60" s="205">
        <f t="shared" si="0"/>
        <v>0.10526315789473684</v>
      </c>
      <c r="J60" s="206" t="s">
        <v>114</v>
      </c>
      <c r="K60" s="204"/>
    </row>
    <row r="61" spans="1:11" ht="32">
      <c r="A61" s="198" t="s">
        <v>915</v>
      </c>
      <c r="B61" s="199" t="s">
        <v>16</v>
      </c>
      <c r="C61" s="199" t="s">
        <v>616</v>
      </c>
      <c r="D61" s="200" t="s">
        <v>1172</v>
      </c>
      <c r="E61" s="201" t="s">
        <v>1217</v>
      </c>
      <c r="F61" s="202" t="str">
        <f>VLOOKUP(D61,[3]CSR!$D$4:$E$1159,2,FALSE)</f>
        <v>CSR_11409</v>
      </c>
      <c r="G61" s="203">
        <v>46094</v>
      </c>
      <c r="H61" s="204">
        <v>2</v>
      </c>
      <c r="I61" s="205">
        <f t="shared" si="0"/>
        <v>0.10526315789473684</v>
      </c>
      <c r="J61" s="206" t="s">
        <v>114</v>
      </c>
      <c r="K61" s="204"/>
    </row>
    <row r="62" spans="1:11" ht="32">
      <c r="A62" s="198" t="s">
        <v>915</v>
      </c>
      <c r="B62" s="199" t="s">
        <v>16</v>
      </c>
      <c r="C62" s="199" t="s">
        <v>616</v>
      </c>
      <c r="D62" s="200" t="s">
        <v>1172</v>
      </c>
      <c r="E62" s="210" t="s">
        <v>1209</v>
      </c>
      <c r="F62" s="202" t="str">
        <f>VLOOKUP(D62,[3]CSR!$D$4:$E$1159,2,FALSE)</f>
        <v>CSR_11409</v>
      </c>
      <c r="G62" s="203">
        <v>46094</v>
      </c>
      <c r="H62" s="204">
        <v>2</v>
      </c>
      <c r="I62" s="205">
        <f t="shared" si="0"/>
        <v>0.10526315789473684</v>
      </c>
      <c r="J62" s="206" t="s">
        <v>114</v>
      </c>
      <c r="K62" s="204"/>
    </row>
    <row r="63" spans="1:11" ht="32">
      <c r="A63" s="198" t="s">
        <v>915</v>
      </c>
      <c r="B63" s="199" t="s">
        <v>16</v>
      </c>
      <c r="C63" s="199" t="s">
        <v>616</v>
      </c>
      <c r="D63" s="200" t="s">
        <v>1172</v>
      </c>
      <c r="E63" s="201" t="s">
        <v>1211</v>
      </c>
      <c r="F63" s="202" t="str">
        <f>VLOOKUP(D63,[3]CSR!$D$4:$E$1159,2,FALSE)</f>
        <v>CSR_11409</v>
      </c>
      <c r="G63" s="203">
        <v>46094</v>
      </c>
      <c r="H63" s="204">
        <v>1</v>
      </c>
      <c r="I63" s="205">
        <f t="shared" si="0"/>
        <v>5.2631578947368418E-2</v>
      </c>
      <c r="J63" s="206" t="s">
        <v>114</v>
      </c>
      <c r="K63" s="204"/>
    </row>
    <row r="64" spans="1:11" ht="32">
      <c r="A64" s="198" t="s">
        <v>915</v>
      </c>
      <c r="B64" s="199" t="s">
        <v>16</v>
      </c>
      <c r="C64" s="199" t="s">
        <v>616</v>
      </c>
      <c r="D64" s="200" t="s">
        <v>1172</v>
      </c>
      <c r="E64" s="201" t="s">
        <v>1211</v>
      </c>
      <c r="F64" s="202" t="str">
        <f>VLOOKUP(D64,[3]CSR!$D$4:$E$1159,2,FALSE)</f>
        <v>CSR_11409</v>
      </c>
      <c r="G64" s="203">
        <v>46101</v>
      </c>
      <c r="H64" s="212">
        <v>1</v>
      </c>
      <c r="I64" s="205">
        <f t="shared" si="0"/>
        <v>5.2631578947368418E-2</v>
      </c>
      <c r="J64" s="211" t="s">
        <v>114</v>
      </c>
      <c r="K64" s="212"/>
    </row>
    <row r="65" spans="1:11" ht="32">
      <c r="A65" s="198" t="s">
        <v>915</v>
      </c>
      <c r="B65" s="199" t="s">
        <v>16</v>
      </c>
      <c r="C65" s="199" t="s">
        <v>616</v>
      </c>
      <c r="D65" s="200" t="s">
        <v>1172</v>
      </c>
      <c r="E65" s="226" t="s">
        <v>1212</v>
      </c>
      <c r="F65" s="202" t="str">
        <f>VLOOKUP(D65,[3]CSR!$D$4:$E$1159,2,FALSE)</f>
        <v>CSR_11409</v>
      </c>
      <c r="G65" s="203">
        <v>46101</v>
      </c>
      <c r="H65" s="212">
        <v>1</v>
      </c>
      <c r="I65" s="205">
        <f t="shared" si="0"/>
        <v>5.2631578947368418E-2</v>
      </c>
      <c r="J65" s="211" t="s">
        <v>114</v>
      </c>
      <c r="K65" s="212"/>
    </row>
    <row r="66" spans="1:11" ht="32">
      <c r="A66" s="198" t="s">
        <v>915</v>
      </c>
      <c r="B66" s="199" t="s">
        <v>16</v>
      </c>
      <c r="C66" s="199" t="s">
        <v>616</v>
      </c>
      <c r="D66" s="207" t="s">
        <v>18</v>
      </c>
      <c r="E66" s="210" t="s">
        <v>1218</v>
      </c>
      <c r="F66" s="202" t="str">
        <f>VLOOKUP(D66,[3]CSR!$D$4:$E$1159,2,FALSE)</f>
        <v>CSR_11300</v>
      </c>
      <c r="G66" s="203">
        <v>46101</v>
      </c>
      <c r="H66" s="204">
        <v>3</v>
      </c>
      <c r="I66" s="205">
        <f t="shared" ref="I66:I129" si="1">H66*10/190</f>
        <v>0.15789473684210525</v>
      </c>
      <c r="J66" s="206" t="s">
        <v>114</v>
      </c>
      <c r="K66" s="204"/>
    </row>
    <row r="67" spans="1:11" ht="32">
      <c r="A67" s="198" t="s">
        <v>1171</v>
      </c>
      <c r="B67" s="199" t="s">
        <v>16</v>
      </c>
      <c r="C67" s="199" t="s">
        <v>616</v>
      </c>
      <c r="D67" s="200" t="s">
        <v>1172</v>
      </c>
      <c r="E67" s="201" t="s">
        <v>1173</v>
      </c>
      <c r="F67" s="202" t="str">
        <f>VLOOKUP(D67,[3]CSR!$D$4:$E$1159,2,FALSE)</f>
        <v>CSR_11409</v>
      </c>
      <c r="G67" s="203">
        <v>46080</v>
      </c>
      <c r="H67" s="204">
        <v>4</v>
      </c>
      <c r="I67" s="205">
        <f t="shared" si="1"/>
        <v>0.21052631578947367</v>
      </c>
      <c r="J67" s="199" t="s">
        <v>125</v>
      </c>
      <c r="K67" s="204"/>
    </row>
    <row r="68" spans="1:11" ht="32">
      <c r="A68" s="198" t="s">
        <v>1171</v>
      </c>
      <c r="B68" s="199" t="s">
        <v>16</v>
      </c>
      <c r="C68" s="199" t="s">
        <v>616</v>
      </c>
      <c r="D68" s="200" t="s">
        <v>1172</v>
      </c>
      <c r="E68" s="201" t="s">
        <v>1192</v>
      </c>
      <c r="F68" s="202" t="str">
        <f>VLOOKUP(D68,[3]CSR!$D$4:$E$1159,2,FALSE)</f>
        <v>CSR_11409</v>
      </c>
      <c r="G68" s="203">
        <v>46080</v>
      </c>
      <c r="H68" s="208">
        <v>1</v>
      </c>
      <c r="I68" s="205">
        <f t="shared" si="1"/>
        <v>5.2631578947368418E-2</v>
      </c>
      <c r="J68" s="206" t="s">
        <v>125</v>
      </c>
      <c r="K68" s="218"/>
    </row>
    <row r="69" spans="1:11" ht="32">
      <c r="A69" s="198" t="s">
        <v>915</v>
      </c>
      <c r="B69" s="199" t="s">
        <v>16</v>
      </c>
      <c r="C69" s="199" t="s">
        <v>616</v>
      </c>
      <c r="D69" s="200" t="s">
        <v>1172</v>
      </c>
      <c r="E69" s="201" t="s">
        <v>1198</v>
      </c>
      <c r="F69" s="202" t="str">
        <f>VLOOKUP(D69,[3]CSR!$D$4:$E$1159,2,FALSE)</f>
        <v>CSR_11409</v>
      </c>
      <c r="G69" s="203">
        <v>46087</v>
      </c>
      <c r="H69" s="204">
        <v>2</v>
      </c>
      <c r="I69" s="205">
        <f t="shared" si="1"/>
        <v>0.10526315789473684</v>
      </c>
      <c r="J69" s="206" t="s">
        <v>125</v>
      </c>
      <c r="K69" s="204"/>
    </row>
    <row r="70" spans="1:11" ht="32">
      <c r="A70" s="198" t="s">
        <v>915</v>
      </c>
      <c r="B70" s="199" t="s">
        <v>16</v>
      </c>
      <c r="C70" s="199" t="s">
        <v>616</v>
      </c>
      <c r="D70" s="200" t="s">
        <v>18</v>
      </c>
      <c r="E70" s="201" t="s">
        <v>1219</v>
      </c>
      <c r="F70" s="202" t="str">
        <f>VLOOKUP(D70,[3]CSR!$D$4:$E$1159,2,FALSE)</f>
        <v>CSR_11300</v>
      </c>
      <c r="G70" s="203">
        <v>46087</v>
      </c>
      <c r="H70" s="204">
        <v>2</v>
      </c>
      <c r="I70" s="205">
        <f t="shared" si="1"/>
        <v>0.10526315789473684</v>
      </c>
      <c r="J70" s="206" t="s">
        <v>125</v>
      </c>
      <c r="K70" s="204"/>
    </row>
    <row r="71" spans="1:11" ht="32">
      <c r="A71" s="198" t="s">
        <v>915</v>
      </c>
      <c r="B71" s="199" t="s">
        <v>16</v>
      </c>
      <c r="C71" s="199" t="s">
        <v>616</v>
      </c>
      <c r="D71" s="200" t="s">
        <v>1172</v>
      </c>
      <c r="E71" s="201" t="s">
        <v>1217</v>
      </c>
      <c r="F71" s="202" t="str">
        <f>VLOOKUP(D71,[3]CSR!$D$4:$E$1159,2,FALSE)</f>
        <v>CSR_11409</v>
      </c>
      <c r="G71" s="203">
        <v>46094</v>
      </c>
      <c r="H71" s="204">
        <v>2</v>
      </c>
      <c r="I71" s="205">
        <f t="shared" si="1"/>
        <v>0.10526315789473684</v>
      </c>
      <c r="J71" s="206" t="s">
        <v>125</v>
      </c>
      <c r="K71" s="204"/>
    </row>
    <row r="72" spans="1:11" ht="32">
      <c r="A72" s="198" t="s">
        <v>915</v>
      </c>
      <c r="B72" s="199" t="s">
        <v>16</v>
      </c>
      <c r="C72" s="199" t="s">
        <v>616</v>
      </c>
      <c r="D72" s="200" t="s">
        <v>1177</v>
      </c>
      <c r="E72" s="210" t="s">
        <v>1220</v>
      </c>
      <c r="F72" s="202" t="str">
        <f>VLOOKUP(D72,[3]CSR!$D$4:$E$1159,2,FALSE)</f>
        <v>CSR_11312</v>
      </c>
      <c r="G72" s="203">
        <v>46094</v>
      </c>
      <c r="H72" s="208">
        <v>3</v>
      </c>
      <c r="I72" s="205">
        <f t="shared" si="1"/>
        <v>0.15789473684210525</v>
      </c>
      <c r="J72" s="206" t="s">
        <v>125</v>
      </c>
      <c r="K72" s="204"/>
    </row>
    <row r="73" spans="1:11" ht="32">
      <c r="A73" s="198" t="s">
        <v>915</v>
      </c>
      <c r="B73" s="199" t="s">
        <v>16</v>
      </c>
      <c r="C73" s="199" t="s">
        <v>616</v>
      </c>
      <c r="D73" s="200" t="s">
        <v>1172</v>
      </c>
      <c r="E73" s="201" t="s">
        <v>1211</v>
      </c>
      <c r="F73" s="202" t="str">
        <f>VLOOKUP(D73,[3]CSR!$D$4:$E$1159,2,FALSE)</f>
        <v>CSR_11409</v>
      </c>
      <c r="G73" s="203">
        <v>46101</v>
      </c>
      <c r="H73" s="212">
        <v>1</v>
      </c>
      <c r="I73" s="205">
        <f t="shared" si="1"/>
        <v>5.2631578947368418E-2</v>
      </c>
      <c r="J73" s="211" t="s">
        <v>125</v>
      </c>
      <c r="K73" s="212"/>
    </row>
    <row r="74" spans="1:11" ht="32">
      <c r="A74" s="198" t="s">
        <v>915</v>
      </c>
      <c r="B74" s="199" t="s">
        <v>16</v>
      </c>
      <c r="C74" s="199" t="s">
        <v>616</v>
      </c>
      <c r="D74" s="200" t="s">
        <v>1172</v>
      </c>
      <c r="E74" s="226" t="s">
        <v>1212</v>
      </c>
      <c r="F74" s="202" t="str">
        <f>VLOOKUP(D74,[3]CSR!$D$4:$E$1159,2,FALSE)</f>
        <v>CSR_11409</v>
      </c>
      <c r="G74" s="203">
        <v>46101</v>
      </c>
      <c r="H74" s="212">
        <v>1</v>
      </c>
      <c r="I74" s="205">
        <f t="shared" si="1"/>
        <v>5.2631578947368418E-2</v>
      </c>
      <c r="J74" s="211" t="s">
        <v>125</v>
      </c>
      <c r="K74" s="212"/>
    </row>
    <row r="75" spans="1:11" ht="32">
      <c r="A75" s="198" t="s">
        <v>915</v>
      </c>
      <c r="B75" s="199" t="s">
        <v>16</v>
      </c>
      <c r="C75" s="199" t="s">
        <v>616</v>
      </c>
      <c r="D75" s="200" t="s">
        <v>1202</v>
      </c>
      <c r="E75" s="201" t="s">
        <v>1221</v>
      </c>
      <c r="F75" s="202" t="str">
        <f>VLOOKUP(D75,[3]CSR!$D$4:$E$1159,2,FALSE)</f>
        <v>CSR_11309</v>
      </c>
      <c r="G75" s="203">
        <v>46101</v>
      </c>
      <c r="H75" s="208">
        <v>2</v>
      </c>
      <c r="I75" s="205">
        <f t="shared" si="1"/>
        <v>0.10526315789473684</v>
      </c>
      <c r="J75" s="206" t="s">
        <v>125</v>
      </c>
      <c r="K75" s="204"/>
    </row>
    <row r="76" spans="1:11" ht="32">
      <c r="A76" s="198" t="s">
        <v>915</v>
      </c>
      <c r="B76" s="199" t="s">
        <v>16</v>
      </c>
      <c r="C76" s="199" t="s">
        <v>616</v>
      </c>
      <c r="D76" s="200" t="s">
        <v>262</v>
      </c>
      <c r="E76" s="210" t="s">
        <v>1222</v>
      </c>
      <c r="F76" s="202" t="str">
        <f>VLOOKUP(D76,[3]CSR!$D$4:$E$1159,2,FALSE)</f>
        <v>CSR_11100</v>
      </c>
      <c r="G76" s="203">
        <v>46101</v>
      </c>
      <c r="H76" s="204">
        <v>1</v>
      </c>
      <c r="I76" s="205">
        <f t="shared" si="1"/>
        <v>5.2631578947368418E-2</v>
      </c>
      <c r="J76" s="206" t="s">
        <v>125</v>
      </c>
      <c r="K76" s="204"/>
    </row>
    <row r="77" spans="1:11" ht="32">
      <c r="A77" s="198" t="s">
        <v>1171</v>
      </c>
      <c r="B77" s="198" t="s">
        <v>1167</v>
      </c>
      <c r="C77" s="199" t="s">
        <v>71</v>
      </c>
      <c r="D77" s="200" t="s">
        <v>72</v>
      </c>
      <c r="E77" s="201" t="s">
        <v>1223</v>
      </c>
      <c r="F77" s="202" t="str">
        <f>VLOOKUP(D77,[3]CSR!$D$4:$E$1159,2,FALSE)</f>
        <v>CSR_20400</v>
      </c>
      <c r="G77" s="203">
        <v>46080</v>
      </c>
      <c r="H77" s="204">
        <v>3</v>
      </c>
      <c r="I77" s="205">
        <f t="shared" si="1"/>
        <v>0.15789473684210525</v>
      </c>
      <c r="J77" s="206" t="s">
        <v>134</v>
      </c>
      <c r="K77" s="204"/>
    </row>
    <row r="78" spans="1:11" ht="32">
      <c r="A78" s="198" t="s">
        <v>1171</v>
      </c>
      <c r="B78" s="199" t="s">
        <v>16</v>
      </c>
      <c r="C78" s="199" t="s">
        <v>616</v>
      </c>
      <c r="D78" s="200" t="s">
        <v>1172</v>
      </c>
      <c r="E78" s="201" t="s">
        <v>1184</v>
      </c>
      <c r="F78" s="202" t="str">
        <f>VLOOKUP(D78,[3]CSR!$D$4:$E$1159,2,FALSE)</f>
        <v>CSR_11409</v>
      </c>
      <c r="G78" s="203">
        <v>46080</v>
      </c>
      <c r="H78" s="208">
        <v>2</v>
      </c>
      <c r="I78" s="205">
        <f t="shared" si="1"/>
        <v>0.10526315789473684</v>
      </c>
      <c r="J78" s="206" t="s">
        <v>134</v>
      </c>
      <c r="K78" s="204"/>
    </row>
    <row r="79" spans="1:11" ht="32">
      <c r="A79" s="198" t="s">
        <v>915</v>
      </c>
      <c r="B79" s="199" t="s">
        <v>16</v>
      </c>
      <c r="C79" s="199" t="s">
        <v>616</v>
      </c>
      <c r="D79" s="200" t="s">
        <v>1172</v>
      </c>
      <c r="E79" s="201" t="s">
        <v>1193</v>
      </c>
      <c r="F79" s="202" t="str">
        <f>VLOOKUP(D79,[3]CSR!$D$4:$E$1159,2,FALSE)</f>
        <v>CSR_11409</v>
      </c>
      <c r="G79" s="203">
        <v>46087</v>
      </c>
      <c r="H79" s="208">
        <v>2</v>
      </c>
      <c r="I79" s="205">
        <f t="shared" si="1"/>
        <v>0.10526315789473684</v>
      </c>
      <c r="J79" s="206" t="s">
        <v>134</v>
      </c>
      <c r="K79" s="204"/>
    </row>
    <row r="80" spans="1:11" ht="32">
      <c r="A80" s="198" t="s">
        <v>915</v>
      </c>
      <c r="B80" s="199" t="s">
        <v>16</v>
      </c>
      <c r="C80" s="199" t="s">
        <v>616</v>
      </c>
      <c r="D80" s="200" t="s">
        <v>18</v>
      </c>
      <c r="E80" s="201" t="s">
        <v>1219</v>
      </c>
      <c r="F80" s="202" t="str">
        <f>VLOOKUP(D80,[3]CSR!$D$4:$E$1159,2,FALSE)</f>
        <v>CSR_11300</v>
      </c>
      <c r="G80" s="203">
        <v>46087</v>
      </c>
      <c r="H80" s="204">
        <v>2</v>
      </c>
      <c r="I80" s="205">
        <f t="shared" si="1"/>
        <v>0.10526315789473684</v>
      </c>
      <c r="J80" s="206" t="s">
        <v>134</v>
      </c>
      <c r="K80" s="204"/>
    </row>
    <row r="81" spans="1:11" ht="32">
      <c r="A81" s="198" t="s">
        <v>915</v>
      </c>
      <c r="B81" s="199" t="s">
        <v>16</v>
      </c>
      <c r="C81" s="199" t="s">
        <v>616</v>
      </c>
      <c r="D81" s="200" t="s">
        <v>1172</v>
      </c>
      <c r="E81" s="201" t="s">
        <v>1217</v>
      </c>
      <c r="F81" s="202" t="str">
        <f>VLOOKUP(D81,[3]CSR!$D$4:$E$1159,2,FALSE)</f>
        <v>CSR_11409</v>
      </c>
      <c r="G81" s="203">
        <v>46094</v>
      </c>
      <c r="H81" s="204">
        <v>2</v>
      </c>
      <c r="I81" s="205">
        <f t="shared" si="1"/>
        <v>0.10526315789473684</v>
      </c>
      <c r="J81" s="206" t="s">
        <v>134</v>
      </c>
      <c r="K81" s="204"/>
    </row>
    <row r="82" spans="1:11" ht="32">
      <c r="A82" s="198" t="s">
        <v>915</v>
      </c>
      <c r="B82" s="199" t="s">
        <v>16</v>
      </c>
      <c r="C82" s="199" t="s">
        <v>616</v>
      </c>
      <c r="D82" s="200" t="s">
        <v>131</v>
      </c>
      <c r="E82" s="201" t="s">
        <v>1224</v>
      </c>
      <c r="F82" s="202" t="str">
        <f>VLOOKUP(D82,[3]CSR!$D$4:$E$1159,2,FALSE)</f>
        <v>CSR_10400</v>
      </c>
      <c r="G82" s="203">
        <v>46094</v>
      </c>
      <c r="H82" s="208">
        <v>2</v>
      </c>
      <c r="I82" s="205">
        <f t="shared" si="1"/>
        <v>0.10526315789473684</v>
      </c>
      <c r="J82" s="206" t="s">
        <v>134</v>
      </c>
      <c r="K82" s="204"/>
    </row>
    <row r="83" spans="1:11" ht="32">
      <c r="A83" s="198" t="s">
        <v>915</v>
      </c>
      <c r="B83" s="199" t="s">
        <v>16</v>
      </c>
      <c r="C83" s="199" t="s">
        <v>616</v>
      </c>
      <c r="D83" s="200" t="s">
        <v>1172</v>
      </c>
      <c r="E83" s="201" t="s">
        <v>1211</v>
      </c>
      <c r="F83" s="202" t="str">
        <f>VLOOKUP(D83,[3]CSR!$D$4:$E$1159,2,FALSE)</f>
        <v>CSR_11409</v>
      </c>
      <c r="G83" s="203">
        <v>46094</v>
      </c>
      <c r="H83" s="204">
        <v>1</v>
      </c>
      <c r="I83" s="205">
        <f t="shared" si="1"/>
        <v>5.2631578947368418E-2</v>
      </c>
      <c r="J83" s="206" t="s">
        <v>134</v>
      </c>
      <c r="K83" s="204"/>
    </row>
    <row r="84" spans="1:11" ht="32">
      <c r="A84" s="198" t="s">
        <v>915</v>
      </c>
      <c r="B84" s="199" t="s">
        <v>16</v>
      </c>
      <c r="C84" s="199" t="s">
        <v>616</v>
      </c>
      <c r="D84" s="200" t="s">
        <v>1172</v>
      </c>
      <c r="E84" s="201" t="s">
        <v>1211</v>
      </c>
      <c r="F84" s="202" t="str">
        <f>VLOOKUP(D84,[3]CSR!$D$4:$E$1159,2,FALSE)</f>
        <v>CSR_11409</v>
      </c>
      <c r="G84" s="203">
        <v>46101</v>
      </c>
      <c r="H84" s="212">
        <v>1</v>
      </c>
      <c r="I84" s="205">
        <f t="shared" si="1"/>
        <v>5.2631578947368418E-2</v>
      </c>
      <c r="J84" s="211" t="s">
        <v>134</v>
      </c>
      <c r="K84" s="212"/>
    </row>
    <row r="85" spans="1:11" ht="32">
      <c r="A85" s="198" t="s">
        <v>915</v>
      </c>
      <c r="B85" s="199" t="s">
        <v>16</v>
      </c>
      <c r="C85" s="199" t="s">
        <v>616</v>
      </c>
      <c r="D85" s="207" t="s">
        <v>18</v>
      </c>
      <c r="E85" s="210" t="s">
        <v>1225</v>
      </c>
      <c r="F85" s="202" t="str">
        <f>VLOOKUP(D85,[3]CSR!$D$4:$E$1159,2,FALSE)</f>
        <v>CSR_11300</v>
      </c>
      <c r="G85" s="203">
        <v>46101</v>
      </c>
      <c r="H85" s="204">
        <v>2</v>
      </c>
      <c r="I85" s="205">
        <f t="shared" si="1"/>
        <v>0.10526315789473684</v>
      </c>
      <c r="J85" s="206" t="s">
        <v>134</v>
      </c>
      <c r="K85" s="204"/>
    </row>
    <row r="86" spans="1:11" ht="32">
      <c r="A86" s="198" t="s">
        <v>915</v>
      </c>
      <c r="B86" s="199" t="s">
        <v>16</v>
      </c>
      <c r="C86" s="199" t="s">
        <v>616</v>
      </c>
      <c r="D86" s="200" t="s">
        <v>1189</v>
      </c>
      <c r="E86" s="201" t="s">
        <v>1226</v>
      </c>
      <c r="F86" s="202" t="str">
        <f>VLOOKUP(D86,[3]CSR!$D$4:$E$1159,2,FALSE)</f>
        <v>CSR_11310</v>
      </c>
      <c r="G86" s="203">
        <v>46101</v>
      </c>
      <c r="H86" s="208">
        <v>2</v>
      </c>
      <c r="I86" s="205">
        <f t="shared" si="1"/>
        <v>0.10526315789473684</v>
      </c>
      <c r="J86" s="206" t="s">
        <v>134</v>
      </c>
      <c r="K86" s="204"/>
    </row>
    <row r="87" spans="1:11" ht="32">
      <c r="A87" s="198" t="s">
        <v>1171</v>
      </c>
      <c r="B87" s="199" t="s">
        <v>16</v>
      </c>
      <c r="C87" s="199" t="s">
        <v>616</v>
      </c>
      <c r="D87" s="200" t="s">
        <v>1172</v>
      </c>
      <c r="E87" s="201" t="s">
        <v>1227</v>
      </c>
      <c r="F87" s="202" t="str">
        <f>VLOOKUP(D87,[3]CSR!$D$4:$E$1159,2,FALSE)</f>
        <v>CSR_11409</v>
      </c>
      <c r="G87" s="203">
        <v>46079</v>
      </c>
      <c r="H87" s="208">
        <v>3</v>
      </c>
      <c r="I87" s="205">
        <f t="shared" si="1"/>
        <v>0.15789473684210525</v>
      </c>
      <c r="J87" s="206" t="s">
        <v>827</v>
      </c>
      <c r="K87" s="204"/>
    </row>
    <row r="88" spans="1:11" ht="32">
      <c r="A88" s="198" t="s">
        <v>1171</v>
      </c>
      <c r="B88" s="199" t="s">
        <v>16</v>
      </c>
      <c r="C88" s="199" t="s">
        <v>616</v>
      </c>
      <c r="D88" s="200" t="s">
        <v>1172</v>
      </c>
      <c r="E88" s="201" t="s">
        <v>1227</v>
      </c>
      <c r="F88" s="202" t="str">
        <f>VLOOKUP(D88,[3]CSR!$D$4:$E$1159,2,FALSE)</f>
        <v>CSR_11409</v>
      </c>
      <c r="G88" s="203">
        <v>46080</v>
      </c>
      <c r="H88" s="208">
        <v>1</v>
      </c>
      <c r="I88" s="205">
        <f t="shared" si="1"/>
        <v>5.2631578947368418E-2</v>
      </c>
      <c r="J88" s="206" t="s">
        <v>827</v>
      </c>
      <c r="K88" s="204"/>
    </row>
    <row r="89" spans="1:11" ht="48">
      <c r="A89" s="198" t="s">
        <v>915</v>
      </c>
      <c r="B89" s="199" t="s">
        <v>16</v>
      </c>
      <c r="C89" s="199" t="s">
        <v>616</v>
      </c>
      <c r="D89" s="200" t="s">
        <v>1172</v>
      </c>
      <c r="E89" s="201" t="s">
        <v>1228</v>
      </c>
      <c r="F89" s="202" t="str">
        <f>VLOOKUP(D89,[3]CSR!$D$4:$E$1159,2,FALSE)</f>
        <v>CSR_11409</v>
      </c>
      <c r="G89" s="203" t="s">
        <v>1229</v>
      </c>
      <c r="H89" s="208">
        <v>3</v>
      </c>
      <c r="I89" s="205">
        <f t="shared" si="1"/>
        <v>0.15789473684210525</v>
      </c>
      <c r="J89" s="206" t="s">
        <v>827</v>
      </c>
      <c r="K89" s="204"/>
    </row>
    <row r="90" spans="1:11" ht="48">
      <c r="A90" s="198" t="s">
        <v>915</v>
      </c>
      <c r="B90" s="199" t="s">
        <v>16</v>
      </c>
      <c r="C90" s="199" t="s">
        <v>616</v>
      </c>
      <c r="D90" s="200" t="s">
        <v>1172</v>
      </c>
      <c r="E90" s="201" t="s">
        <v>1230</v>
      </c>
      <c r="F90" s="202" t="str">
        <f>VLOOKUP(D90,[3]CSR!$D$4:$E$1159,2,FALSE)</f>
        <v>CSR_11409</v>
      </c>
      <c r="G90" s="203" t="s">
        <v>1231</v>
      </c>
      <c r="H90" s="208">
        <v>1</v>
      </c>
      <c r="I90" s="205">
        <f t="shared" si="1"/>
        <v>5.2631578947368418E-2</v>
      </c>
      <c r="J90" s="206" t="s">
        <v>827</v>
      </c>
      <c r="K90" s="204"/>
    </row>
    <row r="91" spans="1:11" ht="48">
      <c r="A91" s="198" t="s">
        <v>915</v>
      </c>
      <c r="B91" s="199" t="s">
        <v>16</v>
      </c>
      <c r="C91" s="199" t="s">
        <v>616</v>
      </c>
      <c r="D91" s="207" t="s">
        <v>715</v>
      </c>
      <c r="E91" s="201" t="s">
        <v>1232</v>
      </c>
      <c r="F91" s="202" t="str">
        <f>VLOOKUP(D91,[3]CSR!$D$4:$E$1159,2,FALSE)</f>
        <v>CSR_11411</v>
      </c>
      <c r="G91" s="203" t="s">
        <v>1233</v>
      </c>
      <c r="H91" s="208">
        <v>1</v>
      </c>
      <c r="I91" s="205">
        <f t="shared" si="1"/>
        <v>5.2631578947368418E-2</v>
      </c>
      <c r="J91" s="206" t="s">
        <v>827</v>
      </c>
      <c r="K91" s="204"/>
    </row>
    <row r="92" spans="1:11" ht="32">
      <c r="A92" s="198" t="s">
        <v>915</v>
      </c>
      <c r="B92" s="199" t="s">
        <v>16</v>
      </c>
      <c r="C92" s="199" t="s">
        <v>616</v>
      </c>
      <c r="D92" s="200" t="s">
        <v>710</v>
      </c>
      <c r="E92" s="201" t="s">
        <v>1234</v>
      </c>
      <c r="F92" s="202" t="str">
        <f>VLOOKUP(D92,[3]CSR!$D$4:$E$1159,2,FALSE)</f>
        <v>CSR_11409</v>
      </c>
      <c r="G92" s="203" t="s">
        <v>1235</v>
      </c>
      <c r="H92" s="208">
        <v>2</v>
      </c>
      <c r="I92" s="205">
        <f t="shared" si="1"/>
        <v>0.10526315789473684</v>
      </c>
      <c r="J92" s="206" t="s">
        <v>827</v>
      </c>
      <c r="K92" s="204"/>
    </row>
    <row r="93" spans="1:11" ht="32">
      <c r="A93" s="198" t="s">
        <v>1051</v>
      </c>
      <c r="B93" s="199" t="s">
        <v>16</v>
      </c>
      <c r="C93" s="199" t="s">
        <v>17</v>
      </c>
      <c r="D93" s="208" t="s">
        <v>1172</v>
      </c>
      <c r="E93" s="201" t="s">
        <v>1236</v>
      </c>
      <c r="F93" s="202" t="s">
        <v>1237</v>
      </c>
      <c r="G93" s="203" t="s">
        <v>1238</v>
      </c>
      <c r="H93" s="204">
        <v>2</v>
      </c>
      <c r="I93" s="205">
        <f t="shared" si="1"/>
        <v>0.10526315789473684</v>
      </c>
      <c r="J93" s="206" t="s">
        <v>142</v>
      </c>
      <c r="K93" s="204"/>
    </row>
    <row r="94" spans="1:11" ht="32">
      <c r="A94" s="198" t="s">
        <v>915</v>
      </c>
      <c r="B94" s="199" t="s">
        <v>16</v>
      </c>
      <c r="C94" s="199" t="s">
        <v>616</v>
      </c>
      <c r="D94" s="207" t="s">
        <v>18</v>
      </c>
      <c r="E94" s="210" t="s">
        <v>1239</v>
      </c>
      <c r="F94" s="202" t="str">
        <f>VLOOKUP(D94,[3]CSR!$D$4:$E$1159,2,FALSE)</f>
        <v>CSR_11300</v>
      </c>
      <c r="G94" s="203" t="s">
        <v>1240</v>
      </c>
      <c r="H94" s="204">
        <v>1</v>
      </c>
      <c r="I94" s="205">
        <f t="shared" si="1"/>
        <v>5.2631578947368418E-2</v>
      </c>
      <c r="J94" s="206" t="s">
        <v>827</v>
      </c>
      <c r="K94" s="204"/>
    </row>
    <row r="95" spans="1:11" ht="32">
      <c r="A95" s="198" t="s">
        <v>1051</v>
      </c>
      <c r="B95" s="199" t="s">
        <v>16</v>
      </c>
      <c r="C95" s="199" t="s">
        <v>17</v>
      </c>
      <c r="D95" s="208" t="s">
        <v>18</v>
      </c>
      <c r="E95" s="210" t="s">
        <v>1241</v>
      </c>
      <c r="F95" s="202" t="s">
        <v>20</v>
      </c>
      <c r="G95" s="203" t="s">
        <v>1242</v>
      </c>
      <c r="H95" s="204">
        <v>2</v>
      </c>
      <c r="I95" s="205">
        <f t="shared" si="1"/>
        <v>0.10526315789473684</v>
      </c>
      <c r="J95" s="206" t="s">
        <v>142</v>
      </c>
      <c r="K95" s="208"/>
    </row>
    <row r="96" spans="1:11" ht="32">
      <c r="A96" s="198" t="s">
        <v>915</v>
      </c>
      <c r="B96" s="199" t="s">
        <v>16</v>
      </c>
      <c r="C96" s="199" t="s">
        <v>616</v>
      </c>
      <c r="D96" s="200" t="s">
        <v>1172</v>
      </c>
      <c r="E96" s="201" t="s">
        <v>1227</v>
      </c>
      <c r="F96" s="202" t="str">
        <f>VLOOKUP(D96,[3]CSR!$D$4:$E$1159,2,FALSE)</f>
        <v>CSR_11409</v>
      </c>
      <c r="G96" s="203" t="s">
        <v>1243</v>
      </c>
      <c r="H96" s="208">
        <v>3</v>
      </c>
      <c r="I96" s="205">
        <f t="shared" si="1"/>
        <v>0.15789473684210525</v>
      </c>
      <c r="J96" s="206" t="s">
        <v>827</v>
      </c>
      <c r="K96" s="204"/>
    </row>
    <row r="97" spans="1:12" ht="32">
      <c r="A97" s="198" t="s">
        <v>1244</v>
      </c>
      <c r="B97" s="199" t="s">
        <v>16</v>
      </c>
      <c r="C97" s="199" t="s">
        <v>17</v>
      </c>
      <c r="D97" s="200" t="s">
        <v>1172</v>
      </c>
      <c r="E97" s="201" t="s">
        <v>1245</v>
      </c>
      <c r="F97" s="202" t="s">
        <v>1237</v>
      </c>
      <c r="G97" s="203" t="s">
        <v>1246</v>
      </c>
      <c r="H97" s="208">
        <v>4</v>
      </c>
      <c r="I97" s="205">
        <f t="shared" si="1"/>
        <v>0.21052631578947367</v>
      </c>
      <c r="J97" s="206" t="s">
        <v>154</v>
      </c>
      <c r="K97" s="204"/>
    </row>
    <row r="98" spans="1:12" ht="32">
      <c r="A98" s="198" t="s">
        <v>1244</v>
      </c>
      <c r="B98" s="199" t="s">
        <v>16</v>
      </c>
      <c r="C98" s="199" t="s">
        <v>17</v>
      </c>
      <c r="D98" s="208" t="s">
        <v>1172</v>
      </c>
      <c r="E98" s="210" t="s">
        <v>1245</v>
      </c>
      <c r="F98" s="202" t="s">
        <v>1237</v>
      </c>
      <c r="G98" s="203" t="s">
        <v>1247</v>
      </c>
      <c r="H98" s="204">
        <v>2</v>
      </c>
      <c r="I98" s="205">
        <f t="shared" si="1"/>
        <v>0.10526315789473684</v>
      </c>
      <c r="J98" s="217" t="s">
        <v>154</v>
      </c>
      <c r="K98" s="218"/>
    </row>
    <row r="99" spans="1:12" ht="48">
      <c r="A99" s="198" t="s">
        <v>1051</v>
      </c>
      <c r="B99" s="199" t="s">
        <v>16</v>
      </c>
      <c r="C99" s="199" t="s">
        <v>17</v>
      </c>
      <c r="D99" s="200" t="s">
        <v>1172</v>
      </c>
      <c r="E99" s="201" t="s">
        <v>1248</v>
      </c>
      <c r="F99" s="202" t="s">
        <v>1237</v>
      </c>
      <c r="G99" s="203" t="s">
        <v>1249</v>
      </c>
      <c r="H99" s="208">
        <v>4</v>
      </c>
      <c r="I99" s="205">
        <f t="shared" si="1"/>
        <v>0.21052631578947367</v>
      </c>
      <c r="J99" s="217" t="s">
        <v>154</v>
      </c>
      <c r="K99" s="204"/>
    </row>
    <row r="100" spans="1:12" ht="32">
      <c r="A100" s="198" t="s">
        <v>1051</v>
      </c>
      <c r="B100" s="199" t="s">
        <v>16</v>
      </c>
      <c r="C100" s="199" t="s">
        <v>17</v>
      </c>
      <c r="D100" s="208" t="s">
        <v>1172</v>
      </c>
      <c r="E100" s="201" t="s">
        <v>1250</v>
      </c>
      <c r="F100" s="202" t="s">
        <v>1237</v>
      </c>
      <c r="G100" s="203" t="s">
        <v>1251</v>
      </c>
      <c r="H100" s="204">
        <v>2</v>
      </c>
      <c r="I100" s="205">
        <f t="shared" si="1"/>
        <v>0.10526315789473684</v>
      </c>
      <c r="J100" s="206" t="s">
        <v>154</v>
      </c>
      <c r="K100" s="204"/>
    </row>
    <row r="101" spans="1:12" ht="48">
      <c r="A101" s="198" t="s">
        <v>1051</v>
      </c>
      <c r="B101" s="199" t="s">
        <v>16</v>
      </c>
      <c r="C101" s="199" t="s">
        <v>17</v>
      </c>
      <c r="D101" s="208" t="s">
        <v>1252</v>
      </c>
      <c r="E101" s="201" t="s">
        <v>1253</v>
      </c>
      <c r="F101" s="202" t="s">
        <v>1254</v>
      </c>
      <c r="G101" s="203" t="s">
        <v>1255</v>
      </c>
      <c r="H101" s="204">
        <v>1</v>
      </c>
      <c r="I101" s="205">
        <f t="shared" si="1"/>
        <v>5.2631578947368418E-2</v>
      </c>
      <c r="J101" s="206" t="s">
        <v>839</v>
      </c>
      <c r="K101" s="204"/>
    </row>
    <row r="102" spans="1:12" ht="32">
      <c r="A102" s="198" t="s">
        <v>1051</v>
      </c>
      <c r="B102" s="198" t="s">
        <v>16</v>
      </c>
      <c r="C102" s="198" t="s">
        <v>17</v>
      </c>
      <c r="D102" s="200" t="s">
        <v>1172</v>
      </c>
      <c r="E102" s="218" t="s">
        <v>1245</v>
      </c>
      <c r="F102" s="202" t="s">
        <v>1237</v>
      </c>
      <c r="G102" s="203" t="s">
        <v>1256</v>
      </c>
      <c r="H102" s="204">
        <v>2</v>
      </c>
      <c r="I102" s="205">
        <f t="shared" si="1"/>
        <v>0.10526315789473684</v>
      </c>
      <c r="J102" s="217" t="s">
        <v>154</v>
      </c>
      <c r="K102" s="204"/>
    </row>
    <row r="103" spans="1:12" ht="48">
      <c r="A103" s="198" t="s">
        <v>1051</v>
      </c>
      <c r="B103" s="199" t="s">
        <v>16</v>
      </c>
      <c r="C103" s="199" t="s">
        <v>17</v>
      </c>
      <c r="D103" s="200" t="s">
        <v>1172</v>
      </c>
      <c r="E103" s="201" t="s">
        <v>1248</v>
      </c>
      <c r="F103" s="202" t="s">
        <v>1237</v>
      </c>
      <c r="G103" s="203" t="s">
        <v>1257</v>
      </c>
      <c r="H103" s="208">
        <v>4</v>
      </c>
      <c r="I103" s="205">
        <f t="shared" si="1"/>
        <v>0.21052631578947367</v>
      </c>
      <c r="J103" s="206" t="s">
        <v>154</v>
      </c>
      <c r="K103" s="229"/>
    </row>
    <row r="104" spans="1:12" ht="32">
      <c r="A104" s="198" t="s">
        <v>1171</v>
      </c>
      <c r="B104" s="198" t="s">
        <v>31</v>
      </c>
      <c r="C104" s="198" t="s">
        <v>32</v>
      </c>
      <c r="D104" s="200" t="s">
        <v>157</v>
      </c>
      <c r="E104" s="210" t="s">
        <v>842</v>
      </c>
      <c r="F104" s="202" t="str">
        <f>VLOOKUP(D104,[3]CSR!$D$4:$E$1159,2,FALSE)</f>
        <v>CSR_30600</v>
      </c>
      <c r="G104" s="203">
        <v>46080</v>
      </c>
      <c r="H104" s="204">
        <v>5</v>
      </c>
      <c r="I104" s="205">
        <f t="shared" si="1"/>
        <v>0.26315789473684209</v>
      </c>
      <c r="J104" s="206" t="s">
        <v>160</v>
      </c>
      <c r="K104" s="204"/>
    </row>
    <row r="105" spans="1:12" ht="32">
      <c r="A105" s="198" t="s">
        <v>915</v>
      </c>
      <c r="B105" s="198" t="s">
        <v>31</v>
      </c>
      <c r="C105" s="198" t="s">
        <v>32</v>
      </c>
      <c r="D105" s="200" t="s">
        <v>157</v>
      </c>
      <c r="E105" s="210" t="s">
        <v>842</v>
      </c>
      <c r="F105" s="202" t="str">
        <f>VLOOKUP(D105,[3]CSR!$D$4:$E$1159,2,FALSE)</f>
        <v>CSR_30600</v>
      </c>
      <c r="G105" s="203">
        <v>46087</v>
      </c>
      <c r="H105" s="204">
        <v>5</v>
      </c>
      <c r="I105" s="205">
        <f t="shared" si="1"/>
        <v>0.26315789473684209</v>
      </c>
      <c r="J105" s="206" t="s">
        <v>160</v>
      </c>
      <c r="K105" s="204"/>
    </row>
    <row r="106" spans="1:12" ht="32">
      <c r="A106" s="198" t="s">
        <v>915</v>
      </c>
      <c r="B106" s="198" t="s">
        <v>31</v>
      </c>
      <c r="C106" s="198" t="s">
        <v>32</v>
      </c>
      <c r="D106" s="200" t="s">
        <v>157</v>
      </c>
      <c r="E106" s="210" t="s">
        <v>842</v>
      </c>
      <c r="F106" s="202" t="str">
        <f>VLOOKUP(D106,[3]CSR!$D$4:$E$1159,2,FALSE)</f>
        <v>CSR_30600</v>
      </c>
      <c r="G106" s="203">
        <v>46094</v>
      </c>
      <c r="H106" s="204">
        <v>5</v>
      </c>
      <c r="I106" s="205">
        <f t="shared" si="1"/>
        <v>0.26315789473684209</v>
      </c>
      <c r="J106" s="206" t="s">
        <v>160</v>
      </c>
      <c r="K106" s="204"/>
    </row>
    <row r="107" spans="1:12" ht="32">
      <c r="A107" s="198" t="s">
        <v>915</v>
      </c>
      <c r="B107" s="198" t="s">
        <v>31</v>
      </c>
      <c r="C107" s="198" t="s">
        <v>32</v>
      </c>
      <c r="D107" s="200" t="s">
        <v>157</v>
      </c>
      <c r="E107" s="210" t="s">
        <v>842</v>
      </c>
      <c r="F107" s="202" t="str">
        <f>VLOOKUP(D107,[3]CSR!$D$4:$E$1159,2,FALSE)</f>
        <v>CSR_30600</v>
      </c>
      <c r="G107" s="203">
        <v>46101</v>
      </c>
      <c r="H107" s="204">
        <v>4</v>
      </c>
      <c r="I107" s="205">
        <f t="shared" si="1"/>
        <v>0.21052631578947367</v>
      </c>
      <c r="J107" s="206" t="s">
        <v>160</v>
      </c>
      <c r="K107" s="204"/>
    </row>
    <row r="108" spans="1:12" ht="32">
      <c r="A108" s="198" t="s">
        <v>915</v>
      </c>
      <c r="B108" s="198" t="s">
        <v>31</v>
      </c>
      <c r="C108" s="198" t="s">
        <v>32</v>
      </c>
      <c r="D108" s="200" t="s">
        <v>157</v>
      </c>
      <c r="E108" s="210" t="s">
        <v>842</v>
      </c>
      <c r="F108" s="202" t="s">
        <v>159</v>
      </c>
      <c r="G108" s="203">
        <v>46080</v>
      </c>
      <c r="H108" s="204">
        <v>5</v>
      </c>
      <c r="I108" s="205">
        <f t="shared" si="1"/>
        <v>0.26315789473684209</v>
      </c>
      <c r="J108" s="206" t="s">
        <v>843</v>
      </c>
      <c r="K108" s="204"/>
      <c r="L108" s="236"/>
    </row>
    <row r="109" spans="1:12" ht="32">
      <c r="A109" s="198" t="s">
        <v>915</v>
      </c>
      <c r="B109" s="198" t="s">
        <v>31</v>
      </c>
      <c r="C109" s="198" t="s">
        <v>32</v>
      </c>
      <c r="D109" s="200" t="s">
        <v>157</v>
      </c>
      <c r="E109" s="210" t="s">
        <v>842</v>
      </c>
      <c r="F109" s="202" t="s">
        <v>159</v>
      </c>
      <c r="G109" s="203">
        <v>46087</v>
      </c>
      <c r="H109" s="204">
        <v>4</v>
      </c>
      <c r="I109" s="205">
        <f t="shared" si="1"/>
        <v>0.21052631578947367</v>
      </c>
      <c r="J109" s="206" t="s">
        <v>843</v>
      </c>
      <c r="K109" s="204"/>
    </row>
    <row r="110" spans="1:12" ht="32">
      <c r="A110" s="198" t="s">
        <v>915</v>
      </c>
      <c r="B110" s="198" t="s">
        <v>31</v>
      </c>
      <c r="C110" s="198" t="s">
        <v>32</v>
      </c>
      <c r="D110" s="200" t="s">
        <v>157</v>
      </c>
      <c r="E110" s="210" t="s">
        <v>842</v>
      </c>
      <c r="F110" s="202" t="s">
        <v>159</v>
      </c>
      <c r="G110" s="203">
        <v>46094</v>
      </c>
      <c r="H110" s="204">
        <v>5</v>
      </c>
      <c r="I110" s="205">
        <f t="shared" si="1"/>
        <v>0.26315789473684209</v>
      </c>
      <c r="J110" s="206" t="s">
        <v>843</v>
      </c>
      <c r="K110" s="204"/>
    </row>
    <row r="111" spans="1:12" ht="32">
      <c r="A111" s="198" t="s">
        <v>915</v>
      </c>
      <c r="B111" s="198" t="s">
        <v>31</v>
      </c>
      <c r="C111" s="198" t="s">
        <v>32</v>
      </c>
      <c r="D111" s="200" t="s">
        <v>157</v>
      </c>
      <c r="E111" s="210" t="s">
        <v>842</v>
      </c>
      <c r="F111" s="202" t="s">
        <v>159</v>
      </c>
      <c r="G111" s="203">
        <v>46101</v>
      </c>
      <c r="H111" s="204">
        <v>5</v>
      </c>
      <c r="I111" s="205">
        <f t="shared" si="1"/>
        <v>0.26315789473684209</v>
      </c>
      <c r="J111" s="206" t="s">
        <v>843</v>
      </c>
      <c r="K111" s="204"/>
    </row>
    <row r="112" spans="1:12" ht="32">
      <c r="A112" s="198" t="s">
        <v>915</v>
      </c>
      <c r="B112" s="213" t="s">
        <v>775</v>
      </c>
      <c r="C112" s="213" t="s">
        <v>175</v>
      </c>
      <c r="D112" s="208" t="s">
        <v>785</v>
      </c>
      <c r="E112" s="210" t="s">
        <v>1258</v>
      </c>
      <c r="F112" s="202" t="str">
        <f>VLOOKUP(D112,[4]CSR!$D$4:$E$1151,2,FALSE)</f>
        <v>CSR_40400</v>
      </c>
      <c r="G112" s="203">
        <v>46092</v>
      </c>
      <c r="H112" s="204">
        <v>2</v>
      </c>
      <c r="I112" s="205">
        <f t="shared" si="1"/>
        <v>0.10526315789473684</v>
      </c>
      <c r="J112" s="206" t="s">
        <v>1020</v>
      </c>
      <c r="K112" s="204"/>
    </row>
    <row r="113" spans="1:11" ht="64">
      <c r="A113" s="198" t="s">
        <v>915</v>
      </c>
      <c r="B113" s="199" t="s">
        <v>31</v>
      </c>
      <c r="C113" s="199" t="s">
        <v>759</v>
      </c>
      <c r="D113" s="200" t="s">
        <v>766</v>
      </c>
      <c r="E113" s="210" t="s">
        <v>1259</v>
      </c>
      <c r="F113" s="202" t="str">
        <f>VLOOKUP(D113,[4]CSR!$D$4:$E$1151,2,FALSE)</f>
        <v>CSR_30300</v>
      </c>
      <c r="G113" s="203">
        <v>46098</v>
      </c>
      <c r="H113" s="208">
        <v>1</v>
      </c>
      <c r="I113" s="205">
        <f t="shared" si="1"/>
        <v>5.2631578947368418E-2</v>
      </c>
      <c r="J113" s="206" t="s">
        <v>1020</v>
      </c>
      <c r="K113" s="204"/>
    </row>
    <row r="114" spans="1:11" ht="32">
      <c r="A114" s="198" t="s">
        <v>915</v>
      </c>
      <c r="B114" s="213" t="s">
        <v>775</v>
      </c>
      <c r="C114" s="213" t="s">
        <v>175</v>
      </c>
      <c r="D114" s="200" t="s">
        <v>784</v>
      </c>
      <c r="E114" s="201" t="s">
        <v>1260</v>
      </c>
      <c r="F114" s="202" t="str">
        <f>VLOOKUP(D114,[4]CSR!$D$4:$E$1151,2,FALSE)</f>
        <v>CSR_40300</v>
      </c>
      <c r="G114" s="203">
        <v>46099</v>
      </c>
      <c r="H114" s="208">
        <v>1</v>
      </c>
      <c r="I114" s="205">
        <f t="shared" si="1"/>
        <v>5.2631578947368418E-2</v>
      </c>
      <c r="J114" s="206" t="s">
        <v>1020</v>
      </c>
      <c r="K114" s="204"/>
    </row>
    <row r="115" spans="1:11" ht="32">
      <c r="A115" s="198" t="s">
        <v>915</v>
      </c>
      <c r="B115" s="199" t="s">
        <v>31</v>
      </c>
      <c r="C115" s="199" t="s">
        <v>759</v>
      </c>
      <c r="D115" s="200" t="s">
        <v>764</v>
      </c>
      <c r="E115" s="210" t="s">
        <v>1261</v>
      </c>
      <c r="F115" s="202" t="str">
        <f>VLOOKUP(D115,[4]CSR!$D$4:$E$1151,2,FALSE)</f>
        <v>CSR_30200</v>
      </c>
      <c r="G115" s="203">
        <v>46099</v>
      </c>
      <c r="H115" s="204">
        <v>1.5</v>
      </c>
      <c r="I115" s="205">
        <f t="shared" si="1"/>
        <v>7.8947368421052627E-2</v>
      </c>
      <c r="J115" s="206" t="s">
        <v>1020</v>
      </c>
      <c r="K115" s="204"/>
    </row>
    <row r="116" spans="1:11" ht="32">
      <c r="A116" s="198" t="s">
        <v>915</v>
      </c>
      <c r="B116" s="199" t="s">
        <v>31</v>
      </c>
      <c r="C116" s="199" t="s">
        <v>759</v>
      </c>
      <c r="D116" s="200" t="s">
        <v>1262</v>
      </c>
      <c r="E116" s="201" t="s">
        <v>1263</v>
      </c>
      <c r="F116" s="202" t="str">
        <f>VLOOKUP(D116,[4]CSR!$D$4:$E$1151,2,FALSE)</f>
        <v>CSR_30500</v>
      </c>
      <c r="G116" s="203">
        <v>46100</v>
      </c>
      <c r="H116" s="208">
        <v>1</v>
      </c>
      <c r="I116" s="205">
        <f t="shared" si="1"/>
        <v>5.2631578947368418E-2</v>
      </c>
      <c r="J116" s="206" t="s">
        <v>1020</v>
      </c>
      <c r="K116" s="204"/>
    </row>
    <row r="117" spans="1:11" ht="64">
      <c r="A117" s="198" t="s">
        <v>915</v>
      </c>
      <c r="B117" s="199" t="s">
        <v>16</v>
      </c>
      <c r="C117" s="199" t="s">
        <v>616</v>
      </c>
      <c r="D117" s="200" t="s">
        <v>1172</v>
      </c>
      <c r="E117" s="218" t="s">
        <v>1264</v>
      </c>
      <c r="F117" s="202" t="str">
        <f>VLOOKUP(D117,[4]CSR!$D$4:$E$1151,2,FALSE)</f>
        <v>CSR_11409</v>
      </c>
      <c r="G117" s="203">
        <v>46101</v>
      </c>
      <c r="H117" s="204">
        <v>3</v>
      </c>
      <c r="I117" s="205">
        <f t="shared" si="1"/>
        <v>0.15789473684210525</v>
      </c>
      <c r="J117" s="206" t="s">
        <v>1020</v>
      </c>
      <c r="K117" s="204"/>
    </row>
    <row r="118" spans="1:11" ht="32">
      <c r="A118" s="198" t="s">
        <v>915</v>
      </c>
      <c r="B118" s="213" t="s">
        <v>775</v>
      </c>
      <c r="C118" s="213" t="s">
        <v>175</v>
      </c>
      <c r="D118" s="200" t="s">
        <v>784</v>
      </c>
      <c r="E118" s="201" t="s">
        <v>1265</v>
      </c>
      <c r="F118" s="202" t="str">
        <f>VLOOKUP(D118,[4]CSR!$D$4:$E$1151,2,FALSE)</f>
        <v>CSR_40300</v>
      </c>
      <c r="G118" s="203">
        <v>46101</v>
      </c>
      <c r="H118" s="208">
        <v>1</v>
      </c>
      <c r="I118" s="205">
        <f t="shared" si="1"/>
        <v>5.2631578947368418E-2</v>
      </c>
      <c r="J118" s="206" t="s">
        <v>1020</v>
      </c>
      <c r="K118" s="204"/>
    </row>
    <row r="119" spans="1:11" ht="48">
      <c r="A119" s="198" t="s">
        <v>915</v>
      </c>
      <c r="B119" s="213" t="s">
        <v>775</v>
      </c>
      <c r="C119" s="213" t="s">
        <v>175</v>
      </c>
      <c r="D119" s="208" t="s">
        <v>788</v>
      </c>
      <c r="E119" s="210" t="s">
        <v>1266</v>
      </c>
      <c r="F119" s="202" t="str">
        <f>VLOOKUP(D119,[4]CSR!$D$4:$E$1151,2,FALSE)</f>
        <v>CSR_40600</v>
      </c>
      <c r="G119" s="203">
        <v>46101</v>
      </c>
      <c r="H119" s="204">
        <v>2</v>
      </c>
      <c r="I119" s="205">
        <f t="shared" si="1"/>
        <v>0.10526315789473684</v>
      </c>
      <c r="J119" s="206" t="s">
        <v>1020</v>
      </c>
      <c r="K119" s="204"/>
    </row>
    <row r="120" spans="1:11" ht="32">
      <c r="A120" s="198" t="s">
        <v>915</v>
      </c>
      <c r="B120" s="213" t="s">
        <v>775</v>
      </c>
      <c r="C120" s="213" t="s">
        <v>175</v>
      </c>
      <c r="D120" s="215" t="s">
        <v>785</v>
      </c>
      <c r="E120" s="210" t="s">
        <v>1267</v>
      </c>
      <c r="F120" s="202" t="str">
        <f>VLOOKUP(D120,[4]CSR!$D$4:$E$1151,2,FALSE)</f>
        <v>CSR_40400</v>
      </c>
      <c r="G120" s="203">
        <v>46101</v>
      </c>
      <c r="H120" s="204">
        <v>2</v>
      </c>
      <c r="I120" s="205">
        <f t="shared" si="1"/>
        <v>0.10526315789473684</v>
      </c>
      <c r="J120" s="206" t="s">
        <v>1020</v>
      </c>
      <c r="K120" s="204"/>
    </row>
    <row r="121" spans="1:11" ht="64">
      <c r="A121" s="198" t="s">
        <v>915</v>
      </c>
      <c r="B121" s="199" t="s">
        <v>31</v>
      </c>
      <c r="C121" s="199" t="s">
        <v>32</v>
      </c>
      <c r="D121" s="200" t="s">
        <v>760</v>
      </c>
      <c r="E121" s="201" t="s">
        <v>1268</v>
      </c>
      <c r="F121" s="202" t="str">
        <f>VLOOKUP(D121,[4]CSR!$D$4:$E$1151,2,FALSE)</f>
        <v>CSR_30000</v>
      </c>
      <c r="G121" s="203">
        <v>46101</v>
      </c>
      <c r="H121" s="208">
        <v>1</v>
      </c>
      <c r="I121" s="205">
        <f t="shared" si="1"/>
        <v>5.2631578947368418E-2</v>
      </c>
      <c r="J121" s="206" t="s">
        <v>1020</v>
      </c>
      <c r="K121" s="204"/>
    </row>
    <row r="122" spans="1:11" ht="128">
      <c r="A122" s="198" t="s">
        <v>915</v>
      </c>
      <c r="B122" s="199" t="s">
        <v>31</v>
      </c>
      <c r="C122" s="199" t="s">
        <v>759</v>
      </c>
      <c r="D122" s="200" t="s">
        <v>764</v>
      </c>
      <c r="E122" s="210" t="s">
        <v>1269</v>
      </c>
      <c r="F122" s="202" t="str">
        <f>VLOOKUP(D122,[4]CSR!$D$4:$E$1151,2,FALSE)</f>
        <v>CSR_30200</v>
      </c>
      <c r="G122" s="203">
        <v>46101</v>
      </c>
      <c r="H122" s="204">
        <v>3.5</v>
      </c>
      <c r="I122" s="205">
        <f t="shared" si="1"/>
        <v>0.18421052631578946</v>
      </c>
      <c r="J122" s="206" t="s">
        <v>1020</v>
      </c>
      <c r="K122" s="204"/>
    </row>
    <row r="123" spans="1:11" ht="64">
      <c r="A123" s="198" t="s">
        <v>1171</v>
      </c>
      <c r="B123" s="199" t="s">
        <v>758</v>
      </c>
      <c r="C123" s="198" t="s">
        <v>32</v>
      </c>
      <c r="D123" s="207" t="s">
        <v>760</v>
      </c>
      <c r="E123" s="210" t="s">
        <v>1270</v>
      </c>
      <c r="F123" s="202" t="str">
        <f>VLOOKUP(D123,[5]CSR!$D$4:$E$1158,2,FALSE)</f>
        <v>CSR_30000</v>
      </c>
      <c r="G123" s="203">
        <v>46079</v>
      </c>
      <c r="H123" s="204">
        <v>0.3</v>
      </c>
      <c r="I123" s="205">
        <f t="shared" si="1"/>
        <v>1.5789473684210527E-2</v>
      </c>
      <c r="J123" s="217" t="s">
        <v>1036</v>
      </c>
      <c r="K123" s="204"/>
    </row>
    <row r="124" spans="1:11" ht="80">
      <c r="A124" s="198" t="s">
        <v>915</v>
      </c>
      <c r="B124" s="199" t="s">
        <v>16</v>
      </c>
      <c r="C124" s="199" t="s">
        <v>17</v>
      </c>
      <c r="D124" s="204" t="s">
        <v>635</v>
      </c>
      <c r="E124" s="201" t="s">
        <v>1271</v>
      </c>
      <c r="F124" s="202" t="str">
        <f>VLOOKUP(D124,[5]CSR!$D$4:$E$1158,2,FALSE)</f>
        <v>CSR_10800</v>
      </c>
      <c r="G124" s="203">
        <v>46085</v>
      </c>
      <c r="H124" s="204">
        <v>2</v>
      </c>
      <c r="I124" s="205">
        <f t="shared" si="1"/>
        <v>0.10526315789473684</v>
      </c>
      <c r="J124" s="217" t="s">
        <v>1036</v>
      </c>
      <c r="K124" s="204"/>
    </row>
    <row r="125" spans="1:11" ht="48">
      <c r="A125" s="198" t="s">
        <v>915</v>
      </c>
      <c r="B125" s="199" t="s">
        <v>16</v>
      </c>
      <c r="C125" s="214" t="s">
        <v>616</v>
      </c>
      <c r="D125" s="207" t="s">
        <v>653</v>
      </c>
      <c r="E125" s="210" t="s">
        <v>1272</v>
      </c>
      <c r="F125" s="202" t="str">
        <f>VLOOKUP(D125,[5]CSR!$D$4:$E$1158,2,FALSE)</f>
        <v>CSR_11303</v>
      </c>
      <c r="G125" s="203">
        <v>46092</v>
      </c>
      <c r="H125" s="204">
        <v>1</v>
      </c>
      <c r="I125" s="205">
        <f t="shared" si="1"/>
        <v>5.2631578947368418E-2</v>
      </c>
      <c r="J125" s="217" t="s">
        <v>1036</v>
      </c>
      <c r="K125" s="204"/>
    </row>
    <row r="126" spans="1:11" ht="64">
      <c r="A126" s="198" t="s">
        <v>915</v>
      </c>
      <c r="B126" s="199" t="s">
        <v>49</v>
      </c>
      <c r="C126" s="199" t="s">
        <v>50</v>
      </c>
      <c r="D126" s="207" t="s">
        <v>1273</v>
      </c>
      <c r="E126" s="201" t="s">
        <v>1274</v>
      </c>
      <c r="F126" s="202" t="str">
        <f>VLOOKUP(D126,[5]CSR!$D$4:$E$1158,2,FALSE)</f>
        <v>CSR_41103</v>
      </c>
      <c r="G126" s="203">
        <v>46094</v>
      </c>
      <c r="H126" s="204">
        <v>2</v>
      </c>
      <c r="I126" s="205">
        <f t="shared" si="1"/>
        <v>0.10526315789473684</v>
      </c>
      <c r="J126" s="217" t="s">
        <v>1036</v>
      </c>
      <c r="K126" s="204"/>
    </row>
    <row r="127" spans="1:11" ht="48">
      <c r="A127" s="198" t="s">
        <v>915</v>
      </c>
      <c r="B127" s="199" t="s">
        <v>49</v>
      </c>
      <c r="C127" s="199" t="s">
        <v>50</v>
      </c>
      <c r="D127" s="207" t="s">
        <v>804</v>
      </c>
      <c r="E127" s="201" t="s">
        <v>1275</v>
      </c>
      <c r="F127" s="202" t="str">
        <f>VLOOKUP(D127,[5]CSR!$D$4:$E$1158,2,FALSE)</f>
        <v>CSR_41104</v>
      </c>
      <c r="G127" s="203">
        <v>46094</v>
      </c>
      <c r="H127" s="204">
        <v>2</v>
      </c>
      <c r="I127" s="205">
        <f t="shared" si="1"/>
        <v>0.10526315789473684</v>
      </c>
      <c r="J127" s="217" t="s">
        <v>1036</v>
      </c>
      <c r="K127" s="204"/>
    </row>
    <row r="128" spans="1:11" ht="80">
      <c r="A128" s="198" t="s">
        <v>915</v>
      </c>
      <c r="B128" s="199" t="s">
        <v>16</v>
      </c>
      <c r="C128" s="199" t="s">
        <v>17</v>
      </c>
      <c r="D128" s="200" t="s">
        <v>131</v>
      </c>
      <c r="E128" s="201" t="s">
        <v>1276</v>
      </c>
      <c r="F128" s="202" t="str">
        <f>VLOOKUP(D128,[5]CSR!$D$4:$E$1158,2,FALSE)</f>
        <v>CSR_10400</v>
      </c>
      <c r="G128" s="203">
        <v>46099</v>
      </c>
      <c r="H128" s="208">
        <v>3</v>
      </c>
      <c r="I128" s="205">
        <f t="shared" si="1"/>
        <v>0.15789473684210525</v>
      </c>
      <c r="J128" s="217" t="s">
        <v>1036</v>
      </c>
      <c r="K128" s="204"/>
    </row>
    <row r="129" spans="1:11" ht="64">
      <c r="A129" s="198" t="s">
        <v>915</v>
      </c>
      <c r="B129" s="199" t="s">
        <v>16</v>
      </c>
      <c r="C129" s="199" t="s">
        <v>17</v>
      </c>
      <c r="D129" s="204" t="s">
        <v>635</v>
      </c>
      <c r="E129" s="201" t="s">
        <v>1277</v>
      </c>
      <c r="F129" s="202" t="str">
        <f>VLOOKUP(D129,[5]CSR!$D$4:$E$1158,2,FALSE)</f>
        <v>CSR_10800</v>
      </c>
      <c r="G129" s="203">
        <v>46099</v>
      </c>
      <c r="H129" s="204">
        <v>2</v>
      </c>
      <c r="I129" s="205">
        <f t="shared" si="1"/>
        <v>0.10526315789473684</v>
      </c>
      <c r="J129" s="217" t="s">
        <v>1036</v>
      </c>
      <c r="K129" s="204"/>
    </row>
    <row r="130" spans="1:11" ht="80">
      <c r="A130" s="198" t="s">
        <v>915</v>
      </c>
      <c r="B130" s="199" t="s">
        <v>16</v>
      </c>
      <c r="C130" s="199" t="s">
        <v>17</v>
      </c>
      <c r="D130" s="200" t="s">
        <v>131</v>
      </c>
      <c r="E130" s="201" t="s">
        <v>1278</v>
      </c>
      <c r="F130" s="202" t="str">
        <f>VLOOKUP(D130,[5]CSR!$D$4:$E$1158,2,FALSE)</f>
        <v>CSR_10400</v>
      </c>
      <c r="G130" s="203">
        <v>46099</v>
      </c>
      <c r="H130" s="208">
        <v>1.5</v>
      </c>
      <c r="I130" s="205">
        <f t="shared" ref="I130:I193" si="2">H130*10/190</f>
        <v>7.8947368421052627E-2</v>
      </c>
      <c r="J130" s="217" t="s">
        <v>1036</v>
      </c>
      <c r="K130" s="204"/>
    </row>
    <row r="131" spans="1:11" ht="48">
      <c r="A131" s="198" t="s">
        <v>915</v>
      </c>
      <c r="B131" s="199" t="s">
        <v>16</v>
      </c>
      <c r="C131" s="199" t="s">
        <v>17</v>
      </c>
      <c r="D131" s="207" t="s">
        <v>674</v>
      </c>
      <c r="E131" s="218" t="s">
        <v>1279</v>
      </c>
      <c r="F131" s="202" t="str">
        <f>VLOOKUP(D131,[5]CSR!$D$4:$E$1158,2,FALSE)</f>
        <v>CSR_11311</v>
      </c>
      <c r="G131" s="203">
        <v>46100</v>
      </c>
      <c r="H131" s="204">
        <v>0.2</v>
      </c>
      <c r="I131" s="205">
        <f t="shared" si="2"/>
        <v>1.0526315789473684E-2</v>
      </c>
      <c r="J131" s="217" t="s">
        <v>1036</v>
      </c>
      <c r="K131" s="204"/>
    </row>
    <row r="132" spans="1:11" ht="48">
      <c r="A132" s="198" t="s">
        <v>915</v>
      </c>
      <c r="B132" s="199" t="s">
        <v>16</v>
      </c>
      <c r="C132" s="214" t="s">
        <v>616</v>
      </c>
      <c r="D132" s="207" t="s">
        <v>653</v>
      </c>
      <c r="E132" s="210" t="s">
        <v>1280</v>
      </c>
      <c r="F132" s="202" t="str">
        <f>VLOOKUP(D132,[5]CSR!$D$4:$E$1158,2,FALSE)</f>
        <v>CSR_11303</v>
      </c>
      <c r="G132" s="203">
        <v>46101</v>
      </c>
      <c r="H132" s="204">
        <v>0.3</v>
      </c>
      <c r="I132" s="205">
        <f t="shared" si="2"/>
        <v>1.5789473684210527E-2</v>
      </c>
      <c r="J132" s="217" t="s">
        <v>1036</v>
      </c>
      <c r="K132" s="204"/>
    </row>
    <row r="133" spans="1:11" ht="80">
      <c r="A133" s="198" t="s">
        <v>915</v>
      </c>
      <c r="B133" s="199" t="s">
        <v>49</v>
      </c>
      <c r="C133" s="199" t="s">
        <v>50</v>
      </c>
      <c r="D133" s="207" t="s">
        <v>1273</v>
      </c>
      <c r="E133" s="201" t="s">
        <v>1281</v>
      </c>
      <c r="F133" s="202" t="str">
        <f>VLOOKUP(D133,[5]CSR!$D$4:$E$1158,2,FALSE)</f>
        <v>CSR_41103</v>
      </c>
      <c r="G133" s="203">
        <v>46101</v>
      </c>
      <c r="H133" s="204">
        <v>2</v>
      </c>
      <c r="I133" s="205">
        <f t="shared" si="2"/>
        <v>0.10526315789473684</v>
      </c>
      <c r="J133" s="217" t="s">
        <v>1036</v>
      </c>
      <c r="K133" s="204"/>
    </row>
    <row r="134" spans="1:11" ht="32">
      <c r="A134" s="198" t="s">
        <v>915</v>
      </c>
      <c r="B134" s="214" t="s">
        <v>775</v>
      </c>
      <c r="C134" s="214" t="s">
        <v>776</v>
      </c>
      <c r="D134" s="214" t="s">
        <v>230</v>
      </c>
      <c r="E134" s="210" t="s">
        <v>1038</v>
      </c>
      <c r="F134" s="202" t="str">
        <f>VLOOKUP(D134,[5]CSR!$D$4:$E$1158,2,FALSE)</f>
        <v>CSR_40000</v>
      </c>
      <c r="G134" s="203">
        <v>46101</v>
      </c>
      <c r="H134" s="204">
        <v>0.2</v>
      </c>
      <c r="I134" s="205">
        <f t="shared" si="2"/>
        <v>1.0526315789473684E-2</v>
      </c>
      <c r="J134" s="217" t="s">
        <v>1036</v>
      </c>
      <c r="K134" s="204"/>
    </row>
    <row r="135" spans="1:11" ht="64">
      <c r="A135" s="198" t="s">
        <v>915</v>
      </c>
      <c r="B135" s="199" t="s">
        <v>16</v>
      </c>
      <c r="C135" s="199" t="s">
        <v>17</v>
      </c>
      <c r="D135" s="204" t="s">
        <v>634</v>
      </c>
      <c r="E135" s="218" t="s">
        <v>1282</v>
      </c>
      <c r="F135" s="202" t="str">
        <f>VLOOKUP(D135,[5]CSR!$D$4:$E$1158,2,FALSE)</f>
        <v>CSR_10700</v>
      </c>
      <c r="G135" s="203">
        <v>46101</v>
      </c>
      <c r="H135" s="204">
        <v>1</v>
      </c>
      <c r="I135" s="205">
        <f t="shared" si="2"/>
        <v>5.2631578947368418E-2</v>
      </c>
      <c r="J135" s="217" t="s">
        <v>1036</v>
      </c>
      <c r="K135" s="204"/>
    </row>
    <row r="136" spans="1:11" ht="32">
      <c r="A136" s="198" t="s">
        <v>915</v>
      </c>
      <c r="B136" s="199" t="s">
        <v>16</v>
      </c>
      <c r="C136" s="199" t="s">
        <v>616</v>
      </c>
      <c r="D136" s="215" t="s">
        <v>638</v>
      </c>
      <c r="E136" s="210" t="s">
        <v>1283</v>
      </c>
      <c r="F136" s="202" t="str">
        <f>VLOOKUP(D136,[4]CSR!$D$4:$E$1151,2,FALSE)</f>
        <v>CSR_11000</v>
      </c>
      <c r="G136" s="203">
        <v>46101</v>
      </c>
      <c r="H136" s="204">
        <v>1.5</v>
      </c>
      <c r="I136" s="205">
        <f t="shared" si="2"/>
        <v>7.8947368421052627E-2</v>
      </c>
      <c r="J136" s="206" t="s">
        <v>213</v>
      </c>
      <c r="K136" s="204"/>
    </row>
    <row r="137" spans="1:11" ht="32">
      <c r="A137" s="216" t="s">
        <v>915</v>
      </c>
      <c r="B137" s="213" t="s">
        <v>729</v>
      </c>
      <c r="C137" s="213" t="s">
        <v>753</v>
      </c>
      <c r="D137" s="207" t="s">
        <v>757</v>
      </c>
      <c r="E137" s="226" t="s">
        <v>1284</v>
      </c>
      <c r="F137" s="202" t="str">
        <f>VLOOKUP(D137,[6]CSR!$D$4:$E$1159,2,FALSE)</f>
        <v>CSR_20400</v>
      </c>
      <c r="G137" s="225">
        <v>46084</v>
      </c>
      <c r="H137" s="212">
        <v>1</v>
      </c>
      <c r="I137" s="205">
        <f t="shared" si="2"/>
        <v>5.2631578947368418E-2</v>
      </c>
      <c r="J137" s="211" t="s">
        <v>241</v>
      </c>
      <c r="K137" s="204"/>
    </row>
    <row r="138" spans="1:11" ht="32">
      <c r="A138" s="216" t="s">
        <v>915</v>
      </c>
      <c r="B138" s="213" t="s">
        <v>31</v>
      </c>
      <c r="C138" s="213" t="s">
        <v>32</v>
      </c>
      <c r="D138" s="207" t="s">
        <v>33</v>
      </c>
      <c r="E138" s="226" t="s">
        <v>1285</v>
      </c>
      <c r="F138" s="202" t="str">
        <f>VLOOKUP(D138,[6]CSR!$D$4:$E$1159,2,FALSE)</f>
        <v>CSR_30200</v>
      </c>
      <c r="G138" s="225">
        <v>46086</v>
      </c>
      <c r="H138" s="212">
        <v>0.5</v>
      </c>
      <c r="I138" s="205">
        <f t="shared" si="2"/>
        <v>2.6315789473684209E-2</v>
      </c>
      <c r="J138" s="211" t="s">
        <v>241</v>
      </c>
      <c r="K138" s="204"/>
    </row>
    <row r="139" spans="1:11" ht="32">
      <c r="A139" s="216" t="s">
        <v>915</v>
      </c>
      <c r="B139" s="213" t="s">
        <v>70</v>
      </c>
      <c r="C139" s="213" t="s">
        <v>71</v>
      </c>
      <c r="D139" s="207" t="s">
        <v>266</v>
      </c>
      <c r="E139" s="226" t="s">
        <v>1286</v>
      </c>
      <c r="F139" s="202" t="str">
        <f>VLOOKUP(D139,[6]CSR!$D$4:$E$1159,2,FALSE)</f>
        <v>CSR_20200</v>
      </c>
      <c r="G139" s="225">
        <v>46091</v>
      </c>
      <c r="H139" s="212">
        <v>0.5</v>
      </c>
      <c r="I139" s="205">
        <f t="shared" si="2"/>
        <v>2.6315789473684209E-2</v>
      </c>
      <c r="J139" s="211" t="s">
        <v>241</v>
      </c>
      <c r="K139" s="204"/>
    </row>
    <row r="140" spans="1:11" ht="32">
      <c r="A140" s="216" t="s">
        <v>915</v>
      </c>
      <c r="B140" s="213" t="s">
        <v>16</v>
      </c>
      <c r="C140" s="213" t="s">
        <v>17</v>
      </c>
      <c r="D140" s="207" t="s">
        <v>262</v>
      </c>
      <c r="E140" s="226" t="s">
        <v>1287</v>
      </c>
      <c r="F140" s="202" t="str">
        <f>VLOOKUP(D140,[6]CSR!$D$4:$E$1159,2,FALSE)</f>
        <v>CSR_11100</v>
      </c>
      <c r="G140" s="225" t="s">
        <v>1288</v>
      </c>
      <c r="H140" s="212">
        <v>0.5</v>
      </c>
      <c r="I140" s="205">
        <f t="shared" si="2"/>
        <v>2.6315789473684209E-2</v>
      </c>
      <c r="J140" s="211" t="s">
        <v>241</v>
      </c>
      <c r="K140" s="204"/>
    </row>
    <row r="141" spans="1:11" ht="48">
      <c r="A141" s="216" t="s">
        <v>915</v>
      </c>
      <c r="B141" s="213" t="s">
        <v>70</v>
      </c>
      <c r="C141" s="213" t="s">
        <v>245</v>
      </c>
      <c r="D141" s="207" t="s">
        <v>255</v>
      </c>
      <c r="E141" s="226" t="s">
        <v>1289</v>
      </c>
      <c r="F141" s="202" t="str">
        <f>VLOOKUP(D141,[6]CSR!$D$4:$E$1159,2,FALSE)</f>
        <v>CSR_20100</v>
      </c>
      <c r="G141" s="225">
        <v>46097</v>
      </c>
      <c r="H141" s="212">
        <v>0.5</v>
      </c>
      <c r="I141" s="205">
        <f t="shared" si="2"/>
        <v>2.6315789473684209E-2</v>
      </c>
      <c r="J141" s="211" t="s">
        <v>241</v>
      </c>
      <c r="K141" s="204"/>
    </row>
    <row r="142" spans="1:11" ht="32">
      <c r="A142" s="216" t="s">
        <v>915</v>
      </c>
      <c r="B142" s="213" t="s">
        <v>70</v>
      </c>
      <c r="C142" s="213" t="s">
        <v>245</v>
      </c>
      <c r="D142" s="207" t="s">
        <v>255</v>
      </c>
      <c r="E142" s="226" t="s">
        <v>1290</v>
      </c>
      <c r="F142" s="202" t="str">
        <f>VLOOKUP(D142,[6]CSR!$D$4:$E$1159,2,FALSE)</f>
        <v>CSR_20100</v>
      </c>
      <c r="G142" s="225">
        <v>46097</v>
      </c>
      <c r="H142" s="212">
        <v>0.5</v>
      </c>
      <c r="I142" s="205">
        <f t="shared" si="2"/>
        <v>2.6315789473684209E-2</v>
      </c>
      <c r="J142" s="211" t="s">
        <v>241</v>
      </c>
      <c r="K142" s="204"/>
    </row>
    <row r="143" spans="1:11" ht="32">
      <c r="A143" s="216" t="s">
        <v>915</v>
      </c>
      <c r="B143" s="213" t="s">
        <v>70</v>
      </c>
      <c r="C143" s="213" t="s">
        <v>245</v>
      </c>
      <c r="D143" s="207" t="s">
        <v>255</v>
      </c>
      <c r="E143" s="226" t="s">
        <v>1291</v>
      </c>
      <c r="F143" s="202" t="str">
        <f>VLOOKUP(D143,[6]CSR!$D$4:$E$1159,2,FALSE)</f>
        <v>CSR_20100</v>
      </c>
      <c r="G143" s="225">
        <v>46097</v>
      </c>
      <c r="H143" s="212">
        <v>0.5</v>
      </c>
      <c r="I143" s="205">
        <f t="shared" si="2"/>
        <v>2.6315789473684209E-2</v>
      </c>
      <c r="J143" s="211" t="s">
        <v>241</v>
      </c>
      <c r="K143" s="204"/>
    </row>
    <row r="144" spans="1:11" ht="32">
      <c r="A144" s="216" t="s">
        <v>915</v>
      </c>
      <c r="B144" s="213" t="s">
        <v>70</v>
      </c>
      <c r="C144" s="213" t="s">
        <v>245</v>
      </c>
      <c r="D144" s="207" t="s">
        <v>246</v>
      </c>
      <c r="E144" s="226" t="s">
        <v>1292</v>
      </c>
      <c r="F144" s="202" t="str">
        <f>VLOOKUP(D144,[6]CSR!$D$4:$E$1159,2,FALSE)</f>
        <v>CSR_20000</v>
      </c>
      <c r="G144" s="225">
        <v>46097</v>
      </c>
      <c r="H144" s="212">
        <v>1.5</v>
      </c>
      <c r="I144" s="205">
        <f t="shared" si="2"/>
        <v>7.8947368421052627E-2</v>
      </c>
      <c r="J144" s="211" t="s">
        <v>241</v>
      </c>
      <c r="K144" s="204"/>
    </row>
    <row r="145" spans="1:11" ht="32">
      <c r="A145" s="216" t="s">
        <v>915</v>
      </c>
      <c r="B145" s="213" t="s">
        <v>70</v>
      </c>
      <c r="C145" s="213" t="s">
        <v>245</v>
      </c>
      <c r="D145" s="207" t="s">
        <v>246</v>
      </c>
      <c r="E145" s="226" t="s">
        <v>1293</v>
      </c>
      <c r="F145" s="202" t="str">
        <f>VLOOKUP(D145,[6]CSR!$D$4:$E$1159,2,FALSE)</f>
        <v>CSR_20000</v>
      </c>
      <c r="G145" s="225">
        <v>46097</v>
      </c>
      <c r="H145" s="212">
        <v>1.5</v>
      </c>
      <c r="I145" s="205">
        <f t="shared" si="2"/>
        <v>7.8947368421052627E-2</v>
      </c>
      <c r="J145" s="211" t="s">
        <v>241</v>
      </c>
      <c r="K145" s="204"/>
    </row>
    <row r="146" spans="1:11" ht="48">
      <c r="A146" s="216" t="s">
        <v>915</v>
      </c>
      <c r="B146" s="213" t="s">
        <v>31</v>
      </c>
      <c r="C146" s="213" t="s">
        <v>32</v>
      </c>
      <c r="D146" s="207" t="s">
        <v>33</v>
      </c>
      <c r="E146" s="226" t="s">
        <v>1294</v>
      </c>
      <c r="F146" s="202" t="str">
        <f>VLOOKUP(D146,[6]CSR!$D$4:$E$1159,2,FALSE)</f>
        <v>CSR_30200</v>
      </c>
      <c r="G146" s="225">
        <v>46097</v>
      </c>
      <c r="H146" s="212">
        <v>1.5</v>
      </c>
      <c r="I146" s="205">
        <f t="shared" si="2"/>
        <v>7.8947368421052627E-2</v>
      </c>
      <c r="J146" s="211" t="s">
        <v>241</v>
      </c>
      <c r="K146" s="204"/>
    </row>
    <row r="147" spans="1:11" ht="48">
      <c r="A147" s="216" t="s">
        <v>915</v>
      </c>
      <c r="B147" s="213" t="s">
        <v>16</v>
      </c>
      <c r="C147" s="213" t="s">
        <v>17</v>
      </c>
      <c r="D147" s="207" t="s">
        <v>262</v>
      </c>
      <c r="E147" s="226" t="s">
        <v>1295</v>
      </c>
      <c r="F147" s="202" t="str">
        <f>VLOOKUP(D147,[6]CSR!$D$4:$E$1159,2,FALSE)</f>
        <v>CSR_11100</v>
      </c>
      <c r="G147" s="225">
        <v>46097</v>
      </c>
      <c r="H147" s="212">
        <v>1</v>
      </c>
      <c r="I147" s="205">
        <f t="shared" si="2"/>
        <v>5.2631578947368418E-2</v>
      </c>
      <c r="J147" s="211" t="s">
        <v>241</v>
      </c>
      <c r="K147" s="204"/>
    </row>
    <row r="148" spans="1:11" ht="48">
      <c r="A148" s="216" t="s">
        <v>915</v>
      </c>
      <c r="B148" s="199" t="s">
        <v>31</v>
      </c>
      <c r="C148" s="199" t="s">
        <v>32</v>
      </c>
      <c r="D148" s="200" t="s">
        <v>199</v>
      </c>
      <c r="E148" s="226" t="s">
        <v>1296</v>
      </c>
      <c r="F148" s="202" t="str">
        <f>VLOOKUP(D148,[6]CSR!$D$4:$E$1159,2,FALSE)</f>
        <v>CSR_30000</v>
      </c>
      <c r="G148" s="225">
        <v>46099</v>
      </c>
      <c r="H148" s="212">
        <v>1</v>
      </c>
      <c r="I148" s="205">
        <f t="shared" si="2"/>
        <v>5.2631578947368418E-2</v>
      </c>
      <c r="J148" s="211" t="s">
        <v>241</v>
      </c>
      <c r="K148" s="204"/>
    </row>
    <row r="149" spans="1:11" ht="64">
      <c r="A149" s="216" t="s">
        <v>915</v>
      </c>
      <c r="B149" s="213" t="s">
        <v>70</v>
      </c>
      <c r="C149" s="213" t="s">
        <v>245</v>
      </c>
      <c r="D149" s="207" t="s">
        <v>1297</v>
      </c>
      <c r="E149" s="226" t="s">
        <v>1298</v>
      </c>
      <c r="F149" s="202" t="str">
        <f>VLOOKUP(D149,[6]CSR!$D$4:$E$1159,2,FALSE)</f>
        <v>CSR_20006</v>
      </c>
      <c r="G149" s="225">
        <v>46100</v>
      </c>
      <c r="H149" s="212">
        <v>1.5</v>
      </c>
      <c r="I149" s="205">
        <f t="shared" si="2"/>
        <v>7.8947368421052627E-2</v>
      </c>
      <c r="J149" s="211" t="s">
        <v>241</v>
      </c>
      <c r="K149" s="204"/>
    </row>
    <row r="150" spans="1:11" ht="48">
      <c r="A150" s="216" t="s">
        <v>915</v>
      </c>
      <c r="B150" s="213" t="s">
        <v>16</v>
      </c>
      <c r="C150" s="213" t="s">
        <v>17</v>
      </c>
      <c r="D150" s="207" t="s">
        <v>262</v>
      </c>
      <c r="E150" s="226" t="s">
        <v>1299</v>
      </c>
      <c r="F150" s="202" t="str">
        <f>VLOOKUP(D150,[6]CSR!$D$4:$E$1159,2,FALSE)</f>
        <v>CSR_11100</v>
      </c>
      <c r="G150" s="225">
        <v>46100</v>
      </c>
      <c r="H150" s="212">
        <v>1</v>
      </c>
      <c r="I150" s="205">
        <f t="shared" si="2"/>
        <v>5.2631578947368418E-2</v>
      </c>
      <c r="J150" s="211" t="s">
        <v>241</v>
      </c>
      <c r="K150" s="204"/>
    </row>
    <row r="151" spans="1:11" ht="80">
      <c r="A151" s="216" t="s">
        <v>915</v>
      </c>
      <c r="B151" s="213" t="s">
        <v>70</v>
      </c>
      <c r="C151" s="213" t="s">
        <v>245</v>
      </c>
      <c r="D151" s="207" t="s">
        <v>1300</v>
      </c>
      <c r="E151" s="226" t="s">
        <v>1301</v>
      </c>
      <c r="F151" s="202" t="str">
        <f>VLOOKUP(D151,[6]CSR!$D$4:$E$1159,2,FALSE)</f>
        <v>CSR_20005</v>
      </c>
      <c r="G151" s="225">
        <v>46101</v>
      </c>
      <c r="H151" s="212">
        <v>1.5</v>
      </c>
      <c r="I151" s="205">
        <f t="shared" si="2"/>
        <v>7.8947368421052627E-2</v>
      </c>
      <c r="J151" s="211" t="s">
        <v>241</v>
      </c>
      <c r="K151" s="204"/>
    </row>
    <row r="152" spans="1:11" ht="32">
      <c r="A152" s="216" t="s">
        <v>915</v>
      </c>
      <c r="B152" s="213" t="s">
        <v>70</v>
      </c>
      <c r="C152" s="213" t="s">
        <v>71</v>
      </c>
      <c r="D152" s="207" t="s">
        <v>266</v>
      </c>
      <c r="E152" s="226" t="s">
        <v>1302</v>
      </c>
      <c r="F152" s="202" t="str">
        <f>VLOOKUP(D152,[6]CSR!$D$4:$E$1159,2,FALSE)</f>
        <v>CSR_20200</v>
      </c>
      <c r="G152" s="225">
        <v>46101</v>
      </c>
      <c r="H152" s="212">
        <v>1</v>
      </c>
      <c r="I152" s="205">
        <f t="shared" si="2"/>
        <v>5.2631578947368418E-2</v>
      </c>
      <c r="J152" s="211" t="s">
        <v>241</v>
      </c>
      <c r="K152" s="204"/>
    </row>
    <row r="153" spans="1:11" ht="64">
      <c r="A153" s="216" t="s">
        <v>915</v>
      </c>
      <c r="B153" s="213" t="s">
        <v>70</v>
      </c>
      <c r="C153" s="213" t="s">
        <v>71</v>
      </c>
      <c r="D153" s="207" t="s">
        <v>252</v>
      </c>
      <c r="E153" s="226" t="s">
        <v>1303</v>
      </c>
      <c r="F153" s="202" t="str">
        <f>VLOOKUP(D153,[6]CSR!$D$4:$E$1159,2,FALSE)</f>
        <v>CSR_20300</v>
      </c>
      <c r="G153" s="225">
        <v>46101</v>
      </c>
      <c r="H153" s="212">
        <v>2</v>
      </c>
      <c r="I153" s="205">
        <f t="shared" si="2"/>
        <v>0.10526315789473684</v>
      </c>
      <c r="J153" s="211" t="s">
        <v>241</v>
      </c>
      <c r="K153" s="204"/>
    </row>
    <row r="154" spans="1:11" ht="64">
      <c r="A154" s="216" t="s">
        <v>915</v>
      </c>
      <c r="B154" s="213" t="s">
        <v>31</v>
      </c>
      <c r="C154" s="213" t="s">
        <v>32</v>
      </c>
      <c r="D154" s="207" t="s">
        <v>259</v>
      </c>
      <c r="E154" s="226" t="s">
        <v>1304</v>
      </c>
      <c r="F154" s="202" t="str">
        <f>VLOOKUP(D154,[6]CSR!$D$4:$E$1159,2,FALSE)</f>
        <v>CSR_30100</v>
      </c>
      <c r="G154" s="225">
        <v>46101</v>
      </c>
      <c r="H154" s="212">
        <v>1.5</v>
      </c>
      <c r="I154" s="205">
        <f t="shared" si="2"/>
        <v>7.8947368421052627E-2</v>
      </c>
      <c r="J154" s="211" t="s">
        <v>241</v>
      </c>
      <c r="K154" s="204"/>
    </row>
    <row r="155" spans="1:11" ht="32">
      <c r="A155" s="198" t="s">
        <v>915</v>
      </c>
      <c r="B155" s="199" t="s">
        <v>16</v>
      </c>
      <c r="C155" s="199" t="s">
        <v>616</v>
      </c>
      <c r="D155" s="207" t="s">
        <v>1305</v>
      </c>
      <c r="E155" s="210" t="s">
        <v>1306</v>
      </c>
      <c r="F155" s="202" t="str">
        <f>VLOOKUP(D155,[6]CSR!$D$4:$E$1159,2,FALSE)</f>
        <v>CSR_11002</v>
      </c>
      <c r="G155" s="203" t="s">
        <v>1307</v>
      </c>
      <c r="H155" s="204">
        <v>3</v>
      </c>
      <c r="I155" s="205">
        <f t="shared" si="2"/>
        <v>0.15789473684210525</v>
      </c>
      <c r="J155" s="206" t="s">
        <v>285</v>
      </c>
      <c r="K155" s="204"/>
    </row>
    <row r="156" spans="1:11" ht="32">
      <c r="A156" s="198" t="s">
        <v>915</v>
      </c>
      <c r="B156" s="199" t="s">
        <v>16</v>
      </c>
      <c r="C156" s="199" t="s">
        <v>616</v>
      </c>
      <c r="D156" s="207" t="s">
        <v>1305</v>
      </c>
      <c r="E156" s="210" t="s">
        <v>1306</v>
      </c>
      <c r="F156" s="202" t="str">
        <f>VLOOKUP(D156,[6]CSR!$D$4:$E$1159,2,FALSE)</f>
        <v>CSR_11002</v>
      </c>
      <c r="G156" s="203" t="s">
        <v>1308</v>
      </c>
      <c r="H156" s="204">
        <v>4</v>
      </c>
      <c r="I156" s="205">
        <f t="shared" si="2"/>
        <v>0.21052631578947367</v>
      </c>
      <c r="J156" s="206" t="s">
        <v>285</v>
      </c>
      <c r="K156" s="204"/>
    </row>
    <row r="157" spans="1:11" ht="32">
      <c r="A157" s="198" t="s">
        <v>915</v>
      </c>
      <c r="B157" s="199" t="s">
        <v>16</v>
      </c>
      <c r="C157" s="199" t="s">
        <v>616</v>
      </c>
      <c r="D157" s="207" t="s">
        <v>1305</v>
      </c>
      <c r="E157" s="210" t="s">
        <v>1306</v>
      </c>
      <c r="F157" s="202" t="str">
        <f>VLOOKUP(D157,[6]CSR!$D$4:$E$1159,2,FALSE)</f>
        <v>CSR_11002</v>
      </c>
      <c r="G157" s="203" t="s">
        <v>1235</v>
      </c>
      <c r="H157" s="204">
        <v>4</v>
      </c>
      <c r="I157" s="205">
        <f t="shared" si="2"/>
        <v>0.21052631578947367</v>
      </c>
      <c r="J157" s="206" t="s">
        <v>285</v>
      </c>
      <c r="K157" s="204"/>
    </row>
    <row r="158" spans="1:11" ht="48">
      <c r="A158" s="198" t="s">
        <v>915</v>
      </c>
      <c r="B158" s="199" t="s">
        <v>49</v>
      </c>
      <c r="C158" s="199" t="s">
        <v>50</v>
      </c>
      <c r="D158" s="207" t="s">
        <v>1309</v>
      </c>
      <c r="E158" s="210" t="s">
        <v>1310</v>
      </c>
      <c r="F158" s="202" t="str">
        <f>VLOOKUP(D158,[6]CSR!$D$4:$E$1159,2,FALSE)</f>
        <v>CSR_41101</v>
      </c>
      <c r="G158" s="203">
        <v>46101</v>
      </c>
      <c r="H158" s="204">
        <v>2</v>
      </c>
      <c r="I158" s="205">
        <f t="shared" si="2"/>
        <v>0.10526315789473684</v>
      </c>
      <c r="J158" s="206" t="s">
        <v>285</v>
      </c>
      <c r="K158" s="204"/>
    </row>
    <row r="159" spans="1:11" ht="48">
      <c r="A159" s="198" t="s">
        <v>915</v>
      </c>
      <c r="B159" s="199" t="s">
        <v>49</v>
      </c>
      <c r="C159" s="199" t="s">
        <v>50</v>
      </c>
      <c r="D159" s="207" t="s">
        <v>1311</v>
      </c>
      <c r="E159" s="210" t="s">
        <v>1312</v>
      </c>
      <c r="F159" s="202" t="str">
        <f>VLOOKUP(D159,[6]CSR!$D$4:$E$1159,2,FALSE)</f>
        <v>CSR_41102</v>
      </c>
      <c r="G159" s="203">
        <v>46101</v>
      </c>
      <c r="H159" s="204">
        <v>2</v>
      </c>
      <c r="I159" s="205">
        <f t="shared" si="2"/>
        <v>0.10526315789473684</v>
      </c>
      <c r="J159" s="206" t="s">
        <v>285</v>
      </c>
      <c r="K159" s="204"/>
    </row>
    <row r="160" spans="1:11" ht="16">
      <c r="A160" s="198" t="s">
        <v>915</v>
      </c>
      <c r="B160" s="199" t="s">
        <v>758</v>
      </c>
      <c r="C160" s="199" t="s">
        <v>769</v>
      </c>
      <c r="D160" s="207" t="s">
        <v>1313</v>
      </c>
      <c r="E160" s="210" t="s">
        <v>1314</v>
      </c>
      <c r="F160" s="202" t="str">
        <f>VLOOKUP(D160,[6]CSR!$D$4:$E$1159,2,FALSE)</f>
        <v>CSR_30900</v>
      </c>
      <c r="G160" s="203">
        <v>46101</v>
      </c>
      <c r="H160" s="204">
        <v>2</v>
      </c>
      <c r="I160" s="205">
        <f t="shared" si="2"/>
        <v>0.10526315789473684</v>
      </c>
      <c r="J160" s="206" t="s">
        <v>285</v>
      </c>
      <c r="K160" s="204"/>
    </row>
    <row r="161" spans="1:11" ht="48">
      <c r="A161" s="216" t="s">
        <v>915</v>
      </c>
      <c r="B161" s="199" t="s">
        <v>31</v>
      </c>
      <c r="C161" s="199" t="s">
        <v>32</v>
      </c>
      <c r="D161" s="200" t="s">
        <v>199</v>
      </c>
      <c r="E161" s="226" t="s">
        <v>1315</v>
      </c>
      <c r="F161" s="202" t="str">
        <f>VLOOKUP(D161,[6]CSR!$D$4:$E$1159,2,FALSE)</f>
        <v>CSR_30000</v>
      </c>
      <c r="G161" s="203">
        <v>46101</v>
      </c>
      <c r="H161" s="212">
        <v>1</v>
      </c>
      <c r="I161" s="205">
        <f t="shared" si="2"/>
        <v>5.2631578947368418E-2</v>
      </c>
      <c r="J161" s="206" t="s">
        <v>285</v>
      </c>
      <c r="K161" s="204"/>
    </row>
    <row r="162" spans="1:11" ht="32">
      <c r="A162" s="198" t="s">
        <v>915</v>
      </c>
      <c r="B162" s="199" t="s">
        <v>31</v>
      </c>
      <c r="C162" s="199" t="s">
        <v>32</v>
      </c>
      <c r="D162" s="200" t="s">
        <v>760</v>
      </c>
      <c r="E162" s="201" t="s">
        <v>1316</v>
      </c>
      <c r="F162" s="202" t="str">
        <f>VLOOKUP(D162,[4]CSR!$D$4:$E$1151,2,FALSE)</f>
        <v>CSR_30000</v>
      </c>
      <c r="G162" s="203">
        <v>46101</v>
      </c>
      <c r="H162" s="208">
        <v>1</v>
      </c>
      <c r="I162" s="205">
        <f t="shared" si="2"/>
        <v>5.2631578947368418E-2</v>
      </c>
      <c r="J162" s="206" t="s">
        <v>285</v>
      </c>
      <c r="K162" s="204"/>
    </row>
    <row r="163" spans="1:11" ht="16">
      <c r="A163" s="198" t="s">
        <v>1171</v>
      </c>
      <c r="B163" s="199" t="s">
        <v>16</v>
      </c>
      <c r="C163" s="199" t="s">
        <v>616</v>
      </c>
      <c r="D163" s="200" t="s">
        <v>65</v>
      </c>
      <c r="E163" s="201" t="s">
        <v>1317</v>
      </c>
      <c r="F163" s="202" t="str">
        <f>VLOOKUP(D163,[3]CSR!$D$4:$E$1159,2,FALSE)</f>
        <v>CSR_10800</v>
      </c>
      <c r="G163" s="203" t="s">
        <v>1318</v>
      </c>
      <c r="H163" s="208">
        <v>3</v>
      </c>
      <c r="I163" s="205">
        <f t="shared" si="2"/>
        <v>0.15789473684210525</v>
      </c>
      <c r="J163" s="199" t="s">
        <v>1081</v>
      </c>
      <c r="K163" s="204"/>
    </row>
    <row r="164" spans="1:11" ht="16">
      <c r="A164" s="198" t="s">
        <v>1171</v>
      </c>
      <c r="B164" s="198" t="s">
        <v>16</v>
      </c>
      <c r="C164" s="198" t="s">
        <v>17</v>
      </c>
      <c r="D164" s="208" t="s">
        <v>1319</v>
      </c>
      <c r="E164" s="201" t="s">
        <v>1320</v>
      </c>
      <c r="F164" s="202" t="str">
        <f>VLOOKUP(D164,[3]CSR!$D$4:$E$1159,2,FALSE)</f>
        <v>CSR_11306</v>
      </c>
      <c r="G164" s="203" t="s">
        <v>1321</v>
      </c>
      <c r="H164" s="208">
        <v>1</v>
      </c>
      <c r="I164" s="205">
        <f t="shared" si="2"/>
        <v>5.2631578947368418E-2</v>
      </c>
      <c r="J164" s="199" t="s">
        <v>1081</v>
      </c>
      <c r="K164" s="204"/>
    </row>
    <row r="165" spans="1:11" ht="16">
      <c r="A165" s="198" t="s">
        <v>1171</v>
      </c>
      <c r="B165" s="198" t="s">
        <v>16</v>
      </c>
      <c r="C165" s="198" t="s">
        <v>17</v>
      </c>
      <c r="D165" s="208" t="s">
        <v>710</v>
      </c>
      <c r="E165" s="201" t="s">
        <v>1322</v>
      </c>
      <c r="F165" s="202" t="str">
        <f>VLOOKUP(D165,[3]CSR!$D$4:$E$1159,2,FALSE)</f>
        <v>CSR_11409</v>
      </c>
      <c r="G165" s="203" t="s">
        <v>1323</v>
      </c>
      <c r="H165" s="208">
        <v>4</v>
      </c>
      <c r="I165" s="205">
        <f t="shared" si="2"/>
        <v>0.21052631578947367</v>
      </c>
      <c r="J165" s="199" t="s">
        <v>1081</v>
      </c>
      <c r="K165" s="204"/>
    </row>
    <row r="166" spans="1:11" ht="16">
      <c r="A166" s="198" t="s">
        <v>1171</v>
      </c>
      <c r="B166" s="199" t="s">
        <v>31</v>
      </c>
      <c r="C166" s="199" t="s">
        <v>759</v>
      </c>
      <c r="D166" s="200" t="s">
        <v>764</v>
      </c>
      <c r="E166" s="201" t="s">
        <v>1324</v>
      </c>
      <c r="F166" s="202" t="str">
        <f>VLOOKUP(D166,[3]CSR!$D$4:$E$1159,2,FALSE)</f>
        <v>CSR_30200</v>
      </c>
      <c r="G166" s="203" t="s">
        <v>1323</v>
      </c>
      <c r="H166" s="208">
        <v>2</v>
      </c>
      <c r="I166" s="205">
        <f t="shared" si="2"/>
        <v>0.10526315789473684</v>
      </c>
      <c r="J166" s="206" t="s">
        <v>1081</v>
      </c>
      <c r="K166" s="204"/>
    </row>
    <row r="167" spans="1:11" ht="16">
      <c r="A167" s="198" t="s">
        <v>915</v>
      </c>
      <c r="B167" s="213" t="s">
        <v>775</v>
      </c>
      <c r="C167" s="213" t="s">
        <v>175</v>
      </c>
      <c r="D167" s="214" t="s">
        <v>789</v>
      </c>
      <c r="E167" s="210" t="s">
        <v>1325</v>
      </c>
      <c r="F167" s="202" t="str">
        <f>VLOOKUP(D167,[3]CSR!$D$4:$E$1159,2,FALSE)</f>
        <v>CSR_40700</v>
      </c>
      <c r="G167" s="203" t="s">
        <v>1326</v>
      </c>
      <c r="H167" s="208">
        <v>1</v>
      </c>
      <c r="I167" s="205">
        <f t="shared" si="2"/>
        <v>5.2631578947368418E-2</v>
      </c>
      <c r="J167" s="199" t="s">
        <v>1081</v>
      </c>
      <c r="K167" s="204"/>
    </row>
    <row r="168" spans="1:11" ht="16">
      <c r="A168" s="198" t="s">
        <v>915</v>
      </c>
      <c r="B168" s="213" t="s">
        <v>775</v>
      </c>
      <c r="C168" s="213" t="s">
        <v>175</v>
      </c>
      <c r="D168" s="208" t="s">
        <v>1327</v>
      </c>
      <c r="E168" s="201" t="s">
        <v>1328</v>
      </c>
      <c r="F168" s="202" t="str">
        <f>VLOOKUP(D168,[3]CSR!$D$4:$E$1159,2,FALSE)</f>
        <v>CSR_40800</v>
      </c>
      <c r="G168" s="203" t="s">
        <v>1326</v>
      </c>
      <c r="H168" s="208">
        <v>1</v>
      </c>
      <c r="I168" s="205">
        <f t="shared" si="2"/>
        <v>5.2631578947368418E-2</v>
      </c>
      <c r="J168" s="199" t="s">
        <v>1081</v>
      </c>
      <c r="K168" s="204"/>
    </row>
    <row r="169" spans="1:11" ht="16">
      <c r="A169" s="198" t="s">
        <v>915</v>
      </c>
      <c r="B169" s="198" t="s">
        <v>16</v>
      </c>
      <c r="C169" s="198" t="s">
        <v>17</v>
      </c>
      <c r="D169" s="208" t="s">
        <v>653</v>
      </c>
      <c r="E169" s="201" t="s">
        <v>1329</v>
      </c>
      <c r="F169" s="202" t="str">
        <f>VLOOKUP(D169,[3]CSR!$D$4:$E$1159,2,FALSE)</f>
        <v>CSR_11303</v>
      </c>
      <c r="G169" s="203" t="s">
        <v>1233</v>
      </c>
      <c r="H169" s="208">
        <v>1</v>
      </c>
      <c r="I169" s="205">
        <f t="shared" si="2"/>
        <v>5.2631578947368418E-2</v>
      </c>
      <c r="J169" s="199" t="s">
        <v>1081</v>
      </c>
      <c r="K169" s="204"/>
    </row>
    <row r="170" spans="1:11" ht="16">
      <c r="A170" s="198" t="s">
        <v>915</v>
      </c>
      <c r="B170" s="198" t="s">
        <v>16</v>
      </c>
      <c r="C170" s="198" t="s">
        <v>17</v>
      </c>
      <c r="D170" s="208" t="s">
        <v>653</v>
      </c>
      <c r="E170" s="201" t="s">
        <v>1330</v>
      </c>
      <c r="F170" s="202" t="str">
        <f>VLOOKUP(D170,[3]CSR!$D$4:$E$1159,2,FALSE)</f>
        <v>CSR_11303</v>
      </c>
      <c r="G170" s="203" t="s">
        <v>1331</v>
      </c>
      <c r="H170" s="208">
        <v>3</v>
      </c>
      <c r="I170" s="205">
        <f t="shared" si="2"/>
        <v>0.15789473684210525</v>
      </c>
      <c r="J170" s="199" t="s">
        <v>1081</v>
      </c>
      <c r="K170" s="204"/>
    </row>
    <row r="171" spans="1:11" ht="48">
      <c r="A171" s="198" t="s">
        <v>915</v>
      </c>
      <c r="B171" s="199" t="s">
        <v>16</v>
      </c>
      <c r="C171" s="199" t="s">
        <v>616</v>
      </c>
      <c r="D171" s="208" t="s">
        <v>131</v>
      </c>
      <c r="E171" s="201" t="s">
        <v>1332</v>
      </c>
      <c r="F171" s="202" t="str">
        <f>VLOOKUP(D171,[3]CSR!$D$4:$E$1159,2,FALSE)</f>
        <v>CSR_10400</v>
      </c>
      <c r="G171" s="203" t="s">
        <v>1240</v>
      </c>
      <c r="H171" s="208">
        <v>3</v>
      </c>
      <c r="I171" s="205">
        <f t="shared" si="2"/>
        <v>0.15789473684210525</v>
      </c>
      <c r="J171" s="199" t="s">
        <v>1081</v>
      </c>
      <c r="K171" s="204"/>
    </row>
    <row r="172" spans="1:11" ht="16">
      <c r="A172" s="198" t="s">
        <v>1171</v>
      </c>
      <c r="B172" s="198" t="s">
        <v>16</v>
      </c>
      <c r="C172" s="198" t="s">
        <v>17</v>
      </c>
      <c r="D172" s="208" t="s">
        <v>710</v>
      </c>
      <c r="E172" s="201" t="s">
        <v>1322</v>
      </c>
      <c r="F172" s="202" t="str">
        <f>VLOOKUP(D172,[3]CSR!$D$4:$E$1159,2,FALSE)</f>
        <v>CSR_11409</v>
      </c>
      <c r="G172" s="203" t="s">
        <v>1333</v>
      </c>
      <c r="H172" s="208">
        <v>3</v>
      </c>
      <c r="I172" s="205">
        <f t="shared" si="2"/>
        <v>0.15789473684210525</v>
      </c>
      <c r="J172" s="199" t="s">
        <v>1098</v>
      </c>
      <c r="K172" s="204"/>
    </row>
    <row r="173" spans="1:11" ht="16">
      <c r="A173" s="198" t="s">
        <v>915</v>
      </c>
      <c r="B173" s="198" t="s">
        <v>16</v>
      </c>
      <c r="C173" s="198" t="s">
        <v>616</v>
      </c>
      <c r="D173" s="208" t="s">
        <v>1300</v>
      </c>
      <c r="E173" s="201" t="s">
        <v>1334</v>
      </c>
      <c r="F173" s="202" t="str">
        <f>VLOOKUP(D173,[3]CSR!$D$4:$E$1159,2,FALSE)</f>
        <v>CSR_20005</v>
      </c>
      <c r="G173" s="203" t="s">
        <v>1233</v>
      </c>
      <c r="H173" s="208">
        <v>3</v>
      </c>
      <c r="I173" s="205">
        <f t="shared" si="2"/>
        <v>0.15789473684210525</v>
      </c>
      <c r="J173" s="199" t="s">
        <v>1098</v>
      </c>
      <c r="K173" s="204"/>
    </row>
    <row r="174" spans="1:11" ht="16">
      <c r="A174" s="198" t="s">
        <v>915</v>
      </c>
      <c r="B174" s="198" t="s">
        <v>16</v>
      </c>
      <c r="C174" s="198" t="s">
        <v>17</v>
      </c>
      <c r="D174" s="208" t="s">
        <v>751</v>
      </c>
      <c r="E174" s="201" t="s">
        <v>1335</v>
      </c>
      <c r="F174" s="202" t="str">
        <f>VLOOKUP(D174,[3]CSR!$D$4:$E$1159,2,FALSE)</f>
        <v>CSR_20100</v>
      </c>
      <c r="G174" s="203" t="s">
        <v>1235</v>
      </c>
      <c r="H174" s="208">
        <v>4</v>
      </c>
      <c r="I174" s="205">
        <f t="shared" si="2"/>
        <v>0.21052631578947367</v>
      </c>
      <c r="J174" s="199" t="s">
        <v>1098</v>
      </c>
      <c r="K174" s="204"/>
    </row>
    <row r="175" spans="1:11" ht="16">
      <c r="A175" s="198" t="s">
        <v>915</v>
      </c>
      <c r="B175" s="198" t="s">
        <v>16</v>
      </c>
      <c r="C175" s="198" t="s">
        <v>17</v>
      </c>
      <c r="D175" s="208" t="s">
        <v>635</v>
      </c>
      <c r="E175" s="201" t="s">
        <v>1336</v>
      </c>
      <c r="F175" s="202" t="str">
        <f>VLOOKUP(D175,[3]CSR!$D$4:$E$1159,2,FALSE)</f>
        <v>CSR_10800</v>
      </c>
      <c r="G175" s="203" t="s">
        <v>1240</v>
      </c>
      <c r="H175" s="208">
        <v>4</v>
      </c>
      <c r="I175" s="205">
        <f t="shared" si="2"/>
        <v>0.21052631578947367</v>
      </c>
      <c r="J175" s="199" t="s">
        <v>1098</v>
      </c>
      <c r="K175" s="204"/>
    </row>
    <row r="176" spans="1:11" ht="16">
      <c r="A176" s="198" t="s">
        <v>915</v>
      </c>
      <c r="B176" s="198" t="s">
        <v>16</v>
      </c>
      <c r="C176" s="198" t="s">
        <v>17</v>
      </c>
      <c r="D176" s="208" t="s">
        <v>635</v>
      </c>
      <c r="E176" s="201" t="s">
        <v>1337</v>
      </c>
      <c r="F176" s="202" t="str">
        <f>VLOOKUP(D176,[3]CSR!$D$4:$E$1159,2,FALSE)</f>
        <v>CSR_10800</v>
      </c>
      <c r="G176" s="203" t="s">
        <v>1338</v>
      </c>
      <c r="H176" s="208">
        <v>3</v>
      </c>
      <c r="I176" s="205">
        <f t="shared" si="2"/>
        <v>0.15789473684210525</v>
      </c>
      <c r="J176" s="199" t="s">
        <v>1098</v>
      </c>
      <c r="K176" s="204"/>
    </row>
    <row r="177" spans="1:11" ht="32">
      <c r="A177" s="198" t="s">
        <v>915</v>
      </c>
      <c r="B177" s="199" t="s">
        <v>758</v>
      </c>
      <c r="C177" s="199" t="s">
        <v>759</v>
      </c>
      <c r="D177" s="200" t="s">
        <v>880</v>
      </c>
      <c r="E177" s="201" t="s">
        <v>842</v>
      </c>
      <c r="F177" s="202" t="str">
        <f>VLOOKUP(D177,[3]CSR!$D$4:$E$1159,2,FALSE)</f>
        <v>CSR_30600</v>
      </c>
      <c r="G177" s="203">
        <v>46090</v>
      </c>
      <c r="H177" s="208">
        <v>5</v>
      </c>
      <c r="I177" s="205">
        <f t="shared" si="2"/>
        <v>0.26315789473684209</v>
      </c>
      <c r="J177" s="206" t="s">
        <v>881</v>
      </c>
      <c r="K177" s="204"/>
    </row>
    <row r="178" spans="1:11" ht="16">
      <c r="A178" s="198" t="s">
        <v>1171</v>
      </c>
      <c r="B178" s="199" t="s">
        <v>31</v>
      </c>
      <c r="C178" s="199" t="s">
        <v>32</v>
      </c>
      <c r="D178" s="208" t="s">
        <v>33</v>
      </c>
      <c r="E178" s="210" t="s">
        <v>1339</v>
      </c>
      <c r="F178" s="202" t="str">
        <f>VLOOKUP(D178,[3]CSR!$D$4:$E$1159,2,FALSE)</f>
        <v>CSR_30200</v>
      </c>
      <c r="G178" s="203">
        <v>46080</v>
      </c>
      <c r="H178" s="204">
        <v>2</v>
      </c>
      <c r="I178" s="205">
        <f t="shared" si="2"/>
        <v>0.10526315789473684</v>
      </c>
      <c r="J178" s="206" t="s">
        <v>324</v>
      </c>
      <c r="K178" s="204"/>
    </row>
    <row r="179" spans="1:11" ht="16">
      <c r="A179" s="198" t="s">
        <v>1171</v>
      </c>
      <c r="B179" s="199" t="s">
        <v>31</v>
      </c>
      <c r="C179" s="199" t="s">
        <v>32</v>
      </c>
      <c r="D179" s="208" t="s">
        <v>33</v>
      </c>
      <c r="E179" s="210" t="s">
        <v>1340</v>
      </c>
      <c r="F179" s="202" t="str">
        <f>VLOOKUP(D179,[3]CSR!$D$4:$E$1159,2,FALSE)</f>
        <v>CSR_30200</v>
      </c>
      <c r="G179" s="203">
        <v>46080</v>
      </c>
      <c r="H179" s="204">
        <v>2</v>
      </c>
      <c r="I179" s="205">
        <f t="shared" si="2"/>
        <v>0.10526315789473684</v>
      </c>
      <c r="J179" s="206" t="s">
        <v>324</v>
      </c>
      <c r="K179" s="204"/>
    </row>
    <row r="180" spans="1:11" ht="16">
      <c r="A180" s="198" t="s">
        <v>1171</v>
      </c>
      <c r="B180" s="199" t="s">
        <v>758</v>
      </c>
      <c r="C180" s="199" t="s">
        <v>769</v>
      </c>
      <c r="D180" s="208" t="s">
        <v>337</v>
      </c>
      <c r="E180" s="201" t="s">
        <v>1341</v>
      </c>
      <c r="F180" s="202" t="str">
        <f>VLOOKUP(D180,[3]CSR!$D$4:$E$1159,2,FALSE)</f>
        <v>CSR_30800</v>
      </c>
      <c r="G180" s="203">
        <v>46080</v>
      </c>
      <c r="H180" s="204">
        <v>1</v>
      </c>
      <c r="I180" s="205">
        <f t="shared" si="2"/>
        <v>5.2631578947368418E-2</v>
      </c>
      <c r="J180" s="206" t="s">
        <v>324</v>
      </c>
      <c r="K180" s="204"/>
    </row>
    <row r="181" spans="1:11" ht="32">
      <c r="A181" s="198" t="s">
        <v>915</v>
      </c>
      <c r="B181" s="199" t="s">
        <v>16</v>
      </c>
      <c r="C181" s="199" t="s">
        <v>616</v>
      </c>
      <c r="D181" s="208" t="s">
        <v>713</v>
      </c>
      <c r="E181" s="201" t="s">
        <v>1342</v>
      </c>
      <c r="F181" s="202" t="str">
        <f>VLOOKUP(D181,[3]CSR!$D$4:$E$1159,2,FALSE)</f>
        <v>CSR_11410</v>
      </c>
      <c r="G181" s="203">
        <v>46087</v>
      </c>
      <c r="H181" s="208">
        <v>4</v>
      </c>
      <c r="I181" s="205">
        <f t="shared" si="2"/>
        <v>0.21052631578947367</v>
      </c>
      <c r="J181" s="206" t="s">
        <v>324</v>
      </c>
      <c r="K181" s="204"/>
    </row>
    <row r="182" spans="1:11" ht="32">
      <c r="A182" s="198" t="s">
        <v>915</v>
      </c>
      <c r="B182" s="199" t="s">
        <v>16</v>
      </c>
      <c r="C182" s="199" t="s">
        <v>616</v>
      </c>
      <c r="D182" s="200" t="s">
        <v>1177</v>
      </c>
      <c r="E182" s="210" t="s">
        <v>1343</v>
      </c>
      <c r="F182" s="202" t="str">
        <f>VLOOKUP(D182,[3]CSR!$D$4:$E$1159,2,FALSE)</f>
        <v>CSR_11312</v>
      </c>
      <c r="G182" s="203">
        <v>46094</v>
      </c>
      <c r="H182" s="204">
        <v>3</v>
      </c>
      <c r="I182" s="205">
        <f t="shared" si="2"/>
        <v>0.15789473684210525</v>
      </c>
      <c r="J182" s="206" t="s">
        <v>324</v>
      </c>
      <c r="K182" s="204"/>
    </row>
    <row r="183" spans="1:11" ht="16">
      <c r="A183" s="198" t="s">
        <v>915</v>
      </c>
      <c r="B183" s="199" t="s">
        <v>16</v>
      </c>
      <c r="C183" s="199" t="s">
        <v>616</v>
      </c>
      <c r="D183" s="208" t="s">
        <v>1177</v>
      </c>
      <c r="E183" s="210" t="s">
        <v>1344</v>
      </c>
      <c r="F183" s="202" t="str">
        <f>VLOOKUP(D183,[3]CSR!$D$4:$E$1159,2,FALSE)</f>
        <v>CSR_11312</v>
      </c>
      <c r="G183" s="203">
        <v>46094</v>
      </c>
      <c r="H183" s="204">
        <v>2</v>
      </c>
      <c r="I183" s="205">
        <f t="shared" si="2"/>
        <v>0.10526315789473684</v>
      </c>
      <c r="J183" s="206" t="s">
        <v>324</v>
      </c>
      <c r="K183" s="204"/>
    </row>
    <row r="184" spans="1:11" ht="16">
      <c r="A184" s="198" t="s">
        <v>915</v>
      </c>
      <c r="B184" s="199" t="s">
        <v>1167</v>
      </c>
      <c r="C184" s="199" t="s">
        <v>245</v>
      </c>
      <c r="D184" s="207" t="s">
        <v>246</v>
      </c>
      <c r="E184" s="218" t="s">
        <v>1345</v>
      </c>
      <c r="F184" s="202" t="str">
        <f>VLOOKUP(D184,[3]CSR!$D$4:$E$1159,2,FALSE)</f>
        <v>CSR_20000</v>
      </c>
      <c r="G184" s="203">
        <v>46101</v>
      </c>
      <c r="H184" s="204">
        <v>3</v>
      </c>
      <c r="I184" s="205">
        <f t="shared" si="2"/>
        <v>0.15789473684210525</v>
      </c>
      <c r="J184" s="217" t="s">
        <v>324</v>
      </c>
      <c r="K184" s="218"/>
    </row>
    <row r="185" spans="1:11" ht="32">
      <c r="A185" s="198" t="s">
        <v>915</v>
      </c>
      <c r="B185" s="199" t="s">
        <v>31</v>
      </c>
      <c r="C185" s="199" t="s">
        <v>32</v>
      </c>
      <c r="D185" s="208" t="s">
        <v>33</v>
      </c>
      <c r="E185" s="201" t="s">
        <v>1346</v>
      </c>
      <c r="F185" s="202" t="str">
        <f>VLOOKUP(D185,[3]CSR!$D$4:$E$1159,2,FALSE)</f>
        <v>CSR_30200</v>
      </c>
      <c r="G185" s="203">
        <v>46101</v>
      </c>
      <c r="H185" s="204">
        <v>2</v>
      </c>
      <c r="I185" s="205">
        <f t="shared" si="2"/>
        <v>0.10526315789473684</v>
      </c>
      <c r="J185" s="199" t="s">
        <v>324</v>
      </c>
      <c r="K185" s="204"/>
    </row>
    <row r="186" spans="1:11" ht="32">
      <c r="A186" s="198" t="s">
        <v>1171</v>
      </c>
      <c r="B186" s="199" t="s">
        <v>16</v>
      </c>
      <c r="C186" s="199" t="s">
        <v>616</v>
      </c>
      <c r="D186" s="208" t="s">
        <v>131</v>
      </c>
      <c r="E186" s="201" t="s">
        <v>1347</v>
      </c>
      <c r="F186" s="202" t="str">
        <f>VLOOKUP(D186,[3]CSR!$D$4:$E$1159,2,FALSE)</f>
        <v>CSR_10400</v>
      </c>
      <c r="G186" s="203">
        <v>46080</v>
      </c>
      <c r="H186" s="204">
        <v>3</v>
      </c>
      <c r="I186" s="205">
        <f t="shared" si="2"/>
        <v>0.15789473684210525</v>
      </c>
      <c r="J186" s="206" t="s">
        <v>335</v>
      </c>
      <c r="K186" s="204"/>
    </row>
    <row r="187" spans="1:11" ht="32">
      <c r="A187" s="198" t="s">
        <v>1171</v>
      </c>
      <c r="B187" s="199" t="s">
        <v>16</v>
      </c>
      <c r="C187" s="199" t="s">
        <v>616</v>
      </c>
      <c r="D187" s="200" t="s">
        <v>1172</v>
      </c>
      <c r="E187" s="201" t="s">
        <v>1348</v>
      </c>
      <c r="F187" s="202" t="str">
        <f>VLOOKUP(D187,[3]CSR!$D$4:$E$1159,2,FALSE)</f>
        <v>CSR_11409</v>
      </c>
      <c r="G187" s="203">
        <v>46080</v>
      </c>
      <c r="H187" s="204">
        <v>2</v>
      </c>
      <c r="I187" s="205">
        <f t="shared" si="2"/>
        <v>0.10526315789473684</v>
      </c>
      <c r="J187" s="199" t="s">
        <v>335</v>
      </c>
      <c r="K187" s="204"/>
    </row>
    <row r="188" spans="1:11" ht="64">
      <c r="A188" s="198" t="s">
        <v>915</v>
      </c>
      <c r="B188" s="199" t="s">
        <v>16</v>
      </c>
      <c r="C188" s="199" t="s">
        <v>616</v>
      </c>
      <c r="D188" s="208" t="s">
        <v>713</v>
      </c>
      <c r="E188" s="210" t="s">
        <v>1349</v>
      </c>
      <c r="F188" s="202" t="str">
        <f>VLOOKUP(D188,[3]CSR!$D$4:$E$1159,2,FALSE)</f>
        <v>CSR_11410</v>
      </c>
      <c r="G188" s="203">
        <v>46087</v>
      </c>
      <c r="H188" s="204">
        <v>4</v>
      </c>
      <c r="I188" s="205">
        <f t="shared" si="2"/>
        <v>0.21052631578947367</v>
      </c>
      <c r="J188" s="206" t="s">
        <v>335</v>
      </c>
      <c r="K188" s="208"/>
    </row>
    <row r="189" spans="1:11" ht="80">
      <c r="A189" s="198" t="s">
        <v>915</v>
      </c>
      <c r="B189" s="199" t="s">
        <v>16</v>
      </c>
      <c r="C189" s="199" t="s">
        <v>616</v>
      </c>
      <c r="D189" s="237" t="s">
        <v>713</v>
      </c>
      <c r="E189" s="210" t="s">
        <v>1350</v>
      </c>
      <c r="F189" s="202" t="str">
        <f>VLOOKUP(D189,[3]CSR!$D$4:$E$1159,2,FALSE)</f>
        <v>CSR_11410</v>
      </c>
      <c r="G189" s="203">
        <v>46094</v>
      </c>
      <c r="H189" s="204">
        <v>4</v>
      </c>
      <c r="I189" s="205">
        <f t="shared" si="2"/>
        <v>0.21052631578947367</v>
      </c>
      <c r="J189" s="199" t="s">
        <v>335</v>
      </c>
      <c r="K189" s="204"/>
    </row>
    <row r="190" spans="1:11" ht="16">
      <c r="A190" s="198" t="s">
        <v>915</v>
      </c>
      <c r="B190" s="199" t="s">
        <v>758</v>
      </c>
      <c r="C190" s="199" t="s">
        <v>769</v>
      </c>
      <c r="D190" s="207" t="s">
        <v>357</v>
      </c>
      <c r="E190" s="218" t="s">
        <v>1351</v>
      </c>
      <c r="F190" s="202" t="str">
        <f>VLOOKUP(D190,[3]CSR!$D$4:$E$1159,2,FALSE)</f>
        <v>CSR_30700</v>
      </c>
      <c r="G190" s="203">
        <v>46094</v>
      </c>
      <c r="H190" s="204">
        <v>1</v>
      </c>
      <c r="I190" s="205">
        <f t="shared" si="2"/>
        <v>5.2631578947368418E-2</v>
      </c>
      <c r="J190" s="217" t="s">
        <v>335</v>
      </c>
      <c r="K190" s="204"/>
    </row>
    <row r="191" spans="1:11" ht="48">
      <c r="A191" s="198" t="s">
        <v>915</v>
      </c>
      <c r="B191" s="199" t="s">
        <v>16</v>
      </c>
      <c r="C191" s="199" t="s">
        <v>616</v>
      </c>
      <c r="D191" s="207" t="s">
        <v>1252</v>
      </c>
      <c r="E191" s="226" t="s">
        <v>1352</v>
      </c>
      <c r="F191" s="202" t="str">
        <f>VLOOKUP(D191,[3]CSR!$D$4:$E$1159,2,FALSE)</f>
        <v>CSR_11411</v>
      </c>
      <c r="G191" s="228">
        <v>46101</v>
      </c>
      <c r="H191" s="212">
        <v>3</v>
      </c>
      <c r="I191" s="205">
        <f t="shared" si="2"/>
        <v>0.15789473684210525</v>
      </c>
      <c r="J191" s="211" t="s">
        <v>335</v>
      </c>
      <c r="K191" s="204"/>
    </row>
    <row r="192" spans="1:11" ht="16">
      <c r="A192" s="198" t="s">
        <v>915</v>
      </c>
      <c r="B192" s="199" t="s">
        <v>31</v>
      </c>
      <c r="C192" s="199" t="s">
        <v>336</v>
      </c>
      <c r="D192" s="200" t="s">
        <v>357</v>
      </c>
      <c r="E192" s="201" t="s">
        <v>1353</v>
      </c>
      <c r="F192" s="202" t="str">
        <f>VLOOKUP(D192,[3]CSR!$D$4:$E$1159,2,FALSE)</f>
        <v>CSR_30700</v>
      </c>
      <c r="G192" s="203">
        <v>46101</v>
      </c>
      <c r="H192" s="208">
        <v>2</v>
      </c>
      <c r="I192" s="205">
        <f t="shared" si="2"/>
        <v>0.10526315789473684</v>
      </c>
      <c r="J192" s="206" t="s">
        <v>335</v>
      </c>
      <c r="K192" s="229"/>
    </row>
    <row r="193" spans="1:11" ht="16">
      <c r="A193" s="198" t="s">
        <v>1171</v>
      </c>
      <c r="B193" s="230" t="s">
        <v>31</v>
      </c>
      <c r="C193" s="230" t="s">
        <v>32</v>
      </c>
      <c r="D193" s="221" t="s">
        <v>33</v>
      </c>
      <c r="E193" s="238" t="s">
        <v>1354</v>
      </c>
      <c r="F193" s="202" t="str">
        <f>VLOOKUP(D193,[3]CSR!$D$4:$E$1159,2,FALSE)</f>
        <v>CSR_30200</v>
      </c>
      <c r="G193" s="228">
        <v>46080</v>
      </c>
      <c r="H193" s="239">
        <v>2</v>
      </c>
      <c r="I193" s="205">
        <f t="shared" si="2"/>
        <v>0.10526315789473684</v>
      </c>
      <c r="J193" s="232" t="s">
        <v>351</v>
      </c>
      <c r="K193" s="204"/>
    </row>
    <row r="194" spans="1:11" ht="16">
      <c r="A194" s="198" t="s">
        <v>1171</v>
      </c>
      <c r="B194" s="199" t="s">
        <v>758</v>
      </c>
      <c r="C194" s="199" t="s">
        <v>769</v>
      </c>
      <c r="D194" s="208" t="s">
        <v>770</v>
      </c>
      <c r="E194" s="201" t="s">
        <v>1355</v>
      </c>
      <c r="F194" s="202" t="str">
        <f>VLOOKUP(D194,[3]CSR!$D$4:$E$1159,2,FALSE)</f>
        <v>CSR_30700</v>
      </c>
      <c r="G194" s="203">
        <v>46080</v>
      </c>
      <c r="H194" s="204">
        <v>1</v>
      </c>
      <c r="I194" s="205">
        <f t="shared" ref="I194:I234" si="3">H194*10/190</f>
        <v>5.2631578947368418E-2</v>
      </c>
      <c r="J194" s="206" t="s">
        <v>351</v>
      </c>
      <c r="K194" s="204"/>
    </row>
    <row r="195" spans="1:11" ht="16">
      <c r="A195" s="198" t="s">
        <v>1171</v>
      </c>
      <c r="B195" s="199" t="s">
        <v>758</v>
      </c>
      <c r="C195" s="199" t="s">
        <v>769</v>
      </c>
      <c r="D195" s="208" t="s">
        <v>770</v>
      </c>
      <c r="E195" s="201" t="s">
        <v>1356</v>
      </c>
      <c r="F195" s="202" t="str">
        <f>VLOOKUP(D195,[3]CSR!$D$4:$E$1159,2,FALSE)</f>
        <v>CSR_30700</v>
      </c>
      <c r="G195" s="203">
        <v>46080</v>
      </c>
      <c r="H195" s="208">
        <v>1</v>
      </c>
      <c r="I195" s="205">
        <f t="shared" si="3"/>
        <v>5.2631578947368418E-2</v>
      </c>
      <c r="J195" s="206" t="s">
        <v>351</v>
      </c>
      <c r="K195" s="204"/>
    </row>
    <row r="196" spans="1:11" ht="32">
      <c r="A196" s="198" t="s">
        <v>915</v>
      </c>
      <c r="B196" s="199" t="s">
        <v>16</v>
      </c>
      <c r="C196" s="199" t="s">
        <v>616</v>
      </c>
      <c r="D196" s="200" t="s">
        <v>1172</v>
      </c>
      <c r="E196" s="201" t="s">
        <v>1185</v>
      </c>
      <c r="F196" s="202" t="str">
        <f>VLOOKUP(D196,[3]CSR!$D$4:$E$1159,2,FALSE)</f>
        <v>CSR_11409</v>
      </c>
      <c r="G196" s="203">
        <v>46087</v>
      </c>
      <c r="H196" s="204">
        <v>2</v>
      </c>
      <c r="I196" s="205">
        <f t="shared" si="3"/>
        <v>0.10526315789473684</v>
      </c>
      <c r="J196" s="206" t="s">
        <v>351</v>
      </c>
      <c r="K196" s="204"/>
    </row>
    <row r="197" spans="1:11" ht="32">
      <c r="A197" s="198" t="s">
        <v>915</v>
      </c>
      <c r="B197" s="199" t="s">
        <v>16</v>
      </c>
      <c r="C197" s="199" t="s">
        <v>616</v>
      </c>
      <c r="D197" s="208" t="s">
        <v>713</v>
      </c>
      <c r="E197" s="201" t="s">
        <v>1357</v>
      </c>
      <c r="F197" s="202" t="str">
        <f>VLOOKUP(D197,[3]CSR!$D$4:$E$1159,2,FALSE)</f>
        <v>CSR_11410</v>
      </c>
      <c r="G197" s="203">
        <v>46087</v>
      </c>
      <c r="H197" s="208">
        <v>3</v>
      </c>
      <c r="I197" s="205">
        <f t="shared" si="3"/>
        <v>0.15789473684210525</v>
      </c>
      <c r="J197" s="206" t="s">
        <v>351</v>
      </c>
      <c r="K197" s="204"/>
    </row>
    <row r="198" spans="1:11" ht="16">
      <c r="A198" s="198" t="s">
        <v>915</v>
      </c>
      <c r="B198" s="199" t="s">
        <v>758</v>
      </c>
      <c r="C198" s="199" t="s">
        <v>769</v>
      </c>
      <c r="D198" s="200" t="s">
        <v>357</v>
      </c>
      <c r="E198" s="218" t="s">
        <v>1358</v>
      </c>
      <c r="F198" s="202" t="str">
        <f>VLOOKUP(D198,[3]CSR!$D$4:$E$1159,2,FALSE)</f>
        <v>CSR_30700</v>
      </c>
      <c r="G198" s="228">
        <v>46094</v>
      </c>
      <c r="H198" s="204">
        <v>2</v>
      </c>
      <c r="I198" s="205">
        <f t="shared" si="3"/>
        <v>0.10526315789473684</v>
      </c>
      <c r="J198" s="206" t="s">
        <v>351</v>
      </c>
      <c r="K198" s="204"/>
    </row>
    <row r="199" spans="1:11" ht="16">
      <c r="A199" s="198" t="s">
        <v>915</v>
      </c>
      <c r="B199" s="199" t="s">
        <v>758</v>
      </c>
      <c r="C199" s="199" t="s">
        <v>769</v>
      </c>
      <c r="D199" s="208" t="s">
        <v>770</v>
      </c>
      <c r="E199" s="210" t="s">
        <v>1359</v>
      </c>
      <c r="F199" s="202" t="str">
        <f>VLOOKUP(D199,[3]CSR!$D$4:$E$1159,2,FALSE)</f>
        <v>CSR_30700</v>
      </c>
      <c r="G199" s="203">
        <v>46094</v>
      </c>
      <c r="H199" s="204">
        <v>1</v>
      </c>
      <c r="I199" s="205">
        <f t="shared" si="3"/>
        <v>5.2631578947368418E-2</v>
      </c>
      <c r="J199" s="206" t="s">
        <v>351</v>
      </c>
      <c r="K199" s="204"/>
    </row>
    <row r="200" spans="1:11" ht="16">
      <c r="A200" s="198" t="s">
        <v>915</v>
      </c>
      <c r="B200" s="199" t="s">
        <v>758</v>
      </c>
      <c r="C200" s="199" t="s">
        <v>769</v>
      </c>
      <c r="D200" s="208" t="s">
        <v>770</v>
      </c>
      <c r="E200" s="227" t="s">
        <v>1360</v>
      </c>
      <c r="F200" s="202" t="str">
        <f>VLOOKUP(D200,[3]CSR!$D$4:$E$1159,2,FALSE)</f>
        <v>CSR_30700</v>
      </c>
      <c r="G200" s="203">
        <v>46094</v>
      </c>
      <c r="H200" s="204">
        <v>1</v>
      </c>
      <c r="I200" s="205">
        <f t="shared" si="3"/>
        <v>5.2631578947368418E-2</v>
      </c>
      <c r="J200" s="206" t="s">
        <v>351</v>
      </c>
      <c r="K200" s="204"/>
    </row>
    <row r="201" spans="1:11" ht="32">
      <c r="A201" s="198" t="s">
        <v>915</v>
      </c>
      <c r="B201" s="199" t="s">
        <v>758</v>
      </c>
      <c r="C201" s="199" t="s">
        <v>769</v>
      </c>
      <c r="D201" s="200" t="s">
        <v>357</v>
      </c>
      <c r="E201" s="210" t="s">
        <v>1361</v>
      </c>
      <c r="F201" s="202" t="str">
        <f>VLOOKUP(D201,[3]CSR!$D$4:$E$1159,2,FALSE)</f>
        <v>CSR_30700</v>
      </c>
      <c r="G201" s="203">
        <v>46094</v>
      </c>
      <c r="H201" s="204">
        <v>1</v>
      </c>
      <c r="I201" s="205">
        <f t="shared" si="3"/>
        <v>5.2631578947368418E-2</v>
      </c>
      <c r="J201" s="217" t="s">
        <v>351</v>
      </c>
      <c r="K201" s="204"/>
    </row>
    <row r="202" spans="1:11" ht="32">
      <c r="A202" s="198" t="s">
        <v>915</v>
      </c>
      <c r="B202" s="199" t="s">
        <v>16</v>
      </c>
      <c r="C202" s="199" t="s">
        <v>616</v>
      </c>
      <c r="D202" s="200" t="s">
        <v>1189</v>
      </c>
      <c r="E202" s="201" t="s">
        <v>1362</v>
      </c>
      <c r="F202" s="202" t="str">
        <f>VLOOKUP(D202,[3]CSR!$D$4:$E$1159,2,FALSE)</f>
        <v>CSR_11310</v>
      </c>
      <c r="G202" s="203">
        <v>46101</v>
      </c>
      <c r="H202" s="208">
        <v>3</v>
      </c>
      <c r="I202" s="205">
        <f t="shared" si="3"/>
        <v>0.15789473684210525</v>
      </c>
      <c r="J202" s="206" t="s">
        <v>351</v>
      </c>
      <c r="K202" s="204"/>
    </row>
    <row r="203" spans="1:11" ht="32">
      <c r="A203" s="198" t="s">
        <v>915</v>
      </c>
      <c r="B203" s="199" t="s">
        <v>31</v>
      </c>
      <c r="C203" s="199" t="s">
        <v>32</v>
      </c>
      <c r="D203" s="200" t="s">
        <v>33</v>
      </c>
      <c r="E203" s="201" t="s">
        <v>1363</v>
      </c>
      <c r="F203" s="202" t="str">
        <f>VLOOKUP(D203,[3]CSR!$D$4:$E$1159,2,FALSE)</f>
        <v>CSR_30200</v>
      </c>
      <c r="G203" s="203">
        <v>46101</v>
      </c>
      <c r="H203" s="208">
        <v>2</v>
      </c>
      <c r="I203" s="205">
        <f t="shared" si="3"/>
        <v>0.10526315789473684</v>
      </c>
      <c r="J203" s="206" t="s">
        <v>351</v>
      </c>
      <c r="K203" s="204"/>
    </row>
    <row r="204" spans="1:11" ht="16">
      <c r="A204" s="198" t="s">
        <v>1171</v>
      </c>
      <c r="B204" s="199" t="s">
        <v>1167</v>
      </c>
      <c r="C204" s="199" t="s">
        <v>730</v>
      </c>
      <c r="D204" s="208" t="s">
        <v>731</v>
      </c>
      <c r="E204" s="210" t="s">
        <v>1364</v>
      </c>
      <c r="F204" s="202" t="str">
        <f>VLOOKUP(D204,[3]CSR!$D$4:$E$1159,2,FALSE)</f>
        <v>CSR_20000</v>
      </c>
      <c r="G204" s="203">
        <v>46080</v>
      </c>
      <c r="H204" s="204">
        <v>1</v>
      </c>
      <c r="I204" s="205">
        <f t="shared" si="3"/>
        <v>5.2631578947368418E-2</v>
      </c>
      <c r="J204" s="206" t="s">
        <v>364</v>
      </c>
      <c r="K204" s="204"/>
    </row>
    <row r="205" spans="1:11" ht="16">
      <c r="A205" s="198" t="s">
        <v>1171</v>
      </c>
      <c r="B205" s="199" t="s">
        <v>758</v>
      </c>
      <c r="C205" s="199" t="s">
        <v>769</v>
      </c>
      <c r="D205" s="208" t="s">
        <v>770</v>
      </c>
      <c r="E205" s="210" t="s">
        <v>1365</v>
      </c>
      <c r="F205" s="202" t="str">
        <f>VLOOKUP(D205,[3]CSR!$D$4:$E$1159,2,FALSE)</f>
        <v>CSR_30700</v>
      </c>
      <c r="G205" s="203">
        <v>46080</v>
      </c>
      <c r="H205" s="204">
        <v>1</v>
      </c>
      <c r="I205" s="205">
        <f t="shared" si="3"/>
        <v>5.2631578947368418E-2</v>
      </c>
      <c r="J205" s="206" t="s">
        <v>364</v>
      </c>
      <c r="K205" s="204"/>
    </row>
    <row r="206" spans="1:11" ht="16">
      <c r="A206" s="198" t="s">
        <v>1171</v>
      </c>
      <c r="B206" s="199" t="s">
        <v>758</v>
      </c>
      <c r="C206" s="199" t="s">
        <v>769</v>
      </c>
      <c r="D206" s="208" t="s">
        <v>770</v>
      </c>
      <c r="E206" s="210" t="s">
        <v>1366</v>
      </c>
      <c r="F206" s="202" t="str">
        <f>VLOOKUP(D206,[3]CSR!$D$4:$E$1159,2,FALSE)</f>
        <v>CSR_30700</v>
      </c>
      <c r="G206" s="203">
        <v>46080</v>
      </c>
      <c r="H206" s="204">
        <v>2</v>
      </c>
      <c r="I206" s="205">
        <f t="shared" si="3"/>
        <v>0.10526315789473684</v>
      </c>
      <c r="J206" s="206" t="s">
        <v>364</v>
      </c>
      <c r="K206" s="204"/>
    </row>
    <row r="207" spans="1:11" ht="32">
      <c r="A207" s="198" t="s">
        <v>1171</v>
      </c>
      <c r="B207" s="199" t="s">
        <v>31</v>
      </c>
      <c r="C207" s="199" t="s">
        <v>32</v>
      </c>
      <c r="D207" s="208" t="s">
        <v>33</v>
      </c>
      <c r="E207" s="201" t="s">
        <v>1367</v>
      </c>
      <c r="F207" s="202" t="str">
        <f>VLOOKUP(D207,[3]CSR!$D$4:$E$1159,2,FALSE)</f>
        <v>CSR_30200</v>
      </c>
      <c r="G207" s="203">
        <v>46080</v>
      </c>
      <c r="H207" s="204">
        <v>1</v>
      </c>
      <c r="I207" s="205">
        <f t="shared" si="3"/>
        <v>5.2631578947368418E-2</v>
      </c>
      <c r="J207" s="206" t="s">
        <v>364</v>
      </c>
      <c r="K207" s="204"/>
    </row>
    <row r="208" spans="1:11" ht="32">
      <c r="A208" s="198" t="s">
        <v>915</v>
      </c>
      <c r="B208" s="199" t="s">
        <v>16</v>
      </c>
      <c r="C208" s="199" t="s">
        <v>616</v>
      </c>
      <c r="D208" s="208" t="s">
        <v>713</v>
      </c>
      <c r="E208" s="201" t="s">
        <v>1368</v>
      </c>
      <c r="F208" s="202" t="str">
        <f>VLOOKUP(D208,[3]CSR!$D$4:$E$1159,2,FALSE)</f>
        <v>CSR_11410</v>
      </c>
      <c r="G208" s="203">
        <v>46087</v>
      </c>
      <c r="H208" s="204">
        <v>4</v>
      </c>
      <c r="I208" s="205">
        <f t="shared" si="3"/>
        <v>0.21052631578947367</v>
      </c>
      <c r="J208" s="206" t="s">
        <v>364</v>
      </c>
      <c r="K208" s="204"/>
    </row>
    <row r="209" spans="1:11" ht="32">
      <c r="A209" s="198" t="s">
        <v>915</v>
      </c>
      <c r="B209" s="199" t="s">
        <v>16</v>
      </c>
      <c r="C209" s="199" t="s">
        <v>616</v>
      </c>
      <c r="D209" s="215" t="s">
        <v>131</v>
      </c>
      <c r="E209" s="201" t="s">
        <v>1369</v>
      </c>
      <c r="F209" s="202" t="str">
        <f>VLOOKUP(D209,[3]CSR!$D$4:$E$1159,2,FALSE)</f>
        <v>CSR_10400</v>
      </c>
      <c r="G209" s="203">
        <v>46094</v>
      </c>
      <c r="H209" s="204">
        <v>3</v>
      </c>
      <c r="I209" s="205">
        <f t="shared" si="3"/>
        <v>0.15789473684210525</v>
      </c>
      <c r="J209" s="206" t="s">
        <v>364</v>
      </c>
      <c r="K209" s="204"/>
    </row>
    <row r="210" spans="1:11" ht="16">
      <c r="A210" s="198" t="s">
        <v>915</v>
      </c>
      <c r="B210" s="199" t="s">
        <v>758</v>
      </c>
      <c r="C210" s="199" t="s">
        <v>769</v>
      </c>
      <c r="D210" s="208" t="s">
        <v>770</v>
      </c>
      <c r="E210" s="210" t="s">
        <v>1370</v>
      </c>
      <c r="F210" s="202" t="str">
        <f>VLOOKUP(D210,[3]CSR!$D$4:$E$1159,2,FALSE)</f>
        <v>CSR_30700</v>
      </c>
      <c r="G210" s="203">
        <v>46094</v>
      </c>
      <c r="H210" s="204">
        <v>2</v>
      </c>
      <c r="I210" s="205">
        <f t="shared" si="3"/>
        <v>0.10526315789473684</v>
      </c>
      <c r="J210" s="206" t="s">
        <v>364</v>
      </c>
      <c r="K210" s="212"/>
    </row>
    <row r="211" spans="1:11" ht="32">
      <c r="A211" s="198" t="s">
        <v>915</v>
      </c>
      <c r="B211" s="199" t="s">
        <v>1167</v>
      </c>
      <c r="C211" s="213" t="s">
        <v>245</v>
      </c>
      <c r="D211" s="207" t="s">
        <v>1300</v>
      </c>
      <c r="E211" s="210" t="s">
        <v>1371</v>
      </c>
      <c r="F211" s="202" t="str">
        <f>VLOOKUP(D211,[3]CSR!$D$4:$E$1159,2,FALSE)</f>
        <v>CSR_20005</v>
      </c>
      <c r="G211" s="203">
        <v>46101</v>
      </c>
      <c r="H211" s="212">
        <v>3</v>
      </c>
      <c r="I211" s="205">
        <f t="shared" si="3"/>
        <v>0.15789473684210525</v>
      </c>
      <c r="J211" s="211" t="s">
        <v>364</v>
      </c>
      <c r="K211" s="204"/>
    </row>
    <row r="212" spans="1:11" ht="16">
      <c r="A212" s="198" t="s">
        <v>915</v>
      </c>
      <c r="B212" s="199" t="s">
        <v>31</v>
      </c>
      <c r="C212" s="199" t="s">
        <v>336</v>
      </c>
      <c r="D212" s="200" t="s">
        <v>357</v>
      </c>
      <c r="E212" s="201" t="s">
        <v>1372</v>
      </c>
      <c r="F212" s="202" t="str">
        <f>VLOOKUP(D212,[3]CSR!$D$4:$E$1159,2,FALSE)</f>
        <v>CSR_30700</v>
      </c>
      <c r="G212" s="203">
        <v>46101</v>
      </c>
      <c r="H212" s="208">
        <v>2</v>
      </c>
      <c r="I212" s="205">
        <f t="shared" si="3"/>
        <v>0.10526315789473684</v>
      </c>
      <c r="J212" s="206" t="s">
        <v>364</v>
      </c>
      <c r="K212" s="204"/>
    </row>
    <row r="213" spans="1:11" ht="32">
      <c r="A213" s="198" t="s">
        <v>1171</v>
      </c>
      <c r="B213" s="199" t="s">
        <v>16</v>
      </c>
      <c r="C213" s="199" t="s">
        <v>616</v>
      </c>
      <c r="D213" s="200" t="s">
        <v>1172</v>
      </c>
      <c r="E213" s="201" t="s">
        <v>1173</v>
      </c>
      <c r="F213" s="202" t="str">
        <f>VLOOKUP(D213,[3]CSR!$D$4:$E$1159,2,FALSE)</f>
        <v>CSR_11409</v>
      </c>
      <c r="G213" s="203">
        <v>46080</v>
      </c>
      <c r="H213" s="204">
        <v>2</v>
      </c>
      <c r="I213" s="205">
        <f t="shared" si="3"/>
        <v>0.10526315789473684</v>
      </c>
      <c r="J213" s="206" t="s">
        <v>375</v>
      </c>
      <c r="K213" s="204"/>
    </row>
    <row r="214" spans="1:11" ht="16">
      <c r="A214" s="198" t="s">
        <v>1171</v>
      </c>
      <c r="B214" s="199" t="s">
        <v>49</v>
      </c>
      <c r="C214" s="199" t="s">
        <v>175</v>
      </c>
      <c r="D214" s="208" t="s">
        <v>1327</v>
      </c>
      <c r="E214" s="210" t="s">
        <v>1373</v>
      </c>
      <c r="F214" s="202" t="str">
        <f>VLOOKUP(D214,[3]CSR!$D$4:$E$1159,2,FALSE)</f>
        <v>CSR_40800</v>
      </c>
      <c r="G214" s="203">
        <v>46080</v>
      </c>
      <c r="H214" s="204">
        <v>3</v>
      </c>
      <c r="I214" s="205">
        <f t="shared" si="3"/>
        <v>0.15789473684210525</v>
      </c>
      <c r="J214" s="199" t="s">
        <v>375</v>
      </c>
      <c r="K214" s="204"/>
    </row>
    <row r="215" spans="1:11" ht="64">
      <c r="A215" s="198" t="s">
        <v>915</v>
      </c>
      <c r="B215" s="199" t="s">
        <v>16</v>
      </c>
      <c r="C215" s="199" t="s">
        <v>616</v>
      </c>
      <c r="D215" s="208" t="s">
        <v>713</v>
      </c>
      <c r="E215" s="210" t="s">
        <v>1349</v>
      </c>
      <c r="F215" s="202" t="str">
        <f>VLOOKUP(D215,[3]CSR!$D$4:$E$1159,2,FALSE)</f>
        <v>CSR_11410</v>
      </c>
      <c r="G215" s="203">
        <v>46087</v>
      </c>
      <c r="H215" s="204">
        <v>4</v>
      </c>
      <c r="I215" s="205">
        <f t="shared" si="3"/>
        <v>0.21052631578947367</v>
      </c>
      <c r="J215" s="206" t="s">
        <v>375</v>
      </c>
      <c r="K215" s="204"/>
    </row>
    <row r="216" spans="1:11" ht="80">
      <c r="A216" s="198" t="s">
        <v>915</v>
      </c>
      <c r="B216" s="199" t="s">
        <v>16</v>
      </c>
      <c r="C216" s="199" t="s">
        <v>616</v>
      </c>
      <c r="D216" s="208" t="s">
        <v>713</v>
      </c>
      <c r="E216" s="210" t="s">
        <v>1350</v>
      </c>
      <c r="F216" s="202" t="str">
        <f>VLOOKUP(D216,[3]CSR!$D$4:$E$1159,2,FALSE)</f>
        <v>CSR_11410</v>
      </c>
      <c r="G216" s="203">
        <v>46094</v>
      </c>
      <c r="H216" s="208">
        <v>4</v>
      </c>
      <c r="I216" s="205">
        <f t="shared" si="3"/>
        <v>0.21052631578947367</v>
      </c>
      <c r="J216" s="206" t="s">
        <v>375</v>
      </c>
      <c r="K216" s="204"/>
    </row>
    <row r="217" spans="1:11" ht="32">
      <c r="A217" s="198" t="s">
        <v>915</v>
      </c>
      <c r="B217" s="199" t="s">
        <v>16</v>
      </c>
      <c r="C217" s="199" t="s">
        <v>616</v>
      </c>
      <c r="D217" s="200" t="s">
        <v>18</v>
      </c>
      <c r="E217" s="218" t="s">
        <v>1374</v>
      </c>
      <c r="F217" s="202" t="s">
        <v>20</v>
      </c>
      <c r="G217" s="203">
        <v>46094</v>
      </c>
      <c r="H217" s="208">
        <v>1</v>
      </c>
      <c r="I217" s="205">
        <f t="shared" si="3"/>
        <v>5.2631578947368418E-2</v>
      </c>
      <c r="J217" s="217" t="s">
        <v>375</v>
      </c>
      <c r="K217" s="212"/>
    </row>
    <row r="218" spans="1:11" ht="64">
      <c r="A218" s="198" t="s">
        <v>915</v>
      </c>
      <c r="B218" s="199" t="s">
        <v>16</v>
      </c>
      <c r="C218" s="199" t="s">
        <v>616</v>
      </c>
      <c r="D218" s="207" t="s">
        <v>1252</v>
      </c>
      <c r="E218" s="226" t="s">
        <v>1375</v>
      </c>
      <c r="F218" s="202" t="str">
        <f>VLOOKUP(D218,[3]CSR!$D$4:$E$1159,2,FALSE)</f>
        <v>CSR_11411</v>
      </c>
      <c r="G218" s="203">
        <v>46101</v>
      </c>
      <c r="H218" s="212">
        <v>5</v>
      </c>
      <c r="I218" s="205">
        <f t="shared" si="3"/>
        <v>0.26315789473684209</v>
      </c>
      <c r="J218" s="211" t="s">
        <v>375</v>
      </c>
      <c r="K218" s="204"/>
    </row>
    <row r="219" spans="1:11" ht="32">
      <c r="A219" s="198" t="s">
        <v>1171</v>
      </c>
      <c r="B219" s="199" t="s">
        <v>16</v>
      </c>
      <c r="C219" s="199" t="s">
        <v>616</v>
      </c>
      <c r="D219" s="200" t="s">
        <v>1172</v>
      </c>
      <c r="E219" s="201" t="s">
        <v>1173</v>
      </c>
      <c r="F219" s="202" t="str">
        <f>VLOOKUP(D219,[3]CSR!$D$4:$E$1159,2,FALSE)</f>
        <v>CSR_11409</v>
      </c>
      <c r="G219" s="203">
        <v>46080</v>
      </c>
      <c r="H219" s="204">
        <v>4</v>
      </c>
      <c r="I219" s="205">
        <f t="shared" si="3"/>
        <v>0.21052631578947367</v>
      </c>
      <c r="J219" s="206" t="s">
        <v>386</v>
      </c>
      <c r="K219" s="218"/>
    </row>
    <row r="220" spans="1:11" ht="16">
      <c r="A220" s="198" t="s">
        <v>1171</v>
      </c>
      <c r="B220" s="199" t="s">
        <v>758</v>
      </c>
      <c r="C220" s="199" t="s">
        <v>769</v>
      </c>
      <c r="D220" s="208" t="s">
        <v>770</v>
      </c>
      <c r="E220" s="210" t="s">
        <v>1376</v>
      </c>
      <c r="F220" s="202" t="str">
        <f>VLOOKUP(D220,[3]CSR!$D$4:$E$1159,2,FALSE)</f>
        <v>CSR_30700</v>
      </c>
      <c r="G220" s="203">
        <v>46080</v>
      </c>
      <c r="H220" s="204">
        <v>1</v>
      </c>
      <c r="I220" s="205">
        <f t="shared" si="3"/>
        <v>5.2631578947368418E-2</v>
      </c>
      <c r="J220" s="206" t="s">
        <v>386</v>
      </c>
      <c r="K220" s="204"/>
    </row>
    <row r="221" spans="1:11" ht="64">
      <c r="A221" s="198" t="s">
        <v>915</v>
      </c>
      <c r="B221" s="199" t="s">
        <v>16</v>
      </c>
      <c r="C221" s="199" t="s">
        <v>616</v>
      </c>
      <c r="D221" s="208" t="s">
        <v>713</v>
      </c>
      <c r="E221" s="210" t="s">
        <v>1349</v>
      </c>
      <c r="F221" s="202" t="str">
        <f>VLOOKUP(D221,[3]CSR!$D$4:$E$1159,2,FALSE)</f>
        <v>CSR_11410</v>
      </c>
      <c r="G221" s="203">
        <v>46087</v>
      </c>
      <c r="H221" s="204">
        <v>4</v>
      </c>
      <c r="I221" s="205">
        <f t="shared" si="3"/>
        <v>0.21052631578947367</v>
      </c>
      <c r="J221" s="206" t="s">
        <v>386</v>
      </c>
      <c r="K221" s="204"/>
    </row>
    <row r="222" spans="1:11" ht="80">
      <c r="A222" s="198" t="s">
        <v>915</v>
      </c>
      <c r="B222" s="199" t="s">
        <v>16</v>
      </c>
      <c r="C222" s="199" t="s">
        <v>616</v>
      </c>
      <c r="D222" s="208" t="s">
        <v>713</v>
      </c>
      <c r="E222" s="210" t="s">
        <v>1350</v>
      </c>
      <c r="F222" s="202" t="str">
        <f>VLOOKUP(D222,[3]CSR!$D$4:$E$1159,2,FALSE)</f>
        <v>CSR_11410</v>
      </c>
      <c r="G222" s="203">
        <v>46094</v>
      </c>
      <c r="H222" s="208">
        <v>4</v>
      </c>
      <c r="I222" s="205">
        <f t="shared" si="3"/>
        <v>0.21052631578947367</v>
      </c>
      <c r="J222" s="199" t="s">
        <v>386</v>
      </c>
      <c r="K222" s="204"/>
    </row>
    <row r="223" spans="1:11" ht="32">
      <c r="A223" s="198" t="s">
        <v>915</v>
      </c>
      <c r="B223" s="199" t="s">
        <v>16</v>
      </c>
      <c r="C223" s="199" t="s">
        <v>616</v>
      </c>
      <c r="D223" s="200" t="s">
        <v>18</v>
      </c>
      <c r="E223" s="218" t="s">
        <v>1377</v>
      </c>
      <c r="F223" s="202" t="s">
        <v>20</v>
      </c>
      <c r="G223" s="203">
        <v>46094</v>
      </c>
      <c r="H223" s="208">
        <v>1</v>
      </c>
      <c r="I223" s="205">
        <f t="shared" si="3"/>
        <v>5.2631578947368418E-2</v>
      </c>
      <c r="J223" s="217" t="s">
        <v>386</v>
      </c>
      <c r="K223" s="212"/>
    </row>
    <row r="224" spans="1:11" ht="32">
      <c r="A224" s="198" t="s">
        <v>915</v>
      </c>
      <c r="B224" s="199" t="s">
        <v>16</v>
      </c>
      <c r="C224" s="199" t="s">
        <v>616</v>
      </c>
      <c r="D224" s="172" t="s">
        <v>18</v>
      </c>
      <c r="E224" s="210" t="s">
        <v>1378</v>
      </c>
      <c r="F224" s="202" t="s">
        <v>20</v>
      </c>
      <c r="G224" s="203">
        <v>46101</v>
      </c>
      <c r="H224" s="212">
        <v>3</v>
      </c>
      <c r="I224" s="205">
        <f t="shared" si="3"/>
        <v>0.15789473684210525</v>
      </c>
      <c r="J224" s="211" t="s">
        <v>386</v>
      </c>
      <c r="K224" s="204"/>
    </row>
    <row r="225" spans="1:11" ht="32">
      <c r="A225" s="198" t="s">
        <v>915</v>
      </c>
      <c r="B225" s="199" t="s">
        <v>49</v>
      </c>
      <c r="C225" s="199" t="s">
        <v>50</v>
      </c>
      <c r="D225" s="208" t="s">
        <v>1181</v>
      </c>
      <c r="E225" s="210" t="s">
        <v>1379</v>
      </c>
      <c r="F225" s="202" t="str">
        <f>VLOOKUP(D225,[3]CSR!$D$4:$E$1159,2,FALSE)</f>
        <v>CSR_41103</v>
      </c>
      <c r="G225" s="203">
        <v>46101</v>
      </c>
      <c r="H225" s="204">
        <v>2</v>
      </c>
      <c r="I225" s="205">
        <f t="shared" si="3"/>
        <v>0.10526315789473684</v>
      </c>
      <c r="J225" s="199" t="s">
        <v>386</v>
      </c>
      <c r="K225" s="218"/>
    </row>
    <row r="226" spans="1:11" ht="16">
      <c r="A226" s="198" t="s">
        <v>1171</v>
      </c>
      <c r="B226" s="199" t="s">
        <v>758</v>
      </c>
      <c r="C226" s="199" t="s">
        <v>769</v>
      </c>
      <c r="D226" s="208" t="s">
        <v>770</v>
      </c>
      <c r="E226" s="210" t="s">
        <v>1380</v>
      </c>
      <c r="F226" s="202" t="str">
        <f>VLOOKUP(D226,[3]CSR!$D$4:$E$1159,2,FALSE)</f>
        <v>CSR_30700</v>
      </c>
      <c r="G226" s="203">
        <v>46080</v>
      </c>
      <c r="H226" s="204">
        <v>3</v>
      </c>
      <c r="I226" s="205">
        <f t="shared" si="3"/>
        <v>0.15789473684210525</v>
      </c>
      <c r="J226" s="199" t="s">
        <v>395</v>
      </c>
      <c r="K226" s="204"/>
    </row>
    <row r="227" spans="1:11" ht="16">
      <c r="A227" s="198" t="s">
        <v>1171</v>
      </c>
      <c r="B227" s="199" t="s">
        <v>31</v>
      </c>
      <c r="C227" s="199" t="s">
        <v>32</v>
      </c>
      <c r="D227" s="200" t="s">
        <v>33</v>
      </c>
      <c r="E227" s="210" t="s">
        <v>1381</v>
      </c>
      <c r="F227" s="202" t="str">
        <f>VLOOKUP(D227,[3]CSR!$D$4:$E$1159,2,FALSE)</f>
        <v>CSR_30200</v>
      </c>
      <c r="G227" s="203">
        <v>46080</v>
      </c>
      <c r="H227" s="204">
        <v>1</v>
      </c>
      <c r="I227" s="205">
        <f t="shared" si="3"/>
        <v>5.2631578947368418E-2</v>
      </c>
      <c r="J227" s="206" t="s">
        <v>395</v>
      </c>
      <c r="K227" s="204"/>
    </row>
    <row r="228" spans="1:11" ht="64">
      <c r="A228" s="198" t="s">
        <v>915</v>
      </c>
      <c r="B228" s="199" t="s">
        <v>16</v>
      </c>
      <c r="C228" s="199" t="s">
        <v>616</v>
      </c>
      <c r="D228" s="208" t="s">
        <v>713</v>
      </c>
      <c r="E228" s="210" t="s">
        <v>1349</v>
      </c>
      <c r="F228" s="202" t="str">
        <f>VLOOKUP(D228,[3]CSR!$D$4:$E$1159,2,FALSE)</f>
        <v>CSR_11410</v>
      </c>
      <c r="G228" s="203">
        <v>46087</v>
      </c>
      <c r="H228" s="204">
        <v>4</v>
      </c>
      <c r="I228" s="205">
        <f t="shared" si="3"/>
        <v>0.21052631578947367</v>
      </c>
      <c r="J228" s="217" t="s">
        <v>395</v>
      </c>
      <c r="K228" s="204"/>
    </row>
    <row r="229" spans="1:11" ht="32">
      <c r="A229" s="198" t="s">
        <v>915</v>
      </c>
      <c r="B229" s="199" t="s">
        <v>16</v>
      </c>
      <c r="C229" s="199" t="s">
        <v>616</v>
      </c>
      <c r="D229" s="200" t="s">
        <v>18</v>
      </c>
      <c r="E229" s="218" t="s">
        <v>1374</v>
      </c>
      <c r="F229" s="202" t="s">
        <v>20</v>
      </c>
      <c r="G229" s="203">
        <v>46087</v>
      </c>
      <c r="H229" s="208">
        <v>1</v>
      </c>
      <c r="I229" s="205">
        <f t="shared" si="3"/>
        <v>5.2631578947368418E-2</v>
      </c>
      <c r="J229" s="217" t="s">
        <v>395</v>
      </c>
      <c r="K229" s="204"/>
    </row>
    <row r="230" spans="1:11" ht="80">
      <c r="A230" s="198" t="s">
        <v>915</v>
      </c>
      <c r="B230" s="199" t="s">
        <v>16</v>
      </c>
      <c r="C230" s="199" t="s">
        <v>616</v>
      </c>
      <c r="D230" s="208" t="s">
        <v>713</v>
      </c>
      <c r="E230" s="210" t="s">
        <v>1350</v>
      </c>
      <c r="F230" s="202" t="str">
        <f>VLOOKUP(D230,[3]CSR!$D$4:$E$1159,2,FALSE)</f>
        <v>CSR_11410</v>
      </c>
      <c r="G230" s="203">
        <v>46094</v>
      </c>
      <c r="H230" s="208">
        <v>4</v>
      </c>
      <c r="I230" s="205">
        <f t="shared" si="3"/>
        <v>0.21052631578947367</v>
      </c>
      <c r="J230" s="206" t="s">
        <v>395</v>
      </c>
      <c r="K230" s="204"/>
    </row>
    <row r="231" spans="1:11" ht="16">
      <c r="A231" s="198" t="s">
        <v>915</v>
      </c>
      <c r="B231" s="199" t="s">
        <v>1167</v>
      </c>
      <c r="C231" s="199" t="s">
        <v>730</v>
      </c>
      <c r="D231" s="208" t="s">
        <v>246</v>
      </c>
      <c r="E231" s="218" t="s">
        <v>1382</v>
      </c>
      <c r="F231" s="202" t="str">
        <f>VLOOKUP(D231,[3]CSR!$D$4:$E$1159,2,FALSE)</f>
        <v>CSR_20000</v>
      </c>
      <c r="G231" s="203">
        <v>46094</v>
      </c>
      <c r="H231" s="204">
        <v>1</v>
      </c>
      <c r="I231" s="205">
        <f t="shared" si="3"/>
        <v>5.2631578947368418E-2</v>
      </c>
      <c r="J231" s="206" t="s">
        <v>395</v>
      </c>
      <c r="K231" s="204"/>
    </row>
    <row r="232" spans="1:11" ht="64">
      <c r="A232" s="198" t="s">
        <v>915</v>
      </c>
      <c r="B232" s="199" t="s">
        <v>16</v>
      </c>
      <c r="C232" s="199" t="s">
        <v>616</v>
      </c>
      <c r="D232" s="207" t="s">
        <v>1252</v>
      </c>
      <c r="E232" s="226" t="s">
        <v>1375</v>
      </c>
      <c r="F232" s="202" t="str">
        <f>VLOOKUP(D232,[3]CSR!$D$4:$E$1159,2,FALSE)</f>
        <v>CSR_11411</v>
      </c>
      <c r="G232" s="203">
        <v>46101</v>
      </c>
      <c r="H232" s="204">
        <v>5</v>
      </c>
      <c r="I232" s="205">
        <f t="shared" si="3"/>
        <v>0.26315789473684209</v>
      </c>
      <c r="J232" s="206" t="s">
        <v>395</v>
      </c>
      <c r="K232" s="204"/>
    </row>
    <row r="233" spans="1:11" ht="16">
      <c r="A233" s="198" t="s">
        <v>915</v>
      </c>
      <c r="B233" s="199" t="s">
        <v>1167</v>
      </c>
      <c r="C233" s="199" t="s">
        <v>730</v>
      </c>
      <c r="D233" s="208" t="s">
        <v>751</v>
      </c>
      <c r="E233" s="231" t="s">
        <v>1383</v>
      </c>
      <c r="F233" s="202" t="str">
        <f>VLOOKUP(D233,[3]CSR!$D$4:$E$1159,2,FALSE)</f>
        <v>CSR_20100</v>
      </c>
      <c r="G233" s="203">
        <v>46093</v>
      </c>
      <c r="H233" s="229">
        <v>2</v>
      </c>
      <c r="I233" s="205">
        <f t="shared" si="3"/>
        <v>0.10526315789473684</v>
      </c>
      <c r="J233" s="199" t="s">
        <v>914</v>
      </c>
      <c r="K233" s="229"/>
    </row>
    <row r="234" spans="1:11" ht="16">
      <c r="A234" s="198" t="s">
        <v>915</v>
      </c>
      <c r="B234" s="199" t="s">
        <v>1167</v>
      </c>
      <c r="C234" s="199" t="s">
        <v>730</v>
      </c>
      <c r="D234" s="208" t="s">
        <v>1300</v>
      </c>
      <c r="E234" s="231" t="s">
        <v>1384</v>
      </c>
      <c r="F234" s="202" t="str">
        <f>VLOOKUP(D234,[3]CSR!$D$4:$E$1159,2,FALSE)</f>
        <v>CSR_20005</v>
      </c>
      <c r="G234" s="203">
        <v>46097</v>
      </c>
      <c r="H234" s="229">
        <v>2</v>
      </c>
      <c r="I234" s="205">
        <f t="shared" si="3"/>
        <v>0.10526315789473684</v>
      </c>
      <c r="J234" s="206" t="s">
        <v>914</v>
      </c>
      <c r="K234" s="229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S209"/>
  <sheetViews>
    <sheetView zoomScaleNormal="100" workbookViewId="0">
      <selection activeCell="F219" sqref="F219"/>
    </sheetView>
  </sheetViews>
  <sheetFormatPr baseColWidth="10" defaultColWidth="9" defaultRowHeight="15"/>
  <cols>
    <col min="1" max="1" width="6.6640625" style="21" bestFit="1" customWidth="1"/>
    <col min="2" max="2" width="12.83203125" style="19" bestFit="1" customWidth="1"/>
    <col min="3" max="3" width="20.33203125" style="19" customWidth="1"/>
    <col min="4" max="4" width="55.5" style="19" bestFit="1" customWidth="1"/>
    <col min="5" max="5" width="43.83203125" style="19" customWidth="1"/>
    <col min="6" max="6" width="9.6640625" style="19" customWidth="1"/>
    <col min="7" max="7" width="9.6640625" style="21" customWidth="1"/>
    <col min="8" max="8" width="9.6640625" style="19" customWidth="1"/>
    <col min="9" max="9" width="9.6640625" style="222" customWidth="1"/>
    <col min="10" max="10" width="17.83203125" style="21" customWidth="1"/>
    <col min="11" max="11" width="9.6640625" style="19" customWidth="1"/>
    <col min="12" max="19" width="9" style="197"/>
    <col min="20" max="16384" width="9" style="247"/>
  </cols>
  <sheetData>
    <row r="1" spans="1:11" ht="16">
      <c r="A1" s="223" t="s">
        <v>815</v>
      </c>
      <c r="B1" s="223" t="s">
        <v>589</v>
      </c>
      <c r="C1" s="223" t="s">
        <v>590</v>
      </c>
      <c r="D1" s="223" t="s">
        <v>591</v>
      </c>
      <c r="E1" s="223" t="s">
        <v>816</v>
      </c>
      <c r="F1" s="223" t="s">
        <v>817</v>
      </c>
      <c r="G1" s="223" t="s">
        <v>8</v>
      </c>
      <c r="H1" s="223" t="s">
        <v>818</v>
      </c>
      <c r="I1" s="224" t="s">
        <v>819</v>
      </c>
      <c r="J1" s="223" t="s">
        <v>820</v>
      </c>
      <c r="K1" s="223" t="s">
        <v>588</v>
      </c>
    </row>
    <row r="2" spans="1:11" s="197" customFormat="1" ht="48" hidden="1">
      <c r="A2" s="198" t="s">
        <v>1385</v>
      </c>
      <c r="B2" s="199" t="s">
        <v>16</v>
      </c>
      <c r="C2" s="199" t="s">
        <v>616</v>
      </c>
      <c r="D2" s="208" t="s">
        <v>1386</v>
      </c>
      <c r="E2" s="210" t="s">
        <v>1387</v>
      </c>
      <c r="F2" s="202" t="str">
        <f>VLOOKUP(D2,CSR!$D$4:$E$1180,2,FALSE)</f>
        <v>CSR_11408</v>
      </c>
      <c r="G2" s="203">
        <v>46052</v>
      </c>
      <c r="H2" s="204">
        <v>3</v>
      </c>
      <c r="I2" s="205">
        <f t="shared" ref="I2:I65" si="0">H2*10/190</f>
        <v>0.15789473684210525</v>
      </c>
      <c r="J2" s="206" t="s">
        <v>22</v>
      </c>
      <c r="K2" s="204"/>
    </row>
    <row r="3" spans="1:11" s="197" customFormat="1" ht="32" hidden="1">
      <c r="A3" s="198" t="s">
        <v>1385</v>
      </c>
      <c r="B3" s="199" t="s">
        <v>31</v>
      </c>
      <c r="C3" s="199" t="s">
        <v>32</v>
      </c>
      <c r="D3" s="208" t="s">
        <v>199</v>
      </c>
      <c r="E3" s="210" t="s">
        <v>1388</v>
      </c>
      <c r="F3" s="202" t="str">
        <f>VLOOKUP(D3,CSR!$D$4:$E$1180,2,FALSE)</f>
        <v>CSR_30000</v>
      </c>
      <c r="G3" s="203">
        <v>46052</v>
      </c>
      <c r="H3" s="204">
        <v>1</v>
      </c>
      <c r="I3" s="205">
        <f t="shared" si="0"/>
        <v>5.2631578947368418E-2</v>
      </c>
      <c r="J3" s="206" t="s">
        <v>22</v>
      </c>
      <c r="K3" s="204"/>
    </row>
    <row r="4" spans="1:11" s="197" customFormat="1" ht="32" hidden="1">
      <c r="A4" s="198" t="s">
        <v>1385</v>
      </c>
      <c r="B4" s="199" t="s">
        <v>31</v>
      </c>
      <c r="C4" s="199" t="s">
        <v>32</v>
      </c>
      <c r="D4" s="208" t="s">
        <v>33</v>
      </c>
      <c r="E4" s="210" t="s">
        <v>1389</v>
      </c>
      <c r="F4" s="202" t="str">
        <f>VLOOKUP(D4,CSR!$D$4:$E$1180,2,FALSE)</f>
        <v>CSR_30200</v>
      </c>
      <c r="G4" s="203">
        <v>46052</v>
      </c>
      <c r="H4" s="204">
        <v>1</v>
      </c>
      <c r="I4" s="205">
        <f t="shared" si="0"/>
        <v>5.2631578947368418E-2</v>
      </c>
      <c r="J4" s="199" t="s">
        <v>22</v>
      </c>
      <c r="K4" s="204"/>
    </row>
    <row r="5" spans="1:11" s="197" customFormat="1" ht="48" hidden="1">
      <c r="A5" s="198" t="s">
        <v>1171</v>
      </c>
      <c r="B5" s="199" t="s">
        <v>16</v>
      </c>
      <c r="C5" s="199" t="s">
        <v>616</v>
      </c>
      <c r="D5" s="208" t="s">
        <v>1386</v>
      </c>
      <c r="E5" s="210" t="s">
        <v>1390</v>
      </c>
      <c r="F5" s="202" t="str">
        <f>VLOOKUP(D5,CSR!$D$4:$E$1180,2,FALSE)</f>
        <v>CSR_11408</v>
      </c>
      <c r="G5" s="203">
        <v>46059</v>
      </c>
      <c r="H5" s="204">
        <v>3</v>
      </c>
      <c r="I5" s="205">
        <f t="shared" si="0"/>
        <v>0.15789473684210525</v>
      </c>
      <c r="J5" s="206" t="s">
        <v>22</v>
      </c>
      <c r="K5" s="204"/>
    </row>
    <row r="6" spans="1:11" s="197" customFormat="1" ht="32" hidden="1">
      <c r="A6" s="198" t="s">
        <v>1171</v>
      </c>
      <c r="B6" s="199" t="s">
        <v>31</v>
      </c>
      <c r="C6" s="199" t="s">
        <v>32</v>
      </c>
      <c r="D6" s="208" t="s">
        <v>199</v>
      </c>
      <c r="E6" s="210" t="s">
        <v>1391</v>
      </c>
      <c r="F6" s="202" t="str">
        <f>VLOOKUP(D6,CSR!$D$4:$E$1180,2,FALSE)</f>
        <v>CSR_30000</v>
      </c>
      <c r="G6" s="203">
        <v>46059</v>
      </c>
      <c r="H6" s="204">
        <v>2</v>
      </c>
      <c r="I6" s="205">
        <f t="shared" si="0"/>
        <v>0.10526315789473684</v>
      </c>
      <c r="J6" s="206" t="s">
        <v>22</v>
      </c>
      <c r="K6" s="204"/>
    </row>
    <row r="7" spans="1:11" s="197" customFormat="1" ht="32" hidden="1">
      <c r="A7" s="198" t="s">
        <v>1171</v>
      </c>
      <c r="B7" s="199" t="s">
        <v>16</v>
      </c>
      <c r="C7" s="199" t="s">
        <v>616</v>
      </c>
      <c r="D7" s="200" t="s">
        <v>1172</v>
      </c>
      <c r="E7" s="201" t="s">
        <v>1392</v>
      </c>
      <c r="F7" s="202" t="str">
        <f>VLOOKUP(D7,CSR!$D$4:$E$1180,2,FALSE)</f>
        <v>CSR_11409</v>
      </c>
      <c r="G7" s="203">
        <v>46066</v>
      </c>
      <c r="H7" s="204">
        <v>3</v>
      </c>
      <c r="I7" s="205">
        <f t="shared" si="0"/>
        <v>0.15789473684210525</v>
      </c>
      <c r="J7" s="206" t="s">
        <v>22</v>
      </c>
      <c r="K7" s="204"/>
    </row>
    <row r="8" spans="1:11" s="197" customFormat="1" ht="32" hidden="1">
      <c r="A8" s="198" t="s">
        <v>1171</v>
      </c>
      <c r="B8" s="199" t="s">
        <v>31</v>
      </c>
      <c r="C8" s="199" t="s">
        <v>32</v>
      </c>
      <c r="D8" s="208" t="s">
        <v>199</v>
      </c>
      <c r="E8" s="210" t="s">
        <v>1393</v>
      </c>
      <c r="F8" s="202" t="str">
        <f>VLOOKUP(D8,CSR!$D$4:$E$1180,2,FALSE)</f>
        <v>CSR_30000</v>
      </c>
      <c r="G8" s="203">
        <v>46066</v>
      </c>
      <c r="H8" s="204">
        <v>2</v>
      </c>
      <c r="I8" s="205">
        <f t="shared" si="0"/>
        <v>0.10526315789473684</v>
      </c>
      <c r="J8" s="206" t="s">
        <v>22</v>
      </c>
      <c r="K8" s="204"/>
    </row>
    <row r="9" spans="1:11" s="197" customFormat="1" ht="32" hidden="1">
      <c r="A9" s="198" t="s">
        <v>1171</v>
      </c>
      <c r="B9" s="199" t="s">
        <v>16</v>
      </c>
      <c r="C9" s="199" t="s">
        <v>616</v>
      </c>
      <c r="D9" s="200" t="s">
        <v>1172</v>
      </c>
      <c r="E9" s="201" t="s">
        <v>1394</v>
      </c>
      <c r="F9" s="202" t="str">
        <f>VLOOKUP(D9,CSR!$D$4:$E$1180,2,FALSE)</f>
        <v>CSR_11409</v>
      </c>
      <c r="G9" s="203">
        <v>46066</v>
      </c>
      <c r="H9" s="208">
        <v>4</v>
      </c>
      <c r="I9" s="205">
        <f t="shared" si="0"/>
        <v>0.21052631578947367</v>
      </c>
      <c r="J9" s="206" t="s">
        <v>22</v>
      </c>
      <c r="K9" s="204"/>
    </row>
    <row r="10" spans="1:11" s="197" customFormat="1" ht="32" hidden="1">
      <c r="A10" s="198" t="s">
        <v>1385</v>
      </c>
      <c r="B10" s="199" t="s">
        <v>16</v>
      </c>
      <c r="C10" s="199" t="s">
        <v>616</v>
      </c>
      <c r="D10" s="208" t="s">
        <v>65</v>
      </c>
      <c r="E10" s="210" t="s">
        <v>1395</v>
      </c>
      <c r="F10" s="202" t="str">
        <f>VLOOKUP(D10,CSR!$D$4:$E$1180,2,FALSE)</f>
        <v>CSR_10800</v>
      </c>
      <c r="G10" s="203">
        <v>46052</v>
      </c>
      <c r="H10" s="204">
        <v>3</v>
      </c>
      <c r="I10" s="205">
        <f t="shared" si="0"/>
        <v>0.15789473684210525</v>
      </c>
      <c r="J10" s="206" t="s">
        <v>54</v>
      </c>
      <c r="K10" s="204"/>
    </row>
    <row r="11" spans="1:11" s="197" customFormat="1" ht="32" hidden="1">
      <c r="A11" s="198" t="s">
        <v>1385</v>
      </c>
      <c r="B11" s="199" t="s">
        <v>16</v>
      </c>
      <c r="C11" s="199" t="s">
        <v>616</v>
      </c>
      <c r="D11" s="208" t="s">
        <v>18</v>
      </c>
      <c r="E11" s="210" t="s">
        <v>1396</v>
      </c>
      <c r="F11" s="202" t="str">
        <f>VLOOKUP(D11,CSR!$D$4:$E$1180,2,FALSE)</f>
        <v>CSR_11300</v>
      </c>
      <c r="G11" s="203">
        <v>46052</v>
      </c>
      <c r="H11" s="204">
        <v>2</v>
      </c>
      <c r="I11" s="205">
        <f t="shared" si="0"/>
        <v>0.10526315789473684</v>
      </c>
      <c r="J11" s="206" t="s">
        <v>54</v>
      </c>
      <c r="K11" s="204"/>
    </row>
    <row r="12" spans="1:11" s="197" customFormat="1" ht="32" hidden="1">
      <c r="A12" s="198" t="s">
        <v>1171</v>
      </c>
      <c r="B12" s="199" t="s">
        <v>16</v>
      </c>
      <c r="C12" s="199" t="s">
        <v>616</v>
      </c>
      <c r="D12" s="208" t="s">
        <v>65</v>
      </c>
      <c r="E12" s="210" t="s">
        <v>1395</v>
      </c>
      <c r="F12" s="202" t="str">
        <f>VLOOKUP(D12,CSR!$D$4:$E$1180,2,FALSE)</f>
        <v>CSR_10800</v>
      </c>
      <c r="G12" s="203">
        <v>46059</v>
      </c>
      <c r="H12" s="204">
        <v>3</v>
      </c>
      <c r="I12" s="205">
        <f t="shared" si="0"/>
        <v>0.15789473684210525</v>
      </c>
      <c r="J12" s="206" t="s">
        <v>54</v>
      </c>
      <c r="K12" s="204"/>
    </row>
    <row r="13" spans="1:11" s="197" customFormat="1" ht="32" hidden="1">
      <c r="A13" s="198" t="s">
        <v>1171</v>
      </c>
      <c r="B13" s="198" t="s">
        <v>49</v>
      </c>
      <c r="C13" s="198" t="s">
        <v>175</v>
      </c>
      <c r="D13" s="208" t="s">
        <v>191</v>
      </c>
      <c r="E13" s="201" t="s">
        <v>1397</v>
      </c>
      <c r="F13" s="202" t="str">
        <f>VLOOKUP(D13,CSR!$D$4:$E$1180,2,FALSE)</f>
        <v>CSR_40300</v>
      </c>
      <c r="G13" s="203">
        <v>46059</v>
      </c>
      <c r="H13" s="204">
        <v>1</v>
      </c>
      <c r="I13" s="205">
        <f t="shared" si="0"/>
        <v>5.2631578947368418E-2</v>
      </c>
      <c r="J13" s="199" t="s">
        <v>54</v>
      </c>
      <c r="K13" s="208"/>
    </row>
    <row r="14" spans="1:11" s="197" customFormat="1" ht="32" hidden="1">
      <c r="A14" s="198" t="s">
        <v>1171</v>
      </c>
      <c r="B14" s="199" t="s">
        <v>16</v>
      </c>
      <c r="C14" s="199" t="s">
        <v>616</v>
      </c>
      <c r="D14" s="200" t="s">
        <v>1172</v>
      </c>
      <c r="E14" s="201" t="s">
        <v>1398</v>
      </c>
      <c r="F14" s="202" t="str">
        <f>VLOOKUP(D14,CSR!$D$4:$E$1180,2,FALSE)</f>
        <v>CSR_11409</v>
      </c>
      <c r="G14" s="203">
        <v>46066</v>
      </c>
      <c r="H14" s="204">
        <v>3</v>
      </c>
      <c r="I14" s="205">
        <f t="shared" si="0"/>
        <v>0.15789473684210525</v>
      </c>
      <c r="J14" s="206" t="s">
        <v>54</v>
      </c>
      <c r="K14" s="204"/>
    </row>
    <row r="15" spans="1:11" s="197" customFormat="1" ht="32" hidden="1">
      <c r="A15" s="198" t="s">
        <v>1171</v>
      </c>
      <c r="B15" s="199" t="s">
        <v>16</v>
      </c>
      <c r="C15" s="199" t="s">
        <v>616</v>
      </c>
      <c r="D15" s="208" t="s">
        <v>65</v>
      </c>
      <c r="E15" s="210" t="s">
        <v>1395</v>
      </c>
      <c r="F15" s="202" t="str">
        <f>VLOOKUP(D15,CSR!$D$4:$E$1180,2,FALSE)</f>
        <v>CSR_10800</v>
      </c>
      <c r="G15" s="203">
        <v>46066</v>
      </c>
      <c r="H15" s="204">
        <v>2</v>
      </c>
      <c r="I15" s="205">
        <f t="shared" si="0"/>
        <v>0.10526315789473684</v>
      </c>
      <c r="J15" s="206" t="s">
        <v>54</v>
      </c>
      <c r="K15" s="204"/>
    </row>
    <row r="16" spans="1:11" s="197" customFormat="1" ht="32" hidden="1">
      <c r="A16" s="198" t="s">
        <v>1171</v>
      </c>
      <c r="B16" s="199" t="s">
        <v>16</v>
      </c>
      <c r="C16" s="199" t="s">
        <v>616</v>
      </c>
      <c r="D16" s="200" t="s">
        <v>1172</v>
      </c>
      <c r="E16" s="201" t="s">
        <v>1399</v>
      </c>
      <c r="F16" s="202" t="str">
        <f>VLOOKUP(D16,CSR!$D$4:$E$1180,2,FALSE)</f>
        <v>CSR_11409</v>
      </c>
      <c r="G16" s="203">
        <v>46066</v>
      </c>
      <c r="H16" s="208">
        <v>3</v>
      </c>
      <c r="I16" s="205">
        <f t="shared" si="0"/>
        <v>0.15789473684210525</v>
      </c>
      <c r="J16" s="206" t="s">
        <v>54</v>
      </c>
      <c r="K16" s="204"/>
    </row>
    <row r="17" spans="1:11" s="197" customFormat="1" ht="32" hidden="1">
      <c r="A17" s="198" t="s">
        <v>1171</v>
      </c>
      <c r="B17" s="199" t="s">
        <v>16</v>
      </c>
      <c r="C17" s="199" t="s">
        <v>616</v>
      </c>
      <c r="D17" s="200" t="s">
        <v>1172</v>
      </c>
      <c r="E17" s="201" t="s">
        <v>1394</v>
      </c>
      <c r="F17" s="202" t="str">
        <f>VLOOKUP(D17,CSR!$D$4:$E$1180,2,FALSE)</f>
        <v>CSR_11409</v>
      </c>
      <c r="G17" s="203">
        <v>46066</v>
      </c>
      <c r="H17" s="208">
        <v>2</v>
      </c>
      <c r="I17" s="205">
        <f t="shared" si="0"/>
        <v>0.10526315789473684</v>
      </c>
      <c r="J17" s="206" t="s">
        <v>54</v>
      </c>
      <c r="K17" s="204"/>
    </row>
    <row r="18" spans="1:11" s="197" customFormat="1" ht="32" hidden="1">
      <c r="A18" s="198" t="s">
        <v>1385</v>
      </c>
      <c r="B18" s="199" t="s">
        <v>49</v>
      </c>
      <c r="C18" s="199" t="s">
        <v>50</v>
      </c>
      <c r="D18" s="208" t="s">
        <v>1311</v>
      </c>
      <c r="E18" s="227" t="s">
        <v>1400</v>
      </c>
      <c r="F18" s="202" t="str">
        <f>VLOOKUP(D18,CSR!$D$4:$E$1180,2,FALSE)</f>
        <v>CSR_41102</v>
      </c>
      <c r="G18" s="203">
        <v>46052</v>
      </c>
      <c r="H18" s="204">
        <v>2</v>
      </c>
      <c r="I18" s="205">
        <f t="shared" si="0"/>
        <v>0.10526315789473684</v>
      </c>
      <c r="J18" s="199" t="s">
        <v>68</v>
      </c>
      <c r="K18" s="204"/>
    </row>
    <row r="19" spans="1:11" s="197" customFormat="1" ht="48" hidden="1">
      <c r="A19" s="198" t="s">
        <v>1385</v>
      </c>
      <c r="B19" s="199" t="s">
        <v>16</v>
      </c>
      <c r="C19" s="199" t="s">
        <v>616</v>
      </c>
      <c r="D19" s="208" t="s">
        <v>1386</v>
      </c>
      <c r="E19" s="210" t="s">
        <v>1387</v>
      </c>
      <c r="F19" s="202" t="str">
        <f>VLOOKUP(D19,CSR!$D$4:$E$1180,2,FALSE)</f>
        <v>CSR_11408</v>
      </c>
      <c r="G19" s="203">
        <v>46052</v>
      </c>
      <c r="H19" s="204">
        <v>3</v>
      </c>
      <c r="I19" s="205">
        <f t="shared" si="0"/>
        <v>0.15789473684210525</v>
      </c>
      <c r="J19" s="206" t="s">
        <v>68</v>
      </c>
      <c r="K19" s="204"/>
    </row>
    <row r="20" spans="1:11" s="197" customFormat="1" ht="48" hidden="1">
      <c r="A20" s="198" t="s">
        <v>1171</v>
      </c>
      <c r="B20" s="199" t="s">
        <v>16</v>
      </c>
      <c r="C20" s="199" t="s">
        <v>616</v>
      </c>
      <c r="D20" s="208" t="s">
        <v>1386</v>
      </c>
      <c r="E20" s="210" t="s">
        <v>1390</v>
      </c>
      <c r="F20" s="202" t="str">
        <f>VLOOKUP(D20,CSR!$D$4:$E$1180,2,FALSE)</f>
        <v>CSR_11408</v>
      </c>
      <c r="G20" s="203">
        <v>46059</v>
      </c>
      <c r="H20" s="204">
        <v>2</v>
      </c>
      <c r="I20" s="205">
        <f t="shared" si="0"/>
        <v>0.10526315789473684</v>
      </c>
      <c r="J20" s="206" t="s">
        <v>68</v>
      </c>
      <c r="K20" s="204"/>
    </row>
    <row r="21" spans="1:11" s="197" customFormat="1" ht="48" hidden="1">
      <c r="A21" s="198" t="s">
        <v>1171</v>
      </c>
      <c r="B21" s="199" t="s">
        <v>16</v>
      </c>
      <c r="C21" s="199" t="s">
        <v>616</v>
      </c>
      <c r="D21" s="208" t="s">
        <v>1386</v>
      </c>
      <c r="E21" s="210" t="s">
        <v>1390</v>
      </c>
      <c r="F21" s="202" t="str">
        <f>VLOOKUP(D21,CSR!$D$4:$E$1180,2,FALSE)</f>
        <v>CSR_11408</v>
      </c>
      <c r="G21" s="203">
        <v>46059</v>
      </c>
      <c r="H21" s="204">
        <v>3</v>
      </c>
      <c r="I21" s="205">
        <f t="shared" si="0"/>
        <v>0.15789473684210525</v>
      </c>
      <c r="J21" s="206" t="s">
        <v>68</v>
      </c>
      <c r="K21" s="204"/>
    </row>
    <row r="22" spans="1:11" s="197" customFormat="1" ht="32" hidden="1">
      <c r="A22" s="198" t="s">
        <v>1171</v>
      </c>
      <c r="B22" s="199" t="s">
        <v>16</v>
      </c>
      <c r="C22" s="199" t="s">
        <v>616</v>
      </c>
      <c r="D22" s="200" t="s">
        <v>1172</v>
      </c>
      <c r="E22" s="201" t="s">
        <v>1401</v>
      </c>
      <c r="F22" s="202" t="str">
        <f>VLOOKUP(D22,CSR!$D$4:$E$1180,2,FALSE)</f>
        <v>CSR_11409</v>
      </c>
      <c r="G22" s="203">
        <v>46066</v>
      </c>
      <c r="H22" s="208">
        <v>3</v>
      </c>
      <c r="I22" s="205">
        <f t="shared" si="0"/>
        <v>0.15789473684210525</v>
      </c>
      <c r="J22" s="206" t="s">
        <v>68</v>
      </c>
      <c r="K22" s="204"/>
    </row>
    <row r="23" spans="1:11" s="197" customFormat="1" ht="32" hidden="1">
      <c r="A23" s="198" t="s">
        <v>1171</v>
      </c>
      <c r="B23" s="199" t="s">
        <v>16</v>
      </c>
      <c r="C23" s="199" t="s">
        <v>616</v>
      </c>
      <c r="D23" s="200" t="s">
        <v>1172</v>
      </c>
      <c r="E23" s="201" t="s">
        <v>1402</v>
      </c>
      <c r="F23" s="202" t="str">
        <f>VLOOKUP(D23,CSR!$D$4:$E$1180,2,FALSE)</f>
        <v>CSR_11409</v>
      </c>
      <c r="G23" s="203">
        <v>46066</v>
      </c>
      <c r="H23" s="204">
        <v>2</v>
      </c>
      <c r="I23" s="205">
        <f t="shared" si="0"/>
        <v>0.10526315789473684</v>
      </c>
      <c r="J23" s="206" t="s">
        <v>68</v>
      </c>
      <c r="K23" s="204"/>
    </row>
    <row r="24" spans="1:11" s="197" customFormat="1" ht="32" hidden="1">
      <c r="A24" s="198" t="s">
        <v>1171</v>
      </c>
      <c r="B24" s="199" t="s">
        <v>16</v>
      </c>
      <c r="C24" s="199" t="s">
        <v>616</v>
      </c>
      <c r="D24" s="200" t="s">
        <v>1172</v>
      </c>
      <c r="E24" s="201" t="s">
        <v>1403</v>
      </c>
      <c r="F24" s="202" t="str">
        <f>VLOOKUP(D24,CSR!$D$4:$E$1180,2,FALSE)</f>
        <v>CSR_11409</v>
      </c>
      <c r="G24" s="203">
        <v>46066</v>
      </c>
      <c r="H24" s="208">
        <v>4</v>
      </c>
      <c r="I24" s="205">
        <f t="shared" si="0"/>
        <v>0.21052631578947367</v>
      </c>
      <c r="J24" s="206" t="s">
        <v>68</v>
      </c>
      <c r="K24" s="204"/>
    </row>
    <row r="25" spans="1:11" s="197" customFormat="1" ht="48" hidden="1">
      <c r="A25" s="198" t="s">
        <v>1385</v>
      </c>
      <c r="B25" s="199" t="s">
        <v>16</v>
      </c>
      <c r="C25" s="199" t="s">
        <v>616</v>
      </c>
      <c r="D25" s="208" t="s">
        <v>1386</v>
      </c>
      <c r="E25" s="210" t="s">
        <v>1387</v>
      </c>
      <c r="F25" s="202" t="str">
        <f>VLOOKUP(D25,CSR!$D$4:$E$1180,2,FALSE)</f>
        <v>CSR_11408</v>
      </c>
      <c r="G25" s="203">
        <v>46052</v>
      </c>
      <c r="H25" s="204">
        <v>3</v>
      </c>
      <c r="I25" s="205">
        <f t="shared" si="0"/>
        <v>0.15789473684210525</v>
      </c>
      <c r="J25" s="199" t="s">
        <v>83</v>
      </c>
      <c r="K25" s="218"/>
    </row>
    <row r="26" spans="1:11" s="197" customFormat="1" ht="32" hidden="1">
      <c r="A26" s="198" t="s">
        <v>1385</v>
      </c>
      <c r="B26" s="199" t="s">
        <v>16</v>
      </c>
      <c r="C26" s="199" t="s">
        <v>616</v>
      </c>
      <c r="D26" s="208" t="s">
        <v>131</v>
      </c>
      <c r="E26" s="210" t="s">
        <v>1404</v>
      </c>
      <c r="F26" s="202" t="str">
        <f>VLOOKUP(D26,CSR!$D$4:$E$1180,2,FALSE)</f>
        <v>CSR_10400</v>
      </c>
      <c r="G26" s="203">
        <v>46052</v>
      </c>
      <c r="H26" s="204">
        <v>2</v>
      </c>
      <c r="I26" s="205">
        <f t="shared" si="0"/>
        <v>0.10526315789473684</v>
      </c>
      <c r="J26" s="206" t="s">
        <v>83</v>
      </c>
      <c r="K26" s="204"/>
    </row>
    <row r="27" spans="1:11" s="197" customFormat="1" ht="48" hidden="1">
      <c r="A27" s="198" t="s">
        <v>1171</v>
      </c>
      <c r="B27" s="199" t="s">
        <v>16</v>
      </c>
      <c r="C27" s="199" t="s">
        <v>616</v>
      </c>
      <c r="D27" s="208" t="s">
        <v>1386</v>
      </c>
      <c r="E27" s="210" t="s">
        <v>1390</v>
      </c>
      <c r="F27" s="202" t="str">
        <f>VLOOKUP(D27,CSR!$D$4:$E$1180,2,FALSE)</f>
        <v>CSR_11408</v>
      </c>
      <c r="G27" s="203">
        <v>46059</v>
      </c>
      <c r="H27" s="204">
        <v>3</v>
      </c>
      <c r="I27" s="205">
        <f t="shared" si="0"/>
        <v>0.15789473684210525</v>
      </c>
      <c r="J27" s="199" t="s">
        <v>83</v>
      </c>
      <c r="K27" s="204"/>
    </row>
    <row r="28" spans="1:11" s="197" customFormat="1" ht="32" hidden="1">
      <c r="A28" s="198" t="s">
        <v>1171</v>
      </c>
      <c r="B28" s="199" t="s">
        <v>16</v>
      </c>
      <c r="C28" s="199" t="s">
        <v>616</v>
      </c>
      <c r="D28" s="207" t="s">
        <v>1405</v>
      </c>
      <c r="E28" s="201" t="s">
        <v>1406</v>
      </c>
      <c r="F28" s="202" t="str">
        <f>VLOOKUP(D28,CSR!$D$4:$E$1180,2,FALSE)</f>
        <v>CSR_11302</v>
      </c>
      <c r="G28" s="203">
        <v>46059</v>
      </c>
      <c r="H28" s="204">
        <v>2</v>
      </c>
      <c r="I28" s="205">
        <f t="shared" si="0"/>
        <v>0.10526315789473684</v>
      </c>
      <c r="J28" s="206" t="s">
        <v>83</v>
      </c>
      <c r="K28" s="204"/>
    </row>
    <row r="29" spans="1:11" s="197" customFormat="1" ht="32" hidden="1">
      <c r="A29" s="198" t="s">
        <v>1171</v>
      </c>
      <c r="B29" s="199" t="s">
        <v>16</v>
      </c>
      <c r="C29" s="199" t="s">
        <v>616</v>
      </c>
      <c r="D29" s="200" t="s">
        <v>1172</v>
      </c>
      <c r="E29" s="201" t="s">
        <v>1392</v>
      </c>
      <c r="F29" s="202" t="str">
        <f>VLOOKUP(D29,CSR!$D$4:$E$1180,2,FALSE)</f>
        <v>CSR_11409</v>
      </c>
      <c r="G29" s="203">
        <v>46066</v>
      </c>
      <c r="H29" s="208">
        <v>3</v>
      </c>
      <c r="I29" s="205">
        <f t="shared" si="0"/>
        <v>0.15789473684210525</v>
      </c>
      <c r="J29" s="206" t="s">
        <v>83</v>
      </c>
      <c r="K29" s="204"/>
    </row>
    <row r="30" spans="1:11" s="197" customFormat="1" ht="32" hidden="1">
      <c r="A30" s="198" t="s">
        <v>1171</v>
      </c>
      <c r="B30" s="199" t="s">
        <v>16</v>
      </c>
      <c r="C30" s="199" t="s">
        <v>616</v>
      </c>
      <c r="D30" s="200" t="s">
        <v>1172</v>
      </c>
      <c r="E30" s="201" t="s">
        <v>1407</v>
      </c>
      <c r="F30" s="202" t="str">
        <f>VLOOKUP(D30,CSR!$D$4:$E$1180,2,FALSE)</f>
        <v>CSR_11409</v>
      </c>
      <c r="G30" s="203">
        <v>46066</v>
      </c>
      <c r="H30" s="204">
        <v>2</v>
      </c>
      <c r="I30" s="205">
        <f t="shared" si="0"/>
        <v>0.10526315789473684</v>
      </c>
      <c r="J30" s="206" t="s">
        <v>83</v>
      </c>
      <c r="K30" s="204"/>
    </row>
    <row r="31" spans="1:11" s="197" customFormat="1" ht="32" hidden="1">
      <c r="A31" s="198" t="s">
        <v>1171</v>
      </c>
      <c r="B31" s="199" t="s">
        <v>16</v>
      </c>
      <c r="C31" s="199" t="s">
        <v>616</v>
      </c>
      <c r="D31" s="200" t="s">
        <v>1172</v>
      </c>
      <c r="E31" s="201" t="s">
        <v>1408</v>
      </c>
      <c r="F31" s="202" t="str">
        <f>VLOOKUP(D31,CSR!$D$4:$E$1180,2,FALSE)</f>
        <v>CSR_11409</v>
      </c>
      <c r="G31" s="203">
        <v>46066</v>
      </c>
      <c r="H31" s="208">
        <v>4</v>
      </c>
      <c r="I31" s="205">
        <f t="shared" si="0"/>
        <v>0.21052631578947367</v>
      </c>
      <c r="J31" s="206" t="s">
        <v>83</v>
      </c>
      <c r="K31" s="218"/>
    </row>
    <row r="32" spans="1:11" s="197" customFormat="1" ht="32" hidden="1">
      <c r="A32" s="198" t="s">
        <v>1385</v>
      </c>
      <c r="B32" s="199" t="s">
        <v>49</v>
      </c>
      <c r="C32" s="199" t="s">
        <v>50</v>
      </c>
      <c r="D32" s="208" t="s">
        <v>176</v>
      </c>
      <c r="E32" s="210" t="s">
        <v>1409</v>
      </c>
      <c r="F32" s="202" t="str">
        <f>VLOOKUP(D32,CSR!$D$4:$E$1180,2,FALSE)</f>
        <v>CSR_40700</v>
      </c>
      <c r="G32" s="203">
        <v>46052</v>
      </c>
      <c r="H32" s="204">
        <v>3</v>
      </c>
      <c r="I32" s="205">
        <f t="shared" si="0"/>
        <v>0.15789473684210525</v>
      </c>
      <c r="J32" s="199" t="s">
        <v>90</v>
      </c>
      <c r="K32" s="204"/>
    </row>
    <row r="33" spans="1:11" s="197" customFormat="1" ht="32" hidden="1">
      <c r="A33" s="198" t="s">
        <v>1385</v>
      </c>
      <c r="B33" s="199" t="s">
        <v>31</v>
      </c>
      <c r="C33" s="199" t="s">
        <v>32</v>
      </c>
      <c r="D33" s="208" t="s">
        <v>97</v>
      </c>
      <c r="E33" s="218" t="s">
        <v>1410</v>
      </c>
      <c r="F33" s="202" t="str">
        <f>VLOOKUP(D33,CSR!$D$4:$E$1180,2,FALSE)</f>
        <v>CSR_30300</v>
      </c>
      <c r="G33" s="203">
        <v>46052</v>
      </c>
      <c r="H33" s="204">
        <v>1</v>
      </c>
      <c r="I33" s="205">
        <f t="shared" si="0"/>
        <v>5.2631578947368418E-2</v>
      </c>
      <c r="J33" s="199" t="s">
        <v>90</v>
      </c>
      <c r="K33" s="204"/>
    </row>
    <row r="34" spans="1:11" s="197" customFormat="1" ht="32" hidden="1">
      <c r="A34" s="198" t="s">
        <v>1171</v>
      </c>
      <c r="B34" s="198" t="s">
        <v>70</v>
      </c>
      <c r="C34" s="198" t="s">
        <v>71</v>
      </c>
      <c r="D34" s="208" t="s">
        <v>72</v>
      </c>
      <c r="E34" s="210" t="s">
        <v>1411</v>
      </c>
      <c r="F34" s="202" t="str">
        <f>VLOOKUP(D34,CSR!$D$4:$E$1180,2,FALSE)</f>
        <v>CSR_20400</v>
      </c>
      <c r="G34" s="203">
        <v>46059</v>
      </c>
      <c r="H34" s="204">
        <v>3</v>
      </c>
      <c r="I34" s="205">
        <f t="shared" si="0"/>
        <v>0.15789473684210525</v>
      </c>
      <c r="J34" s="199" t="s">
        <v>90</v>
      </c>
      <c r="K34" s="204"/>
    </row>
    <row r="35" spans="1:11" s="197" customFormat="1" ht="32" hidden="1">
      <c r="A35" s="198" t="s">
        <v>1171</v>
      </c>
      <c r="B35" s="199" t="s">
        <v>49</v>
      </c>
      <c r="C35" s="198" t="s">
        <v>175</v>
      </c>
      <c r="D35" s="208" t="s">
        <v>202</v>
      </c>
      <c r="E35" s="210" t="s">
        <v>1412</v>
      </c>
      <c r="F35" s="202" t="str">
        <f>VLOOKUP(D35,CSR!$D$4:$E$1180,2,FALSE)</f>
        <v>CSR_40600</v>
      </c>
      <c r="G35" s="203">
        <v>46059</v>
      </c>
      <c r="H35" s="204">
        <v>2</v>
      </c>
      <c r="I35" s="205">
        <f t="shared" si="0"/>
        <v>0.10526315789473684</v>
      </c>
      <c r="J35" s="206" t="s">
        <v>90</v>
      </c>
      <c r="K35" s="204"/>
    </row>
    <row r="36" spans="1:11" s="197" customFormat="1" ht="32" hidden="1">
      <c r="A36" s="198" t="s">
        <v>1171</v>
      </c>
      <c r="B36" s="199" t="s">
        <v>16</v>
      </c>
      <c r="C36" s="199" t="s">
        <v>616</v>
      </c>
      <c r="D36" s="200" t="s">
        <v>1172</v>
      </c>
      <c r="E36" s="201" t="s">
        <v>1407</v>
      </c>
      <c r="F36" s="202" t="str">
        <f>VLOOKUP(D36,CSR!$D$4:$E$1180,2,FALSE)</f>
        <v>CSR_11409</v>
      </c>
      <c r="G36" s="203">
        <v>46066</v>
      </c>
      <c r="H36" s="204">
        <v>3</v>
      </c>
      <c r="I36" s="205">
        <f t="shared" si="0"/>
        <v>0.15789473684210525</v>
      </c>
      <c r="J36" s="206" t="s">
        <v>90</v>
      </c>
      <c r="K36" s="204"/>
    </row>
    <row r="37" spans="1:11" s="197" customFormat="1" ht="32" hidden="1">
      <c r="A37" s="198" t="s">
        <v>1171</v>
      </c>
      <c r="B37" s="199" t="s">
        <v>16</v>
      </c>
      <c r="C37" s="199" t="s">
        <v>616</v>
      </c>
      <c r="D37" s="215" t="s">
        <v>1202</v>
      </c>
      <c r="E37" s="210" t="s">
        <v>1413</v>
      </c>
      <c r="F37" s="202" t="str">
        <f>VLOOKUP(D37,CSR!$D$4:$E$1180,2,FALSE)</f>
        <v>CSR_11309</v>
      </c>
      <c r="G37" s="203">
        <v>46066</v>
      </c>
      <c r="H37" s="204">
        <v>2</v>
      </c>
      <c r="I37" s="205">
        <f t="shared" si="0"/>
        <v>0.10526315789473684</v>
      </c>
      <c r="J37" s="206" t="s">
        <v>90</v>
      </c>
      <c r="K37" s="218"/>
    </row>
    <row r="38" spans="1:11" s="197" customFormat="1" ht="32" hidden="1">
      <c r="A38" s="198" t="s">
        <v>1171</v>
      </c>
      <c r="B38" s="199" t="s">
        <v>16</v>
      </c>
      <c r="C38" s="199" t="s">
        <v>616</v>
      </c>
      <c r="D38" s="200" t="s">
        <v>1172</v>
      </c>
      <c r="E38" s="201" t="s">
        <v>1408</v>
      </c>
      <c r="F38" s="202" t="str">
        <f>VLOOKUP(D38,CSR!$D$4:$E$1180,2,FALSE)</f>
        <v>CSR_11409</v>
      </c>
      <c r="G38" s="203">
        <v>46066</v>
      </c>
      <c r="H38" s="208">
        <v>3</v>
      </c>
      <c r="I38" s="205">
        <f t="shared" si="0"/>
        <v>0.15789473684210525</v>
      </c>
      <c r="J38" s="206" t="s">
        <v>90</v>
      </c>
      <c r="K38" s="204"/>
    </row>
    <row r="39" spans="1:11" s="197" customFormat="1" ht="32" hidden="1">
      <c r="A39" s="198" t="s">
        <v>1171</v>
      </c>
      <c r="B39" s="199" t="s">
        <v>16</v>
      </c>
      <c r="C39" s="199" t="s">
        <v>616</v>
      </c>
      <c r="D39" s="200" t="s">
        <v>1172</v>
      </c>
      <c r="E39" s="201" t="s">
        <v>1414</v>
      </c>
      <c r="F39" s="202" t="str">
        <f>VLOOKUP(D39,CSR!$D$4:$E$1180,2,FALSE)</f>
        <v>CSR_11409</v>
      </c>
      <c r="G39" s="203">
        <v>46066</v>
      </c>
      <c r="H39" s="208">
        <v>2</v>
      </c>
      <c r="I39" s="205">
        <f t="shared" si="0"/>
        <v>0.10526315789473684</v>
      </c>
      <c r="J39" s="206" t="s">
        <v>90</v>
      </c>
      <c r="K39" s="204"/>
    </row>
    <row r="40" spans="1:11" s="197" customFormat="1" ht="32" hidden="1">
      <c r="A40" s="198" t="s">
        <v>1171</v>
      </c>
      <c r="B40" s="199" t="s">
        <v>758</v>
      </c>
      <c r="C40" s="199" t="s">
        <v>759</v>
      </c>
      <c r="D40" s="200" t="s">
        <v>97</v>
      </c>
      <c r="E40" s="201" t="s">
        <v>823</v>
      </c>
      <c r="F40" s="202" t="str">
        <f>VLOOKUP(D40,CSR!$D$4:$E$1180,2,FALSE)</f>
        <v>CSR_30300</v>
      </c>
      <c r="G40" s="203">
        <v>46073</v>
      </c>
      <c r="H40" s="208">
        <v>2</v>
      </c>
      <c r="I40" s="205">
        <f t="shared" si="0"/>
        <v>0.10526315789473684</v>
      </c>
      <c r="J40" s="206" t="s">
        <v>824</v>
      </c>
      <c r="K40" s="204"/>
    </row>
    <row r="41" spans="1:11" s="197" customFormat="1" ht="32" hidden="1">
      <c r="A41" s="198" t="s">
        <v>1171</v>
      </c>
      <c r="B41" s="199" t="s">
        <v>758</v>
      </c>
      <c r="C41" s="199" t="s">
        <v>759</v>
      </c>
      <c r="D41" s="200" t="s">
        <v>97</v>
      </c>
      <c r="E41" s="201" t="s">
        <v>823</v>
      </c>
      <c r="F41" s="202" t="str">
        <f>VLOOKUP(D41,CSR!$D$4:$E$1180,2,FALSE)</f>
        <v>CSR_30300</v>
      </c>
      <c r="G41" s="203">
        <v>46073</v>
      </c>
      <c r="H41" s="208">
        <v>2</v>
      </c>
      <c r="I41" s="205">
        <f t="shared" si="0"/>
        <v>0.10526315789473684</v>
      </c>
      <c r="J41" s="206" t="s">
        <v>101</v>
      </c>
      <c r="K41" s="204"/>
    </row>
    <row r="42" spans="1:11" s="197" customFormat="1" ht="32" hidden="1">
      <c r="A42" s="198" t="s">
        <v>1171</v>
      </c>
      <c r="B42" s="199" t="s">
        <v>758</v>
      </c>
      <c r="C42" s="199" t="s">
        <v>759</v>
      </c>
      <c r="D42" s="200" t="s">
        <v>97</v>
      </c>
      <c r="E42" s="201" t="s">
        <v>823</v>
      </c>
      <c r="F42" s="202" t="str">
        <f>VLOOKUP(D42,CSR!$D$4:$E$1180,2,FALSE)</f>
        <v>CSR_30300</v>
      </c>
      <c r="G42" s="203">
        <v>46073</v>
      </c>
      <c r="H42" s="208">
        <v>2</v>
      </c>
      <c r="I42" s="205">
        <f t="shared" si="0"/>
        <v>0.10526315789473684</v>
      </c>
      <c r="J42" s="206" t="s">
        <v>102</v>
      </c>
      <c r="K42" s="204"/>
    </row>
    <row r="43" spans="1:11" s="197" customFormat="1" ht="32" hidden="1">
      <c r="A43" s="198" t="s">
        <v>1385</v>
      </c>
      <c r="B43" s="199" t="s">
        <v>49</v>
      </c>
      <c r="C43" s="199" t="s">
        <v>50</v>
      </c>
      <c r="D43" s="208" t="s">
        <v>1311</v>
      </c>
      <c r="E43" s="227" t="s">
        <v>1415</v>
      </c>
      <c r="F43" s="202" t="str">
        <f>VLOOKUP(D43,CSR!$D$4:$E$1180,2,FALSE)</f>
        <v>CSR_41102</v>
      </c>
      <c r="G43" s="203">
        <v>46052</v>
      </c>
      <c r="H43" s="204">
        <v>1</v>
      </c>
      <c r="I43" s="205">
        <f t="shared" si="0"/>
        <v>5.2631578947368418E-2</v>
      </c>
      <c r="J43" s="206" t="s">
        <v>104</v>
      </c>
      <c r="K43" s="204"/>
    </row>
    <row r="44" spans="1:11" s="197" customFormat="1" ht="48" hidden="1">
      <c r="A44" s="198" t="s">
        <v>1385</v>
      </c>
      <c r="B44" s="199" t="s">
        <v>16</v>
      </c>
      <c r="C44" s="199" t="s">
        <v>616</v>
      </c>
      <c r="D44" s="208" t="s">
        <v>1386</v>
      </c>
      <c r="E44" s="210" t="s">
        <v>1416</v>
      </c>
      <c r="F44" s="202" t="str">
        <f>VLOOKUP(D44,CSR!$D$4:$E$1180,2,FALSE)</f>
        <v>CSR_11408</v>
      </c>
      <c r="G44" s="203">
        <v>46052</v>
      </c>
      <c r="H44" s="204">
        <v>2</v>
      </c>
      <c r="I44" s="205">
        <f t="shared" si="0"/>
        <v>0.10526315789473684</v>
      </c>
      <c r="J44" s="206" t="s">
        <v>104</v>
      </c>
      <c r="K44" s="204"/>
    </row>
    <row r="45" spans="1:11" s="197" customFormat="1" ht="32" hidden="1">
      <c r="A45" s="198" t="s">
        <v>1385</v>
      </c>
      <c r="B45" s="199" t="s">
        <v>31</v>
      </c>
      <c r="C45" s="199" t="s">
        <v>32</v>
      </c>
      <c r="D45" s="208" t="s">
        <v>33</v>
      </c>
      <c r="E45" s="210" t="s">
        <v>1417</v>
      </c>
      <c r="F45" s="202" t="str">
        <f>VLOOKUP(D45,CSR!$D$4:$E$1180,2,FALSE)</f>
        <v>CSR_30200</v>
      </c>
      <c r="G45" s="203">
        <v>46052</v>
      </c>
      <c r="H45" s="204">
        <v>1</v>
      </c>
      <c r="I45" s="205">
        <f t="shared" si="0"/>
        <v>5.2631578947368418E-2</v>
      </c>
      <c r="J45" s="217" t="s">
        <v>104</v>
      </c>
      <c r="K45" s="204"/>
    </row>
    <row r="46" spans="1:11" s="197" customFormat="1" ht="48" hidden="1">
      <c r="A46" s="198" t="s">
        <v>1171</v>
      </c>
      <c r="B46" s="199" t="s">
        <v>16</v>
      </c>
      <c r="C46" s="199" t="s">
        <v>616</v>
      </c>
      <c r="D46" s="208" t="s">
        <v>1386</v>
      </c>
      <c r="E46" s="210" t="s">
        <v>1418</v>
      </c>
      <c r="F46" s="202" t="str">
        <f>VLOOKUP(D46,CSR!$D$4:$E$1180,2,FALSE)</f>
        <v>CSR_11408</v>
      </c>
      <c r="G46" s="203">
        <v>46059</v>
      </c>
      <c r="H46" s="204">
        <v>2</v>
      </c>
      <c r="I46" s="205">
        <f t="shared" si="0"/>
        <v>0.10526315789473684</v>
      </c>
      <c r="J46" s="206" t="s">
        <v>104</v>
      </c>
      <c r="K46" s="204"/>
    </row>
    <row r="47" spans="1:11" s="197" customFormat="1" ht="32" hidden="1">
      <c r="A47" s="198" t="s">
        <v>1171</v>
      </c>
      <c r="B47" s="198" t="s">
        <v>70</v>
      </c>
      <c r="C47" s="198" t="s">
        <v>71</v>
      </c>
      <c r="D47" s="208" t="s">
        <v>72</v>
      </c>
      <c r="E47" s="210" t="s">
        <v>1419</v>
      </c>
      <c r="F47" s="202" t="str">
        <f>VLOOKUP(D47,CSR!$D$4:$E$1180,2,FALSE)</f>
        <v>CSR_20400</v>
      </c>
      <c r="G47" s="203">
        <v>46059</v>
      </c>
      <c r="H47" s="204">
        <v>3</v>
      </c>
      <c r="I47" s="205">
        <f t="shared" si="0"/>
        <v>0.15789473684210525</v>
      </c>
      <c r="J47" s="206" t="s">
        <v>104</v>
      </c>
      <c r="K47" s="204"/>
    </row>
    <row r="48" spans="1:11" s="197" customFormat="1" ht="32" hidden="1">
      <c r="A48" s="198" t="s">
        <v>1171</v>
      </c>
      <c r="B48" s="199" t="s">
        <v>16</v>
      </c>
      <c r="C48" s="199" t="s">
        <v>616</v>
      </c>
      <c r="D48" s="200" t="s">
        <v>1172</v>
      </c>
      <c r="E48" s="201" t="s">
        <v>1398</v>
      </c>
      <c r="F48" s="202" t="str">
        <f>VLOOKUP(D48,CSR!$D$4:$E$1180,2,FALSE)</f>
        <v>CSR_11409</v>
      </c>
      <c r="G48" s="203">
        <v>46066</v>
      </c>
      <c r="H48" s="204">
        <v>3</v>
      </c>
      <c r="I48" s="205">
        <f t="shared" si="0"/>
        <v>0.15789473684210525</v>
      </c>
      <c r="J48" s="206" t="s">
        <v>104</v>
      </c>
      <c r="K48" s="204"/>
    </row>
    <row r="49" spans="1:11" s="197" customFormat="1" ht="32" hidden="1">
      <c r="A49" s="198" t="s">
        <v>1171</v>
      </c>
      <c r="B49" s="199" t="s">
        <v>16</v>
      </c>
      <c r="C49" s="199" t="s">
        <v>616</v>
      </c>
      <c r="D49" s="215" t="s">
        <v>1202</v>
      </c>
      <c r="E49" s="210" t="s">
        <v>1420</v>
      </c>
      <c r="F49" s="202" t="str">
        <f>VLOOKUP(D49,CSR!$D$4:$E$1180,2,FALSE)</f>
        <v>CSR_11309</v>
      </c>
      <c r="G49" s="203">
        <v>46066</v>
      </c>
      <c r="H49" s="204">
        <v>2</v>
      </c>
      <c r="I49" s="205">
        <f t="shared" si="0"/>
        <v>0.10526315789473684</v>
      </c>
      <c r="J49" s="206" t="s">
        <v>104</v>
      </c>
      <c r="K49" s="204"/>
    </row>
    <row r="50" spans="1:11" s="197" customFormat="1" ht="32" hidden="1">
      <c r="A50" s="198" t="s">
        <v>1171</v>
      </c>
      <c r="B50" s="199" t="s">
        <v>16</v>
      </c>
      <c r="C50" s="199" t="s">
        <v>616</v>
      </c>
      <c r="D50" s="200" t="s">
        <v>1172</v>
      </c>
      <c r="E50" s="201" t="s">
        <v>1403</v>
      </c>
      <c r="F50" s="202" t="str">
        <f>VLOOKUP(D50,CSR!$D$4:$E$1180,2,FALSE)</f>
        <v>CSR_11409</v>
      </c>
      <c r="G50" s="203">
        <v>46066</v>
      </c>
      <c r="H50" s="208">
        <v>2</v>
      </c>
      <c r="I50" s="205">
        <f t="shared" si="0"/>
        <v>0.10526315789473684</v>
      </c>
      <c r="J50" s="206" t="s">
        <v>104</v>
      </c>
      <c r="K50" s="204"/>
    </row>
    <row r="51" spans="1:11" s="197" customFormat="1" ht="32" hidden="1">
      <c r="A51" s="198" t="s">
        <v>1171</v>
      </c>
      <c r="B51" s="199" t="s">
        <v>16</v>
      </c>
      <c r="C51" s="199" t="s">
        <v>616</v>
      </c>
      <c r="D51" s="200" t="s">
        <v>1172</v>
      </c>
      <c r="E51" s="201" t="s">
        <v>1394</v>
      </c>
      <c r="F51" s="202" t="str">
        <f>VLOOKUP(D51,CSR!$D$4:$E$1180,2,FALSE)</f>
        <v>CSR_11409</v>
      </c>
      <c r="G51" s="203">
        <v>46066</v>
      </c>
      <c r="H51" s="208">
        <v>3</v>
      </c>
      <c r="I51" s="205">
        <f t="shared" si="0"/>
        <v>0.15789473684210525</v>
      </c>
      <c r="J51" s="206" t="s">
        <v>104</v>
      </c>
      <c r="K51" s="204"/>
    </row>
    <row r="52" spans="1:11" s="197" customFormat="1" ht="32" hidden="1">
      <c r="A52" s="198" t="s">
        <v>1385</v>
      </c>
      <c r="B52" s="199" t="s">
        <v>49</v>
      </c>
      <c r="C52" s="199" t="s">
        <v>50</v>
      </c>
      <c r="D52" s="208" t="s">
        <v>176</v>
      </c>
      <c r="E52" s="210" t="s">
        <v>1421</v>
      </c>
      <c r="F52" s="202" t="str">
        <f>VLOOKUP(D52,CSR!$D$4:$E$1180,2,FALSE)</f>
        <v>CSR_40700</v>
      </c>
      <c r="G52" s="203">
        <v>46052</v>
      </c>
      <c r="H52" s="204">
        <v>3</v>
      </c>
      <c r="I52" s="205">
        <f t="shared" si="0"/>
        <v>0.15789473684210525</v>
      </c>
      <c r="J52" s="206" t="s">
        <v>114</v>
      </c>
      <c r="K52" s="218"/>
    </row>
    <row r="53" spans="1:11" s="197" customFormat="1" ht="48" hidden="1">
      <c r="A53" s="198" t="s">
        <v>1385</v>
      </c>
      <c r="B53" s="199" t="s">
        <v>16</v>
      </c>
      <c r="C53" s="199" t="s">
        <v>616</v>
      </c>
      <c r="D53" s="208" t="s">
        <v>1386</v>
      </c>
      <c r="E53" s="210" t="s">
        <v>1416</v>
      </c>
      <c r="F53" s="202" t="str">
        <f>VLOOKUP(D53,CSR!$D$4:$E$1180,2,FALSE)</f>
        <v>CSR_11408</v>
      </c>
      <c r="G53" s="203">
        <v>46052</v>
      </c>
      <c r="H53" s="204">
        <v>2</v>
      </c>
      <c r="I53" s="205">
        <f t="shared" si="0"/>
        <v>0.10526315789473684</v>
      </c>
      <c r="J53" s="206" t="s">
        <v>114</v>
      </c>
      <c r="K53" s="218"/>
    </row>
    <row r="54" spans="1:11" s="197" customFormat="1" ht="48" hidden="1">
      <c r="A54" s="198" t="s">
        <v>1171</v>
      </c>
      <c r="B54" s="199" t="s">
        <v>16</v>
      </c>
      <c r="C54" s="199" t="s">
        <v>616</v>
      </c>
      <c r="D54" s="208" t="s">
        <v>1386</v>
      </c>
      <c r="E54" s="210" t="s">
        <v>1418</v>
      </c>
      <c r="F54" s="202" t="str">
        <f>VLOOKUP(D54,CSR!$D$4:$E$1180,2,FALSE)</f>
        <v>CSR_11408</v>
      </c>
      <c r="G54" s="203">
        <v>46059</v>
      </c>
      <c r="H54" s="204">
        <v>2</v>
      </c>
      <c r="I54" s="205">
        <f t="shared" si="0"/>
        <v>0.10526315789473684</v>
      </c>
      <c r="J54" s="206" t="s">
        <v>114</v>
      </c>
      <c r="K54" s="204"/>
    </row>
    <row r="55" spans="1:11" s="197" customFormat="1" ht="48" hidden="1">
      <c r="A55" s="198" t="s">
        <v>1171</v>
      </c>
      <c r="B55" s="199" t="s">
        <v>16</v>
      </c>
      <c r="C55" s="199" t="s">
        <v>616</v>
      </c>
      <c r="D55" s="208" t="s">
        <v>1386</v>
      </c>
      <c r="E55" s="210" t="s">
        <v>1418</v>
      </c>
      <c r="F55" s="202" t="str">
        <f>VLOOKUP(D55,CSR!$D$4:$E$1180,2,FALSE)</f>
        <v>CSR_11408</v>
      </c>
      <c r="G55" s="203">
        <v>46059</v>
      </c>
      <c r="H55" s="204">
        <v>2</v>
      </c>
      <c r="I55" s="205">
        <f t="shared" si="0"/>
        <v>0.10526315789473684</v>
      </c>
      <c r="J55" s="206" t="s">
        <v>114</v>
      </c>
      <c r="K55" s="204"/>
    </row>
    <row r="56" spans="1:11" s="197" customFormat="1" ht="32" hidden="1">
      <c r="A56" s="198" t="s">
        <v>1171</v>
      </c>
      <c r="B56" s="199" t="s">
        <v>16</v>
      </c>
      <c r="C56" s="199" t="s">
        <v>616</v>
      </c>
      <c r="D56" s="208" t="s">
        <v>18</v>
      </c>
      <c r="E56" s="210" t="s">
        <v>1422</v>
      </c>
      <c r="F56" s="202" t="str">
        <f>VLOOKUP(D56,CSR!$D$4:$E$1180,2,FALSE)</f>
        <v>CSR_11300</v>
      </c>
      <c r="G56" s="203">
        <v>46059</v>
      </c>
      <c r="H56" s="204">
        <v>1</v>
      </c>
      <c r="I56" s="205">
        <f t="shared" si="0"/>
        <v>5.2631578947368418E-2</v>
      </c>
      <c r="J56" s="206" t="s">
        <v>114</v>
      </c>
      <c r="K56" s="204"/>
    </row>
    <row r="57" spans="1:11" s="197" customFormat="1" ht="32" hidden="1">
      <c r="A57" s="198" t="s">
        <v>1171</v>
      </c>
      <c r="B57" s="199" t="s">
        <v>16</v>
      </c>
      <c r="C57" s="199" t="s">
        <v>616</v>
      </c>
      <c r="D57" s="200" t="s">
        <v>1172</v>
      </c>
      <c r="E57" s="201" t="s">
        <v>1401</v>
      </c>
      <c r="F57" s="202" t="str">
        <f>VLOOKUP(D57,CSR!$D$4:$E$1180,2,FALSE)</f>
        <v>CSR_11409</v>
      </c>
      <c r="G57" s="203">
        <v>46066</v>
      </c>
      <c r="H57" s="208">
        <v>2</v>
      </c>
      <c r="I57" s="205">
        <f t="shared" si="0"/>
        <v>0.10526315789473684</v>
      </c>
      <c r="J57" s="206" t="s">
        <v>114</v>
      </c>
      <c r="K57" s="204"/>
    </row>
    <row r="58" spans="1:11" s="197" customFormat="1" ht="32" hidden="1">
      <c r="A58" s="198" t="s">
        <v>1171</v>
      </c>
      <c r="B58" s="199" t="s">
        <v>16</v>
      </c>
      <c r="C58" s="199" t="s">
        <v>616</v>
      </c>
      <c r="D58" s="200" t="s">
        <v>1172</v>
      </c>
      <c r="E58" s="201" t="s">
        <v>1402</v>
      </c>
      <c r="F58" s="202" t="str">
        <f>VLOOKUP(D58,CSR!$D$4:$E$1180,2,FALSE)</f>
        <v>CSR_11409</v>
      </c>
      <c r="G58" s="203">
        <v>46066</v>
      </c>
      <c r="H58" s="204">
        <v>3</v>
      </c>
      <c r="I58" s="205">
        <f t="shared" si="0"/>
        <v>0.15789473684210525</v>
      </c>
      <c r="J58" s="206" t="s">
        <v>114</v>
      </c>
      <c r="K58" s="204"/>
    </row>
    <row r="59" spans="1:11" s="197" customFormat="1" ht="32" hidden="1">
      <c r="A59" s="198" t="s">
        <v>1171</v>
      </c>
      <c r="B59" s="199" t="s">
        <v>16</v>
      </c>
      <c r="C59" s="199" t="s">
        <v>616</v>
      </c>
      <c r="D59" s="200" t="s">
        <v>1172</v>
      </c>
      <c r="E59" s="201" t="s">
        <v>1399</v>
      </c>
      <c r="F59" s="202" t="str">
        <f>VLOOKUP(D59,CSR!$D$4:$E$1180,2,FALSE)</f>
        <v>CSR_11409</v>
      </c>
      <c r="G59" s="203">
        <v>46066</v>
      </c>
      <c r="H59" s="208">
        <v>4</v>
      </c>
      <c r="I59" s="205">
        <f t="shared" si="0"/>
        <v>0.21052631578947367</v>
      </c>
      <c r="J59" s="206" t="s">
        <v>114</v>
      </c>
      <c r="K59" s="204"/>
    </row>
    <row r="60" spans="1:11" s="197" customFormat="1" ht="48" hidden="1">
      <c r="A60" s="198" t="s">
        <v>1385</v>
      </c>
      <c r="B60" s="199" t="s">
        <v>16</v>
      </c>
      <c r="C60" s="199" t="s">
        <v>616</v>
      </c>
      <c r="D60" s="208" t="s">
        <v>1386</v>
      </c>
      <c r="E60" s="210" t="s">
        <v>1416</v>
      </c>
      <c r="F60" s="202" t="str">
        <f>VLOOKUP(D60,CSR!$D$4:$E$1180,2,FALSE)</f>
        <v>CSR_11408</v>
      </c>
      <c r="G60" s="203">
        <v>46052</v>
      </c>
      <c r="H60" s="204">
        <v>3</v>
      </c>
      <c r="I60" s="205">
        <f t="shared" si="0"/>
        <v>0.15789473684210525</v>
      </c>
      <c r="J60" s="206" t="s">
        <v>125</v>
      </c>
      <c r="K60" s="204"/>
    </row>
    <row r="61" spans="1:11" s="197" customFormat="1" ht="32" hidden="1">
      <c r="A61" s="198" t="s">
        <v>1385</v>
      </c>
      <c r="B61" s="199" t="s">
        <v>16</v>
      </c>
      <c r="C61" s="199" t="s">
        <v>616</v>
      </c>
      <c r="D61" s="208" t="s">
        <v>18</v>
      </c>
      <c r="E61" s="210" t="s">
        <v>1423</v>
      </c>
      <c r="F61" s="202" t="str">
        <f>VLOOKUP(D61,CSR!$D$4:$E$1180,2,FALSE)</f>
        <v>CSR_11300</v>
      </c>
      <c r="G61" s="203">
        <v>46052</v>
      </c>
      <c r="H61" s="204">
        <v>2</v>
      </c>
      <c r="I61" s="205">
        <f t="shared" si="0"/>
        <v>0.10526315789473684</v>
      </c>
      <c r="J61" s="206" t="s">
        <v>125</v>
      </c>
      <c r="K61" s="204"/>
    </row>
    <row r="62" spans="1:11" s="197" customFormat="1" ht="48" hidden="1">
      <c r="A62" s="198" t="s">
        <v>1171</v>
      </c>
      <c r="B62" s="199" t="s">
        <v>16</v>
      </c>
      <c r="C62" s="199" t="s">
        <v>616</v>
      </c>
      <c r="D62" s="208" t="s">
        <v>1386</v>
      </c>
      <c r="E62" s="210" t="s">
        <v>1418</v>
      </c>
      <c r="F62" s="202" t="str">
        <f>VLOOKUP(D62,CSR!$D$4:$E$1180,2,FALSE)</f>
        <v>CSR_11408</v>
      </c>
      <c r="G62" s="203">
        <v>46059</v>
      </c>
      <c r="H62" s="204">
        <v>3</v>
      </c>
      <c r="I62" s="205">
        <f t="shared" si="0"/>
        <v>0.15789473684210525</v>
      </c>
      <c r="J62" s="206" t="s">
        <v>125</v>
      </c>
      <c r="K62" s="204"/>
    </row>
    <row r="63" spans="1:11" s="197" customFormat="1" ht="32" hidden="1">
      <c r="A63" s="198" t="s">
        <v>1171</v>
      </c>
      <c r="B63" s="199" t="s">
        <v>16</v>
      </c>
      <c r="C63" s="199" t="s">
        <v>616</v>
      </c>
      <c r="D63" s="207" t="s">
        <v>1405</v>
      </c>
      <c r="E63" s="201" t="s">
        <v>1424</v>
      </c>
      <c r="F63" s="202" t="str">
        <f>VLOOKUP(D63,CSR!$D$4:$E$1180,2,FALSE)</f>
        <v>CSR_11302</v>
      </c>
      <c r="G63" s="203">
        <v>46059</v>
      </c>
      <c r="H63" s="204">
        <v>1</v>
      </c>
      <c r="I63" s="205">
        <f t="shared" si="0"/>
        <v>5.2631578947368418E-2</v>
      </c>
      <c r="J63" s="217" t="s">
        <v>125</v>
      </c>
      <c r="K63" s="204"/>
    </row>
    <row r="64" spans="1:11" s="197" customFormat="1" ht="32" hidden="1">
      <c r="A64" s="198" t="s">
        <v>1171</v>
      </c>
      <c r="B64" s="199" t="s">
        <v>16</v>
      </c>
      <c r="C64" s="199" t="s">
        <v>616</v>
      </c>
      <c r="D64" s="200" t="s">
        <v>1172</v>
      </c>
      <c r="E64" s="201" t="s">
        <v>1392</v>
      </c>
      <c r="F64" s="202" t="str">
        <f>VLOOKUP(D64,CSR!$D$4:$E$1180,2,FALSE)</f>
        <v>CSR_11409</v>
      </c>
      <c r="G64" s="203">
        <v>46066</v>
      </c>
      <c r="H64" s="208">
        <v>2</v>
      </c>
      <c r="I64" s="205">
        <f t="shared" si="0"/>
        <v>0.10526315789473684</v>
      </c>
      <c r="J64" s="206" t="s">
        <v>125</v>
      </c>
      <c r="K64" s="204"/>
    </row>
    <row r="65" spans="1:11" s="197" customFormat="1" ht="32" hidden="1">
      <c r="A65" s="198" t="s">
        <v>1171</v>
      </c>
      <c r="B65" s="199" t="s">
        <v>16</v>
      </c>
      <c r="C65" s="199" t="s">
        <v>616</v>
      </c>
      <c r="D65" s="200" t="s">
        <v>1172</v>
      </c>
      <c r="E65" s="201" t="s">
        <v>1407</v>
      </c>
      <c r="F65" s="202" t="str">
        <f>VLOOKUP(D65,CSR!$D$4:$E$1180,2,FALSE)</f>
        <v>CSR_11409</v>
      </c>
      <c r="G65" s="203">
        <v>46066</v>
      </c>
      <c r="H65" s="204">
        <v>3</v>
      </c>
      <c r="I65" s="205">
        <f t="shared" si="0"/>
        <v>0.15789473684210525</v>
      </c>
      <c r="J65" s="206" t="s">
        <v>125</v>
      </c>
      <c r="K65" s="204"/>
    </row>
    <row r="66" spans="1:11" s="197" customFormat="1" ht="32" hidden="1">
      <c r="A66" s="198" t="s">
        <v>1171</v>
      </c>
      <c r="B66" s="199" t="s">
        <v>16</v>
      </c>
      <c r="C66" s="199" t="s">
        <v>616</v>
      </c>
      <c r="D66" s="200" t="s">
        <v>1172</v>
      </c>
      <c r="E66" s="201" t="s">
        <v>1408</v>
      </c>
      <c r="F66" s="202" t="str">
        <f>VLOOKUP(D66,CSR!$D$4:$E$1180,2,FALSE)</f>
        <v>CSR_11409</v>
      </c>
      <c r="G66" s="203">
        <v>46066</v>
      </c>
      <c r="H66" s="208">
        <v>2</v>
      </c>
      <c r="I66" s="205">
        <f t="shared" ref="I66:I129" si="1">H66*10/190</f>
        <v>0.10526315789473684</v>
      </c>
      <c r="J66" s="206" t="s">
        <v>125</v>
      </c>
      <c r="K66" s="204"/>
    </row>
    <row r="67" spans="1:11" s="197" customFormat="1" ht="32" hidden="1">
      <c r="A67" s="198" t="s">
        <v>1171</v>
      </c>
      <c r="B67" s="199" t="s">
        <v>16</v>
      </c>
      <c r="C67" s="199" t="s">
        <v>616</v>
      </c>
      <c r="D67" s="200" t="s">
        <v>1172</v>
      </c>
      <c r="E67" s="201" t="s">
        <v>1414</v>
      </c>
      <c r="F67" s="202" t="str">
        <f>VLOOKUP(D67,CSR!$D$4:$E$1180,2,FALSE)</f>
        <v>CSR_11409</v>
      </c>
      <c r="G67" s="203">
        <v>46066</v>
      </c>
      <c r="H67" s="208">
        <v>3</v>
      </c>
      <c r="I67" s="205">
        <f t="shared" si="1"/>
        <v>0.15789473684210525</v>
      </c>
      <c r="J67" s="206" t="s">
        <v>125</v>
      </c>
      <c r="K67" s="204"/>
    </row>
    <row r="68" spans="1:11" s="197" customFormat="1" ht="32" hidden="1">
      <c r="A68" s="198" t="s">
        <v>1385</v>
      </c>
      <c r="B68" s="199" t="s">
        <v>16</v>
      </c>
      <c r="C68" s="199" t="s">
        <v>616</v>
      </c>
      <c r="D68" s="208" t="s">
        <v>65</v>
      </c>
      <c r="E68" s="210" t="s">
        <v>1425</v>
      </c>
      <c r="F68" s="202" t="str">
        <f>VLOOKUP(D68,CSR!$D$4:$E$1180,2,FALSE)</f>
        <v>CSR_10800</v>
      </c>
      <c r="G68" s="203">
        <v>46052</v>
      </c>
      <c r="H68" s="204">
        <v>3</v>
      </c>
      <c r="I68" s="205">
        <f t="shared" si="1"/>
        <v>0.15789473684210525</v>
      </c>
      <c r="J68" s="199" t="s">
        <v>134</v>
      </c>
      <c r="K68" s="204"/>
    </row>
    <row r="69" spans="1:11" s="197" customFormat="1" ht="32" hidden="1">
      <c r="A69" s="198" t="s">
        <v>1385</v>
      </c>
      <c r="B69" s="199" t="s">
        <v>16</v>
      </c>
      <c r="C69" s="199" t="s">
        <v>616</v>
      </c>
      <c r="D69" s="208" t="s">
        <v>131</v>
      </c>
      <c r="E69" s="210" t="s">
        <v>1426</v>
      </c>
      <c r="F69" s="202" t="str">
        <f>VLOOKUP(D69,CSR!$D$4:$E$1180,2,FALSE)</f>
        <v>CSR_10400</v>
      </c>
      <c r="G69" s="203">
        <v>46052</v>
      </c>
      <c r="H69" s="204">
        <v>2</v>
      </c>
      <c r="I69" s="205">
        <f t="shared" si="1"/>
        <v>0.10526315789473684</v>
      </c>
      <c r="J69" s="206" t="s">
        <v>134</v>
      </c>
      <c r="K69" s="204"/>
    </row>
    <row r="70" spans="1:11" s="197" customFormat="1" ht="32" hidden="1">
      <c r="A70" s="198" t="s">
        <v>1171</v>
      </c>
      <c r="B70" s="199" t="s">
        <v>16</v>
      </c>
      <c r="C70" s="199" t="s">
        <v>616</v>
      </c>
      <c r="D70" s="208" t="s">
        <v>65</v>
      </c>
      <c r="E70" s="210" t="s">
        <v>1425</v>
      </c>
      <c r="F70" s="202" t="str">
        <f>VLOOKUP(D70,CSR!$D$4:$E$1180,2,FALSE)</f>
        <v>CSR_10800</v>
      </c>
      <c r="G70" s="203">
        <v>46059</v>
      </c>
      <c r="H70" s="204">
        <v>3</v>
      </c>
      <c r="I70" s="205">
        <f t="shared" si="1"/>
        <v>0.15789473684210525</v>
      </c>
      <c r="J70" s="199" t="s">
        <v>134</v>
      </c>
      <c r="K70" s="204"/>
    </row>
    <row r="71" spans="1:11" s="197" customFormat="1" ht="32" hidden="1">
      <c r="A71" s="198" t="s">
        <v>1171</v>
      </c>
      <c r="B71" s="198" t="s">
        <v>49</v>
      </c>
      <c r="C71" s="198" t="s">
        <v>175</v>
      </c>
      <c r="D71" s="208" t="s">
        <v>191</v>
      </c>
      <c r="E71" s="201" t="s">
        <v>1427</v>
      </c>
      <c r="F71" s="202" t="str">
        <f>VLOOKUP(D71,CSR!$D$4:$E$1180,2,FALSE)</f>
        <v>CSR_40300</v>
      </c>
      <c r="G71" s="203">
        <v>46059</v>
      </c>
      <c r="H71" s="204">
        <v>1</v>
      </c>
      <c r="I71" s="205">
        <f t="shared" si="1"/>
        <v>5.2631578947368418E-2</v>
      </c>
      <c r="J71" s="199" t="s">
        <v>134</v>
      </c>
      <c r="K71" s="208"/>
    </row>
    <row r="72" spans="1:11" s="197" customFormat="1" ht="32" hidden="1">
      <c r="A72" s="198" t="s">
        <v>1171</v>
      </c>
      <c r="B72" s="199" t="s">
        <v>49</v>
      </c>
      <c r="C72" s="198" t="s">
        <v>175</v>
      </c>
      <c r="D72" s="208" t="s">
        <v>202</v>
      </c>
      <c r="E72" s="210" t="s">
        <v>1428</v>
      </c>
      <c r="F72" s="202" t="str">
        <f>VLOOKUP(D72,CSR!$D$4:$E$1180,2,FALSE)</f>
        <v>CSR_40600</v>
      </c>
      <c r="G72" s="203">
        <v>46059</v>
      </c>
      <c r="H72" s="204">
        <v>1</v>
      </c>
      <c r="I72" s="205">
        <f t="shared" si="1"/>
        <v>5.2631578947368418E-2</v>
      </c>
      <c r="J72" s="206" t="s">
        <v>134</v>
      </c>
      <c r="K72" s="204"/>
    </row>
    <row r="73" spans="1:11" s="197" customFormat="1" ht="32" hidden="1">
      <c r="A73" s="198" t="s">
        <v>1171</v>
      </c>
      <c r="B73" s="199" t="s">
        <v>16</v>
      </c>
      <c r="C73" s="199" t="s">
        <v>616</v>
      </c>
      <c r="D73" s="200" t="s">
        <v>1172</v>
      </c>
      <c r="E73" s="201" t="s">
        <v>1392</v>
      </c>
      <c r="F73" s="202" t="str">
        <f>VLOOKUP(D73,CSR!$D$4:$E$1180,2,FALSE)</f>
        <v>CSR_11409</v>
      </c>
      <c r="G73" s="203">
        <v>46066</v>
      </c>
      <c r="H73" s="204">
        <v>3</v>
      </c>
      <c r="I73" s="205">
        <f t="shared" si="1"/>
        <v>0.15789473684210525</v>
      </c>
      <c r="J73" s="206" t="s">
        <v>134</v>
      </c>
      <c r="K73" s="204"/>
    </row>
    <row r="74" spans="1:11" s="197" customFormat="1" ht="32" hidden="1">
      <c r="A74" s="198" t="s">
        <v>1171</v>
      </c>
      <c r="B74" s="199" t="s">
        <v>16</v>
      </c>
      <c r="C74" s="199" t="s">
        <v>616</v>
      </c>
      <c r="D74" s="208" t="s">
        <v>65</v>
      </c>
      <c r="E74" s="210" t="s">
        <v>1425</v>
      </c>
      <c r="F74" s="202" t="str">
        <f>VLOOKUP(D74,CSR!$D$4:$E$1180,2,FALSE)</f>
        <v>CSR_10800</v>
      </c>
      <c r="G74" s="203">
        <v>46066</v>
      </c>
      <c r="H74" s="204">
        <v>2</v>
      </c>
      <c r="I74" s="205">
        <f t="shared" si="1"/>
        <v>0.10526315789473684</v>
      </c>
      <c r="J74" s="199" t="s">
        <v>134</v>
      </c>
      <c r="K74" s="208"/>
    </row>
    <row r="75" spans="1:11" s="197" customFormat="1" ht="32" hidden="1">
      <c r="A75" s="198" t="s">
        <v>1171</v>
      </c>
      <c r="B75" s="199" t="s">
        <v>16</v>
      </c>
      <c r="C75" s="199" t="s">
        <v>616</v>
      </c>
      <c r="D75" s="200" t="s">
        <v>1172</v>
      </c>
      <c r="E75" s="201" t="s">
        <v>1394</v>
      </c>
      <c r="F75" s="202" t="str">
        <f>VLOOKUP(D75,CSR!$D$4:$E$1180,2,FALSE)</f>
        <v>CSR_11409</v>
      </c>
      <c r="G75" s="203">
        <v>46066</v>
      </c>
      <c r="H75" s="208">
        <v>4</v>
      </c>
      <c r="I75" s="205">
        <f t="shared" si="1"/>
        <v>0.21052631578947367</v>
      </c>
      <c r="J75" s="199" t="s">
        <v>134</v>
      </c>
      <c r="K75" s="204"/>
    </row>
    <row r="76" spans="1:11" s="197" customFormat="1" ht="48" hidden="1">
      <c r="A76" s="198" t="s">
        <v>1171</v>
      </c>
      <c r="B76" s="199" t="s">
        <v>16</v>
      </c>
      <c r="C76" s="199" t="s">
        <v>616</v>
      </c>
      <c r="D76" s="200" t="s">
        <v>1386</v>
      </c>
      <c r="E76" s="201" t="s">
        <v>1429</v>
      </c>
      <c r="F76" s="202" t="str">
        <f>VLOOKUP(D76,CSR!$D$4:$E$1180,2,FALSE)</f>
        <v>CSR_11408</v>
      </c>
      <c r="G76" s="203">
        <v>46056</v>
      </c>
      <c r="H76" s="208">
        <v>4</v>
      </c>
      <c r="I76" s="205">
        <f t="shared" si="1"/>
        <v>0.21052631578947367</v>
      </c>
      <c r="J76" s="206" t="s">
        <v>827</v>
      </c>
      <c r="K76" s="204"/>
    </row>
    <row r="77" spans="1:11" s="197" customFormat="1" ht="48" hidden="1">
      <c r="A77" s="198" t="s">
        <v>1171</v>
      </c>
      <c r="B77" s="199" t="s">
        <v>16</v>
      </c>
      <c r="C77" s="199" t="s">
        <v>616</v>
      </c>
      <c r="D77" s="200" t="s">
        <v>710</v>
      </c>
      <c r="E77" s="201" t="s">
        <v>1430</v>
      </c>
      <c r="F77" s="202" t="str">
        <f>VLOOKUP(D77,CSR!$D$4:$E$1180,2,FALSE)</f>
        <v>CSR_11409</v>
      </c>
      <c r="G77" s="203" t="s">
        <v>1431</v>
      </c>
      <c r="H77" s="208">
        <v>3</v>
      </c>
      <c r="I77" s="205">
        <f t="shared" si="1"/>
        <v>0.15789473684210525</v>
      </c>
      <c r="J77" s="206" t="s">
        <v>827</v>
      </c>
      <c r="K77" s="204"/>
    </row>
    <row r="78" spans="1:11" s="197" customFormat="1" ht="32" hidden="1">
      <c r="A78" s="198" t="s">
        <v>1171</v>
      </c>
      <c r="B78" s="199" t="s">
        <v>16</v>
      </c>
      <c r="C78" s="199" t="s">
        <v>616</v>
      </c>
      <c r="D78" s="200" t="s">
        <v>710</v>
      </c>
      <c r="E78" s="201" t="s">
        <v>1227</v>
      </c>
      <c r="F78" s="202" t="str">
        <f>VLOOKUP(D78,CSR!$D$4:$E$1180,2,FALSE)</f>
        <v>CSR_11409</v>
      </c>
      <c r="G78" s="203" t="s">
        <v>1432</v>
      </c>
      <c r="H78" s="208">
        <v>4</v>
      </c>
      <c r="I78" s="205">
        <f t="shared" si="1"/>
        <v>0.21052631578947367</v>
      </c>
      <c r="J78" s="206" t="s">
        <v>827</v>
      </c>
      <c r="K78" s="204"/>
    </row>
    <row r="79" spans="1:11" s="197" customFormat="1" ht="32" hidden="1">
      <c r="A79" s="198" t="s">
        <v>1171</v>
      </c>
      <c r="B79" s="199" t="s">
        <v>16</v>
      </c>
      <c r="C79" s="199" t="s">
        <v>616</v>
      </c>
      <c r="D79" s="200" t="s">
        <v>710</v>
      </c>
      <c r="E79" s="201" t="s">
        <v>1227</v>
      </c>
      <c r="F79" s="202" t="str">
        <f>VLOOKUP(D79,CSR!$D$4:$E$1180,2,FALSE)</f>
        <v>CSR_11409</v>
      </c>
      <c r="G79" s="203" t="s">
        <v>1433</v>
      </c>
      <c r="H79" s="208">
        <v>4</v>
      </c>
      <c r="I79" s="205">
        <f t="shared" si="1"/>
        <v>0.21052631578947367</v>
      </c>
      <c r="J79" s="206" t="s">
        <v>827</v>
      </c>
      <c r="K79" s="204"/>
    </row>
    <row r="80" spans="1:11" s="197" customFormat="1" ht="32" hidden="1">
      <c r="A80" s="198" t="s">
        <v>1171</v>
      </c>
      <c r="B80" s="199" t="s">
        <v>16</v>
      </c>
      <c r="C80" s="199" t="s">
        <v>616</v>
      </c>
      <c r="D80" s="200" t="s">
        <v>710</v>
      </c>
      <c r="E80" s="201" t="s">
        <v>1227</v>
      </c>
      <c r="F80" s="202" t="str">
        <f>VLOOKUP(D80,CSR!$D$4:$E$1180,2,FALSE)</f>
        <v>CSR_11409</v>
      </c>
      <c r="G80" s="203" t="s">
        <v>1434</v>
      </c>
      <c r="H80" s="208">
        <v>4</v>
      </c>
      <c r="I80" s="205">
        <f t="shared" si="1"/>
        <v>0.21052631578947367</v>
      </c>
      <c r="J80" s="206" t="s">
        <v>827</v>
      </c>
      <c r="K80" s="204"/>
    </row>
    <row r="81" spans="1:11" ht="48" hidden="1">
      <c r="A81" s="198" t="s">
        <v>1244</v>
      </c>
      <c r="B81" s="199" t="s">
        <v>16</v>
      </c>
      <c r="C81" s="199" t="s">
        <v>17</v>
      </c>
      <c r="D81" s="200" t="s">
        <v>1386</v>
      </c>
      <c r="E81" s="210" t="s">
        <v>1435</v>
      </c>
      <c r="F81" s="202" t="str">
        <f>VLOOKUP(D81,CSR!$D$4:$E$1180,2,FALSE)</f>
        <v>CSR_11408</v>
      </c>
      <c r="G81" s="203">
        <v>46056</v>
      </c>
      <c r="H81" s="204">
        <v>4</v>
      </c>
      <c r="I81" s="205">
        <f t="shared" si="1"/>
        <v>0.21052631578947367</v>
      </c>
      <c r="J81" s="206" t="s">
        <v>154</v>
      </c>
      <c r="K81" s="204"/>
    </row>
    <row r="82" spans="1:11" ht="48" hidden="1">
      <c r="A82" s="198" t="s">
        <v>1244</v>
      </c>
      <c r="B82" s="199" t="s">
        <v>16</v>
      </c>
      <c r="C82" s="199" t="s">
        <v>17</v>
      </c>
      <c r="D82" s="207" t="s">
        <v>1172</v>
      </c>
      <c r="E82" s="210" t="s">
        <v>1436</v>
      </c>
      <c r="F82" s="202" t="str">
        <f>VLOOKUP(D82,CSR!$D$4:$E$1180,2,FALSE)</f>
        <v>CSR_11409</v>
      </c>
      <c r="G82" s="203" t="s">
        <v>1437</v>
      </c>
      <c r="H82" s="204">
        <v>3</v>
      </c>
      <c r="I82" s="205">
        <f t="shared" si="1"/>
        <v>0.15789473684210525</v>
      </c>
      <c r="J82" s="206" t="s">
        <v>154</v>
      </c>
      <c r="K82" s="204"/>
    </row>
    <row r="83" spans="1:11" ht="32" hidden="1">
      <c r="A83" s="198" t="s">
        <v>1244</v>
      </c>
      <c r="B83" s="199" t="s">
        <v>16</v>
      </c>
      <c r="C83" s="199" t="s">
        <v>17</v>
      </c>
      <c r="D83" s="207" t="s">
        <v>1172</v>
      </c>
      <c r="E83" s="210" t="s">
        <v>1438</v>
      </c>
      <c r="F83" s="202" t="str">
        <f>VLOOKUP(D83,CSR!$D$4:$E$1180,2,FALSE)</f>
        <v>CSR_11409</v>
      </c>
      <c r="G83" s="203" t="s">
        <v>1439</v>
      </c>
      <c r="H83" s="204">
        <v>4</v>
      </c>
      <c r="I83" s="205">
        <f t="shared" si="1"/>
        <v>0.21052631578947367</v>
      </c>
      <c r="J83" s="206" t="s">
        <v>154</v>
      </c>
      <c r="K83" s="204"/>
    </row>
    <row r="84" spans="1:11" ht="32" hidden="1">
      <c r="A84" s="198" t="s">
        <v>1244</v>
      </c>
      <c r="B84" s="199" t="s">
        <v>16</v>
      </c>
      <c r="C84" s="199" t="s">
        <v>17</v>
      </c>
      <c r="D84" s="207" t="s">
        <v>1172</v>
      </c>
      <c r="E84" s="210" t="s">
        <v>1438</v>
      </c>
      <c r="F84" s="202" t="str">
        <f>VLOOKUP(D84,CSR!$D$4:$E$1180,2,FALSE)</f>
        <v>CSR_11409</v>
      </c>
      <c r="G84" s="203" t="s">
        <v>1440</v>
      </c>
      <c r="H84" s="204">
        <v>4</v>
      </c>
      <c r="I84" s="205">
        <f t="shared" si="1"/>
        <v>0.21052631578947367</v>
      </c>
      <c r="J84" s="206" t="s">
        <v>154</v>
      </c>
      <c r="K84" s="204"/>
    </row>
    <row r="85" spans="1:11" ht="32" hidden="1">
      <c r="A85" s="198" t="s">
        <v>1244</v>
      </c>
      <c r="B85" s="199" t="s">
        <v>16</v>
      </c>
      <c r="C85" s="199" t="s">
        <v>17</v>
      </c>
      <c r="D85" s="207" t="s">
        <v>1172</v>
      </c>
      <c r="E85" s="210" t="s">
        <v>1438</v>
      </c>
      <c r="F85" s="202" t="str">
        <f>VLOOKUP(D85,CSR!$D$4:$E$1180,2,FALSE)</f>
        <v>CSR_11409</v>
      </c>
      <c r="G85" s="203" t="s">
        <v>1441</v>
      </c>
      <c r="H85" s="204">
        <v>4</v>
      </c>
      <c r="I85" s="205">
        <f t="shared" si="1"/>
        <v>0.21052631578947367</v>
      </c>
      <c r="J85" s="206" t="s">
        <v>154</v>
      </c>
      <c r="K85" s="204"/>
    </row>
    <row r="86" spans="1:11" s="197" customFormat="1" ht="32">
      <c r="A86" s="198" t="s">
        <v>1385</v>
      </c>
      <c r="B86" s="198" t="s">
        <v>31</v>
      </c>
      <c r="C86" s="198" t="s">
        <v>32</v>
      </c>
      <c r="D86" s="200" t="s">
        <v>157</v>
      </c>
      <c r="E86" s="210" t="s">
        <v>842</v>
      </c>
      <c r="F86" s="202" t="str">
        <f>VLOOKUP(D86,CSR!$D$4:$E$1180,2,FALSE)</f>
        <v>CSR_30600</v>
      </c>
      <c r="G86" s="203">
        <v>46052</v>
      </c>
      <c r="H86" s="204">
        <v>5</v>
      </c>
      <c r="I86" s="205">
        <f t="shared" si="1"/>
        <v>0.26315789473684209</v>
      </c>
      <c r="J86" s="206" t="s">
        <v>160</v>
      </c>
      <c r="K86" s="204"/>
    </row>
    <row r="87" spans="1:11" s="197" customFormat="1" ht="32">
      <c r="A87" s="198" t="s">
        <v>1171</v>
      </c>
      <c r="B87" s="198" t="s">
        <v>31</v>
      </c>
      <c r="C87" s="198" t="s">
        <v>32</v>
      </c>
      <c r="D87" s="200" t="s">
        <v>157</v>
      </c>
      <c r="E87" s="210" t="s">
        <v>842</v>
      </c>
      <c r="F87" s="202" t="str">
        <f>VLOOKUP(D87,CSR!$D$4:$E$1180,2,FALSE)</f>
        <v>CSR_30600</v>
      </c>
      <c r="G87" s="203">
        <v>46059</v>
      </c>
      <c r="H87" s="204">
        <v>5</v>
      </c>
      <c r="I87" s="205">
        <f t="shared" si="1"/>
        <v>0.26315789473684209</v>
      </c>
      <c r="J87" s="206" t="s">
        <v>160</v>
      </c>
      <c r="K87" s="204"/>
    </row>
    <row r="88" spans="1:11" s="197" customFormat="1" ht="32">
      <c r="A88" s="198" t="s">
        <v>1171</v>
      </c>
      <c r="B88" s="198" t="s">
        <v>31</v>
      </c>
      <c r="C88" s="198" t="s">
        <v>32</v>
      </c>
      <c r="D88" s="200" t="s">
        <v>157</v>
      </c>
      <c r="E88" s="210" t="s">
        <v>842</v>
      </c>
      <c r="F88" s="202" t="str">
        <f>VLOOKUP(D88,CSR!$D$4:$E$1180,2,FALSE)</f>
        <v>CSR_30600</v>
      </c>
      <c r="G88" s="203">
        <v>46066</v>
      </c>
      <c r="H88" s="204">
        <v>5</v>
      </c>
      <c r="I88" s="205">
        <f t="shared" si="1"/>
        <v>0.26315789473684209</v>
      </c>
      <c r="J88" s="206" t="s">
        <v>160</v>
      </c>
      <c r="K88" s="204"/>
    </row>
    <row r="89" spans="1:11" s="197" customFormat="1" ht="32">
      <c r="A89" s="198" t="s">
        <v>1171</v>
      </c>
      <c r="B89" s="198" t="s">
        <v>31</v>
      </c>
      <c r="C89" s="198" t="s">
        <v>32</v>
      </c>
      <c r="D89" s="200" t="s">
        <v>157</v>
      </c>
      <c r="E89" s="210" t="s">
        <v>842</v>
      </c>
      <c r="F89" s="202" t="str">
        <f>VLOOKUP(D89,CSR!$D$4:$E$1180,2,FALSE)</f>
        <v>CSR_30600</v>
      </c>
      <c r="G89" s="203">
        <v>46073</v>
      </c>
      <c r="H89" s="204">
        <v>4</v>
      </c>
      <c r="I89" s="205">
        <f t="shared" si="1"/>
        <v>0.21052631578947367</v>
      </c>
      <c r="J89" s="206" t="s">
        <v>160</v>
      </c>
      <c r="K89" s="204"/>
    </row>
    <row r="90" spans="1:11" s="197" customFormat="1" ht="32">
      <c r="A90" s="198" t="s">
        <v>1171</v>
      </c>
      <c r="B90" s="199" t="s">
        <v>31</v>
      </c>
      <c r="C90" s="199" t="s">
        <v>759</v>
      </c>
      <c r="D90" s="200" t="s">
        <v>157</v>
      </c>
      <c r="E90" s="201" t="s">
        <v>842</v>
      </c>
      <c r="F90" s="202" t="str">
        <f>VLOOKUP(D90,CSR!$D$4:$E$1180,2,FALSE)</f>
        <v>CSR_30600</v>
      </c>
      <c r="G90" s="203">
        <v>46052</v>
      </c>
      <c r="H90" s="208">
        <v>5</v>
      </c>
      <c r="I90" s="205">
        <f t="shared" si="1"/>
        <v>0.26315789473684209</v>
      </c>
      <c r="J90" s="206" t="s">
        <v>843</v>
      </c>
      <c r="K90" s="204"/>
    </row>
    <row r="91" spans="1:11" s="197" customFormat="1" ht="32">
      <c r="A91" s="198" t="s">
        <v>1171</v>
      </c>
      <c r="B91" s="199" t="s">
        <v>31</v>
      </c>
      <c r="C91" s="199" t="s">
        <v>759</v>
      </c>
      <c r="D91" s="200" t="s">
        <v>157</v>
      </c>
      <c r="E91" s="201" t="s">
        <v>842</v>
      </c>
      <c r="F91" s="202" t="str">
        <f>VLOOKUP(D91,CSR!$D$4:$E$1180,2,FALSE)</f>
        <v>CSR_30600</v>
      </c>
      <c r="G91" s="203">
        <v>46059</v>
      </c>
      <c r="H91" s="208">
        <v>5</v>
      </c>
      <c r="I91" s="205">
        <f t="shared" si="1"/>
        <v>0.26315789473684209</v>
      </c>
      <c r="J91" s="206" t="s">
        <v>843</v>
      </c>
      <c r="K91" s="204"/>
    </row>
    <row r="92" spans="1:11" s="197" customFormat="1" ht="32">
      <c r="A92" s="198" t="s">
        <v>1171</v>
      </c>
      <c r="B92" s="199" t="s">
        <v>31</v>
      </c>
      <c r="C92" s="199" t="s">
        <v>759</v>
      </c>
      <c r="D92" s="200" t="s">
        <v>157</v>
      </c>
      <c r="E92" s="201" t="s">
        <v>842</v>
      </c>
      <c r="F92" s="202" t="str">
        <f>VLOOKUP(D92,CSR!$D$4:$E$1180,2,FALSE)</f>
        <v>CSR_30600</v>
      </c>
      <c r="G92" s="203">
        <v>46066</v>
      </c>
      <c r="H92" s="208">
        <v>5</v>
      </c>
      <c r="I92" s="205">
        <f t="shared" si="1"/>
        <v>0.26315789473684209</v>
      </c>
      <c r="J92" s="206" t="s">
        <v>843</v>
      </c>
      <c r="K92" s="204"/>
    </row>
    <row r="93" spans="1:11" s="197" customFormat="1" ht="32">
      <c r="A93" s="198" t="s">
        <v>1171</v>
      </c>
      <c r="B93" s="199" t="s">
        <v>31</v>
      </c>
      <c r="C93" s="199" t="s">
        <v>759</v>
      </c>
      <c r="D93" s="200" t="s">
        <v>157</v>
      </c>
      <c r="E93" s="201" t="s">
        <v>842</v>
      </c>
      <c r="F93" s="202" t="str">
        <f>VLOOKUP(D93,CSR!$D$4:$E$1180,2,FALSE)</f>
        <v>CSR_30600</v>
      </c>
      <c r="G93" s="203">
        <v>46073</v>
      </c>
      <c r="H93" s="208">
        <v>4</v>
      </c>
      <c r="I93" s="205">
        <f t="shared" si="1"/>
        <v>0.21052631578947367</v>
      </c>
      <c r="J93" s="206" t="s">
        <v>843</v>
      </c>
      <c r="K93" s="204"/>
    </row>
    <row r="94" spans="1:11" s="197" customFormat="1" ht="32" hidden="1">
      <c r="A94" s="198" t="s">
        <v>1385</v>
      </c>
      <c r="B94" s="213" t="s">
        <v>775</v>
      </c>
      <c r="C94" s="213" t="s">
        <v>175</v>
      </c>
      <c r="D94" s="215" t="s">
        <v>785</v>
      </c>
      <c r="E94" s="210" t="s">
        <v>1442</v>
      </c>
      <c r="F94" s="202" t="str">
        <f>VLOOKUP(D94,CSR!$D$4:$E$1180,2,FALSE)</f>
        <v>CSR_40400</v>
      </c>
      <c r="G94" s="203">
        <v>46043</v>
      </c>
      <c r="H94" s="204">
        <v>2</v>
      </c>
      <c r="I94" s="205">
        <f t="shared" si="1"/>
        <v>0.10526315789473684</v>
      </c>
      <c r="J94" s="206" t="s">
        <v>1020</v>
      </c>
      <c r="K94" s="204"/>
    </row>
    <row r="95" spans="1:11" s="197" customFormat="1" ht="32" hidden="1">
      <c r="A95" s="198" t="s">
        <v>1385</v>
      </c>
      <c r="B95" s="199" t="s">
        <v>16</v>
      </c>
      <c r="C95" s="199" t="s">
        <v>616</v>
      </c>
      <c r="D95" s="215" t="s">
        <v>638</v>
      </c>
      <c r="E95" s="210" t="s">
        <v>1443</v>
      </c>
      <c r="F95" s="202" t="str">
        <f>VLOOKUP(D95,CSR!$D$4:$E$1180,2,FALSE)</f>
        <v>CSR_11000</v>
      </c>
      <c r="G95" s="203">
        <v>46050</v>
      </c>
      <c r="H95" s="204">
        <v>3</v>
      </c>
      <c r="I95" s="205">
        <f t="shared" si="1"/>
        <v>0.15789473684210525</v>
      </c>
      <c r="J95" s="206" t="s">
        <v>1020</v>
      </c>
      <c r="K95" s="204"/>
    </row>
    <row r="96" spans="1:11" s="197" customFormat="1" ht="48" hidden="1">
      <c r="A96" s="198" t="s">
        <v>1171</v>
      </c>
      <c r="B96" s="199" t="s">
        <v>16</v>
      </c>
      <c r="C96" s="199" t="s">
        <v>616</v>
      </c>
      <c r="D96" s="200" t="s">
        <v>1172</v>
      </c>
      <c r="E96" s="218" t="s">
        <v>1444</v>
      </c>
      <c r="F96" s="202" t="str">
        <f>VLOOKUP(D96,CSR!$D$4:$E$1180,2,FALSE)</f>
        <v>CSR_11409</v>
      </c>
      <c r="G96" s="203">
        <v>46073</v>
      </c>
      <c r="H96" s="204">
        <v>2</v>
      </c>
      <c r="I96" s="205">
        <f t="shared" si="1"/>
        <v>0.10526315789473684</v>
      </c>
      <c r="J96" s="206" t="s">
        <v>1020</v>
      </c>
      <c r="K96" s="204"/>
    </row>
    <row r="97" spans="1:11" s="197" customFormat="1" ht="48" hidden="1">
      <c r="A97" s="198" t="s">
        <v>1171</v>
      </c>
      <c r="B97" s="199" t="s">
        <v>16</v>
      </c>
      <c r="C97" s="199" t="s">
        <v>616</v>
      </c>
      <c r="D97" s="208" t="s">
        <v>1386</v>
      </c>
      <c r="E97" s="218" t="s">
        <v>1445</v>
      </c>
      <c r="F97" s="202" t="str">
        <f>VLOOKUP(D97,CSR!$D$4:$E$1180,2,FALSE)</f>
        <v>CSR_11408</v>
      </c>
      <c r="G97" s="203">
        <v>46056</v>
      </c>
      <c r="H97" s="204">
        <v>1</v>
      </c>
      <c r="I97" s="205">
        <f t="shared" si="1"/>
        <v>5.2631578947368418E-2</v>
      </c>
      <c r="J97" s="206" t="s">
        <v>1020</v>
      </c>
      <c r="K97" s="204"/>
    </row>
    <row r="98" spans="1:11" s="197" customFormat="1" ht="64" hidden="1">
      <c r="A98" s="198" t="s">
        <v>1171</v>
      </c>
      <c r="B98" s="213" t="s">
        <v>775</v>
      </c>
      <c r="C98" s="213" t="s">
        <v>175</v>
      </c>
      <c r="D98" s="215" t="s">
        <v>785</v>
      </c>
      <c r="E98" s="218" t="s">
        <v>1446</v>
      </c>
      <c r="F98" s="202" t="str">
        <f>VLOOKUP(D98,CSR!$D$4:$E$1180,2,FALSE)</f>
        <v>CSR_40400</v>
      </c>
      <c r="G98" s="203">
        <v>46073</v>
      </c>
      <c r="H98" s="204">
        <v>2</v>
      </c>
      <c r="I98" s="205">
        <f t="shared" si="1"/>
        <v>0.10526315789473684</v>
      </c>
      <c r="J98" s="206" t="s">
        <v>1020</v>
      </c>
      <c r="K98" s="204"/>
    </row>
    <row r="99" spans="1:11" s="197" customFormat="1" ht="32" hidden="1">
      <c r="A99" s="198" t="s">
        <v>1171</v>
      </c>
      <c r="B99" s="199" t="s">
        <v>16</v>
      </c>
      <c r="C99" s="199" t="s">
        <v>616</v>
      </c>
      <c r="D99" s="208" t="s">
        <v>1202</v>
      </c>
      <c r="E99" s="210" t="s">
        <v>1447</v>
      </c>
      <c r="F99" s="202" t="str">
        <f>VLOOKUP(D99,CSR!$D$4:$E$1180,2,FALSE)</f>
        <v>CSR_11309</v>
      </c>
      <c r="G99" s="203">
        <v>46064</v>
      </c>
      <c r="H99" s="204">
        <v>1</v>
      </c>
      <c r="I99" s="205">
        <f t="shared" si="1"/>
        <v>5.2631578947368418E-2</v>
      </c>
      <c r="J99" s="206" t="s">
        <v>1020</v>
      </c>
      <c r="K99" s="204"/>
    </row>
    <row r="100" spans="1:11" s="197" customFormat="1" ht="32" hidden="1">
      <c r="A100" s="198" t="s">
        <v>1171</v>
      </c>
      <c r="B100" s="213" t="s">
        <v>775</v>
      </c>
      <c r="C100" s="213" t="s">
        <v>175</v>
      </c>
      <c r="D100" s="208" t="s">
        <v>788</v>
      </c>
      <c r="E100" s="210" t="s">
        <v>1448</v>
      </c>
      <c r="F100" s="202" t="str">
        <f>VLOOKUP(D100,CSR!$D$4:$E$1180,2,FALSE)</f>
        <v>CSR_40600</v>
      </c>
      <c r="G100" s="203">
        <v>46072</v>
      </c>
      <c r="H100" s="204">
        <v>3</v>
      </c>
      <c r="I100" s="205">
        <f t="shared" si="1"/>
        <v>0.15789473684210525</v>
      </c>
      <c r="J100" s="206" t="s">
        <v>1020</v>
      </c>
      <c r="K100" s="204"/>
    </row>
    <row r="101" spans="1:11" s="197" customFormat="1" ht="32" hidden="1">
      <c r="A101" s="198" t="s">
        <v>1171</v>
      </c>
      <c r="B101" s="199" t="s">
        <v>31</v>
      </c>
      <c r="C101" s="199" t="s">
        <v>759</v>
      </c>
      <c r="D101" s="208" t="s">
        <v>766</v>
      </c>
      <c r="E101" s="210" t="s">
        <v>1449</v>
      </c>
      <c r="F101" s="202" t="str">
        <f>VLOOKUP(D101,CSR!$D$4:$E$1180,2,FALSE)</f>
        <v>CSR_30300</v>
      </c>
      <c r="G101" s="203">
        <v>46072</v>
      </c>
      <c r="H101" s="204">
        <v>1</v>
      </c>
      <c r="I101" s="205">
        <f t="shared" si="1"/>
        <v>5.2631578947368418E-2</v>
      </c>
      <c r="J101" s="206" t="s">
        <v>1020</v>
      </c>
      <c r="K101" s="204"/>
    </row>
    <row r="102" spans="1:11" s="197" customFormat="1" ht="80" hidden="1">
      <c r="A102" s="198" t="s">
        <v>1171</v>
      </c>
      <c r="B102" s="199" t="s">
        <v>31</v>
      </c>
      <c r="C102" s="199" t="s">
        <v>759</v>
      </c>
      <c r="D102" s="200" t="s">
        <v>764</v>
      </c>
      <c r="E102" s="210" t="s">
        <v>1450</v>
      </c>
      <c r="F102" s="202" t="str">
        <f>VLOOKUP(D102,CSR!$D$4:$E$1180,2,FALSE)</f>
        <v>CSR_30200</v>
      </c>
      <c r="G102" s="203">
        <v>46063</v>
      </c>
      <c r="H102" s="204">
        <v>3</v>
      </c>
      <c r="I102" s="205">
        <f t="shared" si="1"/>
        <v>0.15789473684210525</v>
      </c>
      <c r="J102" s="206" t="s">
        <v>1020</v>
      </c>
      <c r="K102" s="204"/>
    </row>
    <row r="103" spans="1:11" s="197" customFormat="1" ht="64" hidden="1">
      <c r="A103" s="198" t="s">
        <v>1171</v>
      </c>
      <c r="B103" s="199" t="s">
        <v>31</v>
      </c>
      <c r="C103" s="199" t="s">
        <v>759</v>
      </c>
      <c r="D103" s="200" t="s">
        <v>764</v>
      </c>
      <c r="E103" s="227" t="s">
        <v>1451</v>
      </c>
      <c r="F103" s="202" t="str">
        <f>VLOOKUP(D103,CSR!$D$4:$E$1180,2,FALSE)</f>
        <v>CSR_30200</v>
      </c>
      <c r="G103" s="203">
        <v>46064</v>
      </c>
      <c r="H103" s="204">
        <v>1</v>
      </c>
      <c r="I103" s="205">
        <f t="shared" si="1"/>
        <v>5.2631578947368418E-2</v>
      </c>
      <c r="J103" s="206" t="s">
        <v>1020</v>
      </c>
      <c r="K103" s="204"/>
    </row>
    <row r="104" spans="1:11" s="197" customFormat="1" ht="32" hidden="1">
      <c r="A104" s="198" t="s">
        <v>1385</v>
      </c>
      <c r="B104" s="199" t="s">
        <v>758</v>
      </c>
      <c r="C104" s="198" t="s">
        <v>32</v>
      </c>
      <c r="D104" s="200" t="s">
        <v>33</v>
      </c>
      <c r="E104" s="210" t="s">
        <v>1452</v>
      </c>
      <c r="F104" s="202" t="str">
        <f>VLOOKUP(D104,CSR!$D$4:$E$1180,2,FALSE)</f>
        <v>CSR_30200</v>
      </c>
      <c r="G104" s="203">
        <v>46043</v>
      </c>
      <c r="H104" s="204">
        <v>0.5</v>
      </c>
      <c r="I104" s="240">
        <f t="shared" si="1"/>
        <v>2.6315789473684209E-2</v>
      </c>
      <c r="J104" s="217" t="s">
        <v>1036</v>
      </c>
      <c r="K104" s="204"/>
    </row>
    <row r="105" spans="1:11" s="197" customFormat="1" ht="32" hidden="1">
      <c r="A105" s="198" t="s">
        <v>1385</v>
      </c>
      <c r="B105" s="199" t="s">
        <v>758</v>
      </c>
      <c r="C105" s="198" t="s">
        <v>32</v>
      </c>
      <c r="D105" s="207" t="s">
        <v>762</v>
      </c>
      <c r="E105" s="218" t="s">
        <v>1453</v>
      </c>
      <c r="F105" s="202" t="str">
        <f>VLOOKUP(D105,CSR!$D$4:$E$1180,2,FALSE)</f>
        <v>CSR_30100</v>
      </c>
      <c r="G105" s="203">
        <v>46048</v>
      </c>
      <c r="H105" s="204">
        <v>1</v>
      </c>
      <c r="I105" s="240">
        <f t="shared" si="1"/>
        <v>5.2631578947368418E-2</v>
      </c>
      <c r="J105" s="217" t="s">
        <v>1036</v>
      </c>
      <c r="K105" s="204"/>
    </row>
    <row r="106" spans="1:11" s="197" customFormat="1" ht="80" hidden="1">
      <c r="A106" s="198" t="s">
        <v>1385</v>
      </c>
      <c r="B106" s="199" t="s">
        <v>16</v>
      </c>
      <c r="C106" s="199" t="s">
        <v>17</v>
      </c>
      <c r="D106" s="200" t="s">
        <v>131</v>
      </c>
      <c r="E106" s="201" t="s">
        <v>1454</v>
      </c>
      <c r="F106" s="202" t="str">
        <f>VLOOKUP(D106,CSR!$D$4:$E$1180,2,FALSE)</f>
        <v>CSR_10400</v>
      </c>
      <c r="G106" s="203">
        <v>46051</v>
      </c>
      <c r="H106" s="208">
        <v>2.5</v>
      </c>
      <c r="I106" s="241">
        <f t="shared" si="1"/>
        <v>0.13157894736842105</v>
      </c>
      <c r="J106" s="217" t="s">
        <v>1036</v>
      </c>
      <c r="K106" s="204"/>
    </row>
    <row r="107" spans="1:11" s="197" customFormat="1" ht="80" hidden="1">
      <c r="A107" s="198" t="s">
        <v>1385</v>
      </c>
      <c r="B107" s="199" t="s">
        <v>16</v>
      </c>
      <c r="C107" s="199" t="s">
        <v>17</v>
      </c>
      <c r="D107" s="204" t="s">
        <v>635</v>
      </c>
      <c r="E107" s="201" t="s">
        <v>1455</v>
      </c>
      <c r="F107" s="202" t="str">
        <f>VLOOKUP(D107,CSR!$D$4:$E$1180,2,FALSE)</f>
        <v>CSR_10800</v>
      </c>
      <c r="G107" s="203">
        <v>46052</v>
      </c>
      <c r="H107" s="204">
        <v>2</v>
      </c>
      <c r="I107" s="241">
        <f t="shared" si="1"/>
        <v>0.10526315789473684</v>
      </c>
      <c r="J107" s="217" t="s">
        <v>1036</v>
      </c>
      <c r="K107" s="204"/>
    </row>
    <row r="108" spans="1:11" s="197" customFormat="1" ht="64" hidden="1">
      <c r="A108" s="198" t="s">
        <v>1171</v>
      </c>
      <c r="B108" s="199" t="s">
        <v>16</v>
      </c>
      <c r="C108" s="199" t="s">
        <v>17</v>
      </c>
      <c r="D108" s="204" t="s">
        <v>635</v>
      </c>
      <c r="E108" s="201" t="s">
        <v>1456</v>
      </c>
      <c r="F108" s="202" t="str">
        <f>VLOOKUP(D108,CSR!$D$4:$E$1180,2,FALSE)</f>
        <v>CSR_10800</v>
      </c>
      <c r="G108" s="203">
        <v>46058</v>
      </c>
      <c r="H108" s="204">
        <v>2.5</v>
      </c>
      <c r="I108" s="241">
        <f t="shared" si="1"/>
        <v>0.13157894736842105</v>
      </c>
      <c r="J108" s="217" t="s">
        <v>1036</v>
      </c>
      <c r="K108" s="204"/>
    </row>
    <row r="109" spans="1:11" s="197" customFormat="1" ht="32" hidden="1">
      <c r="A109" s="198" t="s">
        <v>1171</v>
      </c>
      <c r="B109" s="199" t="s">
        <v>16</v>
      </c>
      <c r="C109" s="214" t="s">
        <v>616</v>
      </c>
      <c r="D109" s="54" t="s">
        <v>647</v>
      </c>
      <c r="E109" s="201" t="s">
        <v>1457</v>
      </c>
      <c r="F109" s="202" t="str">
        <f>VLOOKUP(D109,CSR!$D$4:$E$1180,2,FALSE)</f>
        <v>CSR_11300</v>
      </c>
      <c r="G109" s="203">
        <v>46063</v>
      </c>
      <c r="H109" s="204">
        <v>1</v>
      </c>
      <c r="I109" s="241">
        <f t="shared" si="1"/>
        <v>5.2631578947368418E-2</v>
      </c>
      <c r="J109" s="217" t="s">
        <v>1036</v>
      </c>
      <c r="K109" s="204"/>
    </row>
    <row r="110" spans="1:11" s="197" customFormat="1" ht="48" hidden="1">
      <c r="A110" s="198" t="s">
        <v>1171</v>
      </c>
      <c r="B110" s="199" t="s">
        <v>758</v>
      </c>
      <c r="C110" s="198" t="s">
        <v>32</v>
      </c>
      <c r="D110" s="207" t="s">
        <v>762</v>
      </c>
      <c r="E110" s="218" t="s">
        <v>1458</v>
      </c>
      <c r="F110" s="202" t="str">
        <f>VLOOKUP(D110,CSR!$D$4:$E$1180,2,FALSE)</f>
        <v>CSR_30100</v>
      </c>
      <c r="G110" s="203">
        <v>46065</v>
      </c>
      <c r="H110" s="204">
        <v>0.5</v>
      </c>
      <c r="I110" s="240">
        <f t="shared" si="1"/>
        <v>2.6315789473684209E-2</v>
      </c>
      <c r="J110" s="217" t="s">
        <v>1036</v>
      </c>
      <c r="K110" s="204"/>
    </row>
    <row r="111" spans="1:11" s="197" customFormat="1" ht="48" hidden="1">
      <c r="A111" s="242" t="s">
        <v>1171</v>
      </c>
      <c r="B111" s="230" t="s">
        <v>49</v>
      </c>
      <c r="C111" s="230" t="s">
        <v>50</v>
      </c>
      <c r="D111" s="54" t="s">
        <v>804</v>
      </c>
      <c r="E111" s="238" t="s">
        <v>1459</v>
      </c>
      <c r="F111" s="202" t="str">
        <f>VLOOKUP(D111,CSR!$D$4:$E$1180,2,FALSE)</f>
        <v>CSR_41104</v>
      </c>
      <c r="G111" s="228">
        <v>46066</v>
      </c>
      <c r="H111" s="229">
        <v>1</v>
      </c>
      <c r="I111" s="243">
        <f t="shared" si="1"/>
        <v>5.2631578947368418E-2</v>
      </c>
      <c r="J111" s="244" t="s">
        <v>1036</v>
      </c>
      <c r="K111" s="229"/>
    </row>
    <row r="112" spans="1:11" s="197" customFormat="1" ht="48" hidden="1">
      <c r="A112" s="198" t="s">
        <v>1171</v>
      </c>
      <c r="B112" s="199" t="s">
        <v>16</v>
      </c>
      <c r="C112" s="199" t="s">
        <v>17</v>
      </c>
      <c r="D112" s="200" t="s">
        <v>131</v>
      </c>
      <c r="E112" s="201" t="s">
        <v>1460</v>
      </c>
      <c r="F112" s="202" t="str">
        <f>VLOOKUP(D112,CSR!$D$4:$E$1180,2,FALSE)</f>
        <v>CSR_10400</v>
      </c>
      <c r="G112" s="203">
        <v>46072</v>
      </c>
      <c r="H112" s="208">
        <v>2</v>
      </c>
      <c r="I112" s="241">
        <f t="shared" si="1"/>
        <v>0.10526315789473684</v>
      </c>
      <c r="J112" s="217" t="s">
        <v>1036</v>
      </c>
      <c r="K112" s="204"/>
    </row>
    <row r="113" spans="1:11" s="197" customFormat="1" ht="32" hidden="1">
      <c r="A113" s="198" t="s">
        <v>1171</v>
      </c>
      <c r="B113" s="214" t="s">
        <v>775</v>
      </c>
      <c r="C113" s="214" t="s">
        <v>776</v>
      </c>
      <c r="D113" s="214" t="s">
        <v>230</v>
      </c>
      <c r="E113" s="210" t="s">
        <v>1461</v>
      </c>
      <c r="F113" s="202" t="str">
        <f>VLOOKUP(D113,CSR!$D$4:$E$1180,2,FALSE)</f>
        <v>CSR_40000</v>
      </c>
      <c r="G113" s="203">
        <v>46072</v>
      </c>
      <c r="H113" s="204">
        <v>0.5</v>
      </c>
      <c r="I113" s="241">
        <f t="shared" si="1"/>
        <v>2.6315789473684209E-2</v>
      </c>
      <c r="J113" s="217" t="s">
        <v>1036</v>
      </c>
      <c r="K113" s="204"/>
    </row>
    <row r="114" spans="1:11" s="197" customFormat="1" ht="48" hidden="1">
      <c r="A114" s="198" t="s">
        <v>1171</v>
      </c>
      <c r="B114" s="199" t="s">
        <v>16</v>
      </c>
      <c r="C114" s="199" t="s">
        <v>17</v>
      </c>
      <c r="D114" s="204" t="s">
        <v>635</v>
      </c>
      <c r="E114" s="201" t="s">
        <v>1462</v>
      </c>
      <c r="F114" s="202" t="str">
        <f>VLOOKUP(D114,CSR!$D$4:$E$1180,2,FALSE)</f>
        <v>CSR_10800</v>
      </c>
      <c r="G114" s="203">
        <v>46072</v>
      </c>
      <c r="H114" s="204">
        <v>2</v>
      </c>
      <c r="I114" s="241">
        <f t="shared" si="1"/>
        <v>0.10526315789473684</v>
      </c>
      <c r="J114" s="217" t="s">
        <v>1036</v>
      </c>
      <c r="K114" s="204"/>
    </row>
    <row r="115" spans="1:11" s="197" customFormat="1" ht="48" hidden="1">
      <c r="A115" s="198" t="s">
        <v>1171</v>
      </c>
      <c r="B115" s="199" t="s">
        <v>16</v>
      </c>
      <c r="C115" s="199" t="s">
        <v>17</v>
      </c>
      <c r="D115" s="200" t="s">
        <v>131</v>
      </c>
      <c r="E115" s="201" t="s">
        <v>1463</v>
      </c>
      <c r="F115" s="202" t="str">
        <f>VLOOKUP(D115,CSR!$D$4:$E$1180,2,FALSE)</f>
        <v>CSR_10400</v>
      </c>
      <c r="G115" s="203">
        <v>46073</v>
      </c>
      <c r="H115" s="208">
        <v>1.5</v>
      </c>
      <c r="I115" s="241">
        <f t="shared" si="1"/>
        <v>7.8947368421052627E-2</v>
      </c>
      <c r="J115" s="217" t="s">
        <v>1036</v>
      </c>
      <c r="K115" s="204"/>
    </row>
    <row r="116" spans="1:11" s="197" customFormat="1" ht="64" hidden="1">
      <c r="A116" s="198" t="s">
        <v>1171</v>
      </c>
      <c r="B116" s="199" t="s">
        <v>758</v>
      </c>
      <c r="C116" s="198" t="s">
        <v>32</v>
      </c>
      <c r="D116" s="172" t="s">
        <v>760</v>
      </c>
      <c r="E116" s="210" t="s">
        <v>1464</v>
      </c>
      <c r="F116" s="202" t="str">
        <f>VLOOKUP(D116,CSR!$D$4:$E$1180,2,FALSE)</f>
        <v>CSR_30000</v>
      </c>
      <c r="G116" s="203">
        <v>46073</v>
      </c>
      <c r="H116" s="204">
        <v>0.5</v>
      </c>
      <c r="I116" s="241">
        <f t="shared" si="1"/>
        <v>2.6315789473684209E-2</v>
      </c>
      <c r="J116" s="217" t="s">
        <v>1036</v>
      </c>
      <c r="K116" s="204"/>
    </row>
    <row r="117" spans="1:11" s="197" customFormat="1" ht="48" hidden="1">
      <c r="A117" s="198" t="s">
        <v>1171</v>
      </c>
      <c r="B117" s="199" t="s">
        <v>16</v>
      </c>
      <c r="C117" s="214" t="s">
        <v>616</v>
      </c>
      <c r="D117" s="207" t="s">
        <v>653</v>
      </c>
      <c r="E117" s="210" t="s">
        <v>1465</v>
      </c>
      <c r="F117" s="202" t="str">
        <f>VLOOKUP(D117,CSR!$D$4:$E$1180,2,FALSE)</f>
        <v>CSR_11303</v>
      </c>
      <c r="G117" s="228">
        <v>46073</v>
      </c>
      <c r="H117" s="204">
        <v>0.5</v>
      </c>
      <c r="I117" s="241">
        <f t="shared" si="1"/>
        <v>2.6315789473684209E-2</v>
      </c>
      <c r="J117" s="217" t="s">
        <v>1036</v>
      </c>
      <c r="K117" s="204"/>
    </row>
    <row r="118" spans="1:11" s="197" customFormat="1" ht="48" hidden="1">
      <c r="A118" s="198" t="s">
        <v>1171</v>
      </c>
      <c r="B118" s="199" t="s">
        <v>49</v>
      </c>
      <c r="C118" s="199" t="s">
        <v>50</v>
      </c>
      <c r="D118" s="207" t="s">
        <v>1273</v>
      </c>
      <c r="E118" s="201" t="s">
        <v>1466</v>
      </c>
      <c r="F118" s="202" t="e">
        <f>VLOOKUP(D118,CSR!$D$4:$E$1180,2,FALSE)</f>
        <v>#N/A</v>
      </c>
      <c r="G118" s="203">
        <v>46073</v>
      </c>
      <c r="H118" s="204">
        <v>1</v>
      </c>
      <c r="I118" s="241">
        <f t="shared" si="1"/>
        <v>5.2631578947368418E-2</v>
      </c>
      <c r="J118" s="217" t="s">
        <v>1036</v>
      </c>
      <c r="K118" s="204"/>
    </row>
    <row r="119" spans="1:11" s="197" customFormat="1" ht="48" hidden="1">
      <c r="A119" s="216" t="s">
        <v>1171</v>
      </c>
      <c r="B119" s="213" t="s">
        <v>70</v>
      </c>
      <c r="C119" s="213" t="s">
        <v>245</v>
      </c>
      <c r="D119" s="207" t="s">
        <v>255</v>
      </c>
      <c r="E119" s="226" t="s">
        <v>1467</v>
      </c>
      <c r="F119" s="202" t="str">
        <f>VLOOKUP(D119,CSR!$D$4:$E$1180,2,FALSE)</f>
        <v>CSR_20100</v>
      </c>
      <c r="G119" s="225">
        <v>46055</v>
      </c>
      <c r="H119" s="212">
        <v>0.5</v>
      </c>
      <c r="I119" s="245">
        <f t="shared" si="1"/>
        <v>2.6315789473684209E-2</v>
      </c>
      <c r="J119" s="211" t="s">
        <v>241</v>
      </c>
      <c r="K119" s="212"/>
    </row>
    <row r="120" spans="1:11" s="197" customFormat="1" ht="32" hidden="1">
      <c r="A120" s="216" t="s">
        <v>1171</v>
      </c>
      <c r="B120" s="213" t="s">
        <v>31</v>
      </c>
      <c r="C120" s="213" t="s">
        <v>32</v>
      </c>
      <c r="D120" s="207" t="s">
        <v>33</v>
      </c>
      <c r="E120" s="226" t="s">
        <v>1468</v>
      </c>
      <c r="F120" s="202" t="str">
        <f>VLOOKUP(D120,CSR!$D$4:$E$1180,2,FALSE)</f>
        <v>CSR_30200</v>
      </c>
      <c r="G120" s="225">
        <v>46059</v>
      </c>
      <c r="H120" s="212">
        <v>0.5</v>
      </c>
      <c r="I120" s="245">
        <f t="shared" si="1"/>
        <v>2.6315789473684209E-2</v>
      </c>
      <c r="J120" s="211" t="s">
        <v>241</v>
      </c>
      <c r="K120" s="212"/>
    </row>
    <row r="121" spans="1:11" s="197" customFormat="1" ht="32" hidden="1">
      <c r="A121" s="216" t="s">
        <v>1171</v>
      </c>
      <c r="B121" s="213" t="s">
        <v>31</v>
      </c>
      <c r="C121" s="213" t="s">
        <v>32</v>
      </c>
      <c r="D121" s="207" t="s">
        <v>33</v>
      </c>
      <c r="E121" s="226" t="s">
        <v>1469</v>
      </c>
      <c r="F121" s="202" t="str">
        <f>VLOOKUP(D121,CSR!$D$4:$E$1180,2,FALSE)</f>
        <v>CSR_30200</v>
      </c>
      <c r="G121" s="225">
        <v>46057</v>
      </c>
      <c r="H121" s="212">
        <v>0.5</v>
      </c>
      <c r="I121" s="245">
        <f t="shared" si="1"/>
        <v>2.6315789473684209E-2</v>
      </c>
      <c r="J121" s="211" t="s">
        <v>241</v>
      </c>
      <c r="K121" s="212"/>
    </row>
    <row r="122" spans="1:11" s="197" customFormat="1" ht="32" hidden="1">
      <c r="A122" s="216" t="s">
        <v>1385</v>
      </c>
      <c r="B122" s="213" t="s">
        <v>729</v>
      </c>
      <c r="C122" s="213" t="s">
        <v>753</v>
      </c>
      <c r="D122" s="207" t="s">
        <v>757</v>
      </c>
      <c r="E122" s="226" t="s">
        <v>1470</v>
      </c>
      <c r="F122" s="202" t="str">
        <f>VLOOKUP(D122,CSR!$D$4:$E$1180,2,FALSE)</f>
        <v>CSR_20400</v>
      </c>
      <c r="G122" s="225">
        <v>46050</v>
      </c>
      <c r="H122" s="212">
        <v>1</v>
      </c>
      <c r="I122" s="245">
        <f t="shared" si="1"/>
        <v>5.2631578947368418E-2</v>
      </c>
      <c r="J122" s="211" t="s">
        <v>241</v>
      </c>
      <c r="K122" s="212"/>
    </row>
    <row r="123" spans="1:11" s="197" customFormat="1" ht="32" hidden="1">
      <c r="A123" s="216" t="s">
        <v>1171</v>
      </c>
      <c r="B123" s="213" t="s">
        <v>16</v>
      </c>
      <c r="C123" s="213" t="s">
        <v>17</v>
      </c>
      <c r="D123" s="207" t="s">
        <v>262</v>
      </c>
      <c r="E123" s="226" t="s">
        <v>1471</v>
      </c>
      <c r="F123" s="202" t="str">
        <f>VLOOKUP(D123,CSR!$D$4:$E$1180,2,FALSE)</f>
        <v>CSR_11100</v>
      </c>
      <c r="G123" s="225" t="s">
        <v>1434</v>
      </c>
      <c r="H123" s="212">
        <v>1</v>
      </c>
      <c r="I123" s="245">
        <f t="shared" si="1"/>
        <v>5.2631578947368418E-2</v>
      </c>
      <c r="J123" s="211" t="s">
        <v>241</v>
      </c>
      <c r="K123" s="212"/>
    </row>
    <row r="124" spans="1:11" s="197" customFormat="1" ht="32" hidden="1">
      <c r="A124" s="216" t="s">
        <v>1171</v>
      </c>
      <c r="B124" s="213" t="s">
        <v>70</v>
      </c>
      <c r="C124" s="213" t="s">
        <v>245</v>
      </c>
      <c r="D124" s="207" t="s">
        <v>1300</v>
      </c>
      <c r="E124" s="226" t="s">
        <v>1472</v>
      </c>
      <c r="F124" s="202" t="str">
        <f>VLOOKUP(D124,CSR!$D$4:$E$1180,2,FALSE)</f>
        <v>CSR_20005</v>
      </c>
      <c r="G124" s="225">
        <v>46073</v>
      </c>
      <c r="H124" s="212">
        <v>1</v>
      </c>
      <c r="I124" s="245">
        <f t="shared" si="1"/>
        <v>5.2631578947368418E-2</v>
      </c>
      <c r="J124" s="211" t="s">
        <v>241</v>
      </c>
      <c r="K124" s="212"/>
    </row>
    <row r="125" spans="1:11" s="197" customFormat="1" ht="64" hidden="1">
      <c r="A125" s="216" t="s">
        <v>1171</v>
      </c>
      <c r="B125" s="213" t="s">
        <v>70</v>
      </c>
      <c r="C125" s="213" t="s">
        <v>245</v>
      </c>
      <c r="D125" s="207" t="s">
        <v>255</v>
      </c>
      <c r="E125" s="226" t="s">
        <v>1473</v>
      </c>
      <c r="F125" s="202" t="str">
        <f>VLOOKUP(D125,CSR!$D$4:$E$1180,2,FALSE)</f>
        <v>CSR_20100</v>
      </c>
      <c r="G125" s="225">
        <v>46073</v>
      </c>
      <c r="H125" s="212">
        <v>1</v>
      </c>
      <c r="I125" s="245">
        <f t="shared" si="1"/>
        <v>5.2631578947368418E-2</v>
      </c>
      <c r="J125" s="211" t="s">
        <v>241</v>
      </c>
      <c r="K125" s="212"/>
    </row>
    <row r="126" spans="1:11" s="197" customFormat="1" ht="48" hidden="1">
      <c r="A126" s="216" t="s">
        <v>1171</v>
      </c>
      <c r="B126" s="213" t="s">
        <v>70</v>
      </c>
      <c r="C126" s="213" t="s">
        <v>71</v>
      </c>
      <c r="D126" s="207" t="s">
        <v>266</v>
      </c>
      <c r="E126" s="226" t="s">
        <v>1474</v>
      </c>
      <c r="F126" s="202" t="str">
        <f>VLOOKUP(D126,CSR!$D$4:$E$1180,2,FALSE)</f>
        <v>CSR_20200</v>
      </c>
      <c r="G126" s="225">
        <v>46073</v>
      </c>
      <c r="H126" s="212">
        <v>1</v>
      </c>
      <c r="I126" s="245">
        <f t="shared" si="1"/>
        <v>5.2631578947368418E-2</v>
      </c>
      <c r="J126" s="211" t="s">
        <v>241</v>
      </c>
      <c r="K126" s="212"/>
    </row>
    <row r="127" spans="1:11" s="197" customFormat="1" ht="48" hidden="1">
      <c r="A127" s="216" t="s">
        <v>1385</v>
      </c>
      <c r="B127" s="213" t="s">
        <v>70</v>
      </c>
      <c r="C127" s="213" t="s">
        <v>245</v>
      </c>
      <c r="D127" s="207" t="s">
        <v>1475</v>
      </c>
      <c r="E127" s="226" t="s">
        <v>1476</v>
      </c>
      <c r="F127" s="202" t="str">
        <f>VLOOKUP(D127,CSR!$D$4:$E$1180,2,FALSE)</f>
        <v>CSR_20003</v>
      </c>
      <c r="G127" s="225">
        <v>46052</v>
      </c>
      <c r="H127" s="212">
        <v>1.5</v>
      </c>
      <c r="I127" s="245">
        <f t="shared" si="1"/>
        <v>7.8947368421052627E-2</v>
      </c>
      <c r="J127" s="211" t="s">
        <v>241</v>
      </c>
      <c r="K127" s="212"/>
    </row>
    <row r="128" spans="1:11" s="197" customFormat="1" ht="80" hidden="1">
      <c r="A128" s="216" t="s">
        <v>1171</v>
      </c>
      <c r="B128" s="213" t="s">
        <v>70</v>
      </c>
      <c r="C128" s="213" t="s">
        <v>71</v>
      </c>
      <c r="D128" s="207" t="s">
        <v>266</v>
      </c>
      <c r="E128" s="226" t="s">
        <v>1477</v>
      </c>
      <c r="F128" s="202" t="str">
        <f>VLOOKUP(D128,CSR!$D$4:$E$1180,2,FALSE)</f>
        <v>CSR_20200</v>
      </c>
      <c r="G128" s="225">
        <v>46073</v>
      </c>
      <c r="H128" s="212">
        <v>1.5</v>
      </c>
      <c r="I128" s="245">
        <f t="shared" si="1"/>
        <v>7.8947368421052627E-2</v>
      </c>
      <c r="J128" s="211" t="s">
        <v>241</v>
      </c>
      <c r="K128" s="212"/>
    </row>
    <row r="129" spans="1:11" s="197" customFormat="1" ht="32" hidden="1">
      <c r="A129" s="216" t="s">
        <v>1171</v>
      </c>
      <c r="B129" s="213" t="s">
        <v>70</v>
      </c>
      <c r="C129" s="213" t="s">
        <v>245</v>
      </c>
      <c r="D129" s="207" t="s">
        <v>246</v>
      </c>
      <c r="E129" s="226" t="s">
        <v>1478</v>
      </c>
      <c r="F129" s="202" t="str">
        <f>VLOOKUP(D129,CSR!$D$4:$E$1180,2,FALSE)</f>
        <v>CSR_20000</v>
      </c>
      <c r="G129" s="225">
        <v>46063</v>
      </c>
      <c r="H129" s="212">
        <v>1.5</v>
      </c>
      <c r="I129" s="245">
        <f t="shared" si="1"/>
        <v>7.8947368421052627E-2</v>
      </c>
      <c r="J129" s="211" t="s">
        <v>241</v>
      </c>
      <c r="K129" s="212"/>
    </row>
    <row r="130" spans="1:11" s="197" customFormat="1" ht="64" hidden="1">
      <c r="A130" s="216" t="s">
        <v>1171</v>
      </c>
      <c r="B130" s="213" t="s">
        <v>70</v>
      </c>
      <c r="C130" s="213" t="s">
        <v>71</v>
      </c>
      <c r="D130" s="207" t="s">
        <v>252</v>
      </c>
      <c r="E130" s="226" t="s">
        <v>1479</v>
      </c>
      <c r="F130" s="202" t="str">
        <f>VLOOKUP(D130,CSR!$D$4:$E$1180,2,FALSE)</f>
        <v>CSR_20300</v>
      </c>
      <c r="G130" s="225">
        <v>46073</v>
      </c>
      <c r="H130" s="212">
        <v>2</v>
      </c>
      <c r="I130" s="245">
        <f t="shared" ref="I130:I193" si="2">H130*10/190</f>
        <v>0.10526315789473684</v>
      </c>
      <c r="J130" s="211" t="s">
        <v>241</v>
      </c>
      <c r="K130" s="212"/>
    </row>
    <row r="131" spans="1:11" s="197" customFormat="1" ht="96" hidden="1">
      <c r="A131" s="216" t="s">
        <v>1171</v>
      </c>
      <c r="B131" s="213" t="s">
        <v>31</v>
      </c>
      <c r="C131" s="213" t="s">
        <v>32</v>
      </c>
      <c r="D131" s="207" t="s">
        <v>259</v>
      </c>
      <c r="E131" s="226" t="s">
        <v>1480</v>
      </c>
      <c r="F131" s="202" t="str">
        <f>VLOOKUP(D131,CSR!$D$4:$E$1180,2,FALSE)</f>
        <v>CSR_30100</v>
      </c>
      <c r="G131" s="225">
        <v>46073</v>
      </c>
      <c r="H131" s="212">
        <v>2</v>
      </c>
      <c r="I131" s="245">
        <f t="shared" si="2"/>
        <v>0.10526315789473684</v>
      </c>
      <c r="J131" s="211" t="s">
        <v>241</v>
      </c>
      <c r="K131" s="212"/>
    </row>
    <row r="132" spans="1:11" s="197" customFormat="1" ht="32" hidden="1">
      <c r="A132" s="216" t="s">
        <v>1171</v>
      </c>
      <c r="B132" s="213" t="s">
        <v>70</v>
      </c>
      <c r="C132" s="213" t="s">
        <v>245</v>
      </c>
      <c r="D132" s="207" t="s">
        <v>246</v>
      </c>
      <c r="E132" s="226" t="s">
        <v>1481</v>
      </c>
      <c r="F132" s="202" t="str">
        <f>VLOOKUP(D132,CSR!$D$4:$E$1180,2,FALSE)</f>
        <v>CSR_20000</v>
      </c>
      <c r="G132" s="225">
        <v>46063</v>
      </c>
      <c r="H132" s="212">
        <v>2</v>
      </c>
      <c r="I132" s="245">
        <f t="shared" si="2"/>
        <v>0.10526315789473684</v>
      </c>
      <c r="J132" s="211" t="s">
        <v>241</v>
      </c>
      <c r="K132" s="212"/>
    </row>
    <row r="133" spans="1:11" s="197" customFormat="1" ht="48" hidden="1">
      <c r="A133" s="216" t="s">
        <v>1171</v>
      </c>
      <c r="B133" s="213" t="s">
        <v>31</v>
      </c>
      <c r="C133" s="213" t="s">
        <v>32</v>
      </c>
      <c r="D133" s="207" t="s">
        <v>33</v>
      </c>
      <c r="E133" s="226" t="s">
        <v>1482</v>
      </c>
      <c r="F133" s="202" t="str">
        <f>VLOOKUP(D133,CSR!$D$4:$E$1180,2,FALSE)</f>
        <v>CSR_30200</v>
      </c>
      <c r="G133" s="225">
        <v>46063</v>
      </c>
      <c r="H133" s="212">
        <v>2</v>
      </c>
      <c r="I133" s="245">
        <f t="shared" si="2"/>
        <v>0.10526315789473684</v>
      </c>
      <c r="J133" s="211" t="s">
        <v>241</v>
      </c>
      <c r="K133" s="212"/>
    </row>
    <row r="134" spans="1:11" s="197" customFormat="1" ht="240" hidden="1">
      <c r="A134" s="198" t="s">
        <v>1483</v>
      </c>
      <c r="B134" s="199" t="s">
        <v>31</v>
      </c>
      <c r="C134" s="199" t="s">
        <v>32</v>
      </c>
      <c r="D134" s="207" t="s">
        <v>199</v>
      </c>
      <c r="E134" s="210" t="s">
        <v>1484</v>
      </c>
      <c r="F134" s="202" t="str">
        <f>VLOOKUP(D134,CSR!$D$4:$E$1180,2,FALSE)</f>
        <v>CSR_30000</v>
      </c>
      <c r="G134" s="203">
        <v>46073</v>
      </c>
      <c r="H134" s="204">
        <v>4</v>
      </c>
      <c r="I134" s="205">
        <f t="shared" si="2"/>
        <v>0.21052631578947367</v>
      </c>
      <c r="J134" s="206" t="s">
        <v>285</v>
      </c>
      <c r="K134" s="204"/>
    </row>
    <row r="135" spans="1:11" s="197" customFormat="1" ht="32" hidden="1">
      <c r="A135" s="198" t="s">
        <v>1483</v>
      </c>
      <c r="B135" s="199" t="s">
        <v>31</v>
      </c>
      <c r="C135" s="199" t="s">
        <v>32</v>
      </c>
      <c r="D135" s="207" t="s">
        <v>199</v>
      </c>
      <c r="E135" s="210" t="s">
        <v>1485</v>
      </c>
      <c r="F135" s="202" t="str">
        <f>VLOOKUP(D135,CSR!$D$4:$E$1180,2,FALSE)</f>
        <v>CSR_30000</v>
      </c>
      <c r="G135" s="203">
        <v>46073</v>
      </c>
      <c r="H135" s="204">
        <v>2</v>
      </c>
      <c r="I135" s="205">
        <f t="shared" si="2"/>
        <v>0.10526315789473684</v>
      </c>
      <c r="J135" s="206" t="s">
        <v>285</v>
      </c>
      <c r="K135" s="204"/>
    </row>
    <row r="136" spans="1:11" s="197" customFormat="1" ht="32" hidden="1">
      <c r="A136" s="198" t="s">
        <v>1483</v>
      </c>
      <c r="B136" s="199" t="s">
        <v>31</v>
      </c>
      <c r="C136" s="199" t="s">
        <v>32</v>
      </c>
      <c r="D136" s="207" t="s">
        <v>199</v>
      </c>
      <c r="E136" s="210" t="s">
        <v>1486</v>
      </c>
      <c r="F136" s="202" t="str">
        <f>VLOOKUP(D136,CSR!$D$4:$E$1180,2,FALSE)</f>
        <v>CSR_30000</v>
      </c>
      <c r="G136" s="203">
        <v>46065</v>
      </c>
      <c r="H136" s="204">
        <v>1</v>
      </c>
      <c r="I136" s="205">
        <f t="shared" si="2"/>
        <v>5.2631578947368418E-2</v>
      </c>
      <c r="J136" s="206" t="s">
        <v>285</v>
      </c>
      <c r="K136" s="204"/>
    </row>
    <row r="137" spans="1:11" s="197" customFormat="1" ht="80" hidden="1">
      <c r="A137" s="198" t="s">
        <v>1171</v>
      </c>
      <c r="B137" s="199" t="s">
        <v>49</v>
      </c>
      <c r="C137" s="199" t="s">
        <v>50</v>
      </c>
      <c r="D137" s="207" t="s">
        <v>1309</v>
      </c>
      <c r="E137" s="210" t="s">
        <v>1487</v>
      </c>
      <c r="F137" s="202" t="str">
        <f>VLOOKUP(D137,CSR!$D$4:$E$1180,2,FALSE)</f>
        <v>CSR_41101</v>
      </c>
      <c r="G137" s="203">
        <v>46073</v>
      </c>
      <c r="H137" s="204">
        <v>4</v>
      </c>
      <c r="I137" s="205">
        <f t="shared" si="2"/>
        <v>0.21052631578947367</v>
      </c>
      <c r="J137" s="206" t="s">
        <v>285</v>
      </c>
      <c r="K137" s="204"/>
    </row>
    <row r="138" spans="1:11" s="197" customFormat="1" ht="80" hidden="1">
      <c r="A138" s="198" t="s">
        <v>1171</v>
      </c>
      <c r="B138" s="199" t="s">
        <v>49</v>
      </c>
      <c r="C138" s="199" t="s">
        <v>50</v>
      </c>
      <c r="D138" s="207" t="s">
        <v>1311</v>
      </c>
      <c r="E138" s="210" t="s">
        <v>1488</v>
      </c>
      <c r="F138" s="202" t="str">
        <f>VLOOKUP(D138,CSR!$D$4:$E$1180,2,FALSE)</f>
        <v>CSR_41102</v>
      </c>
      <c r="G138" s="203">
        <v>46073</v>
      </c>
      <c r="H138" s="204">
        <v>4</v>
      </c>
      <c r="I138" s="205">
        <f t="shared" si="2"/>
        <v>0.21052631578947367</v>
      </c>
      <c r="J138" s="206" t="s">
        <v>285</v>
      </c>
      <c r="K138" s="204"/>
    </row>
    <row r="139" spans="1:11" s="197" customFormat="1" ht="32" hidden="1">
      <c r="A139" s="198" t="s">
        <v>1171</v>
      </c>
      <c r="B139" s="199" t="s">
        <v>31</v>
      </c>
      <c r="C139" s="199" t="s">
        <v>32</v>
      </c>
      <c r="D139" s="227" t="s">
        <v>1405</v>
      </c>
      <c r="E139" s="210" t="s">
        <v>1489</v>
      </c>
      <c r="F139" s="202" t="str">
        <f>VLOOKUP(D139,CSR!$D$4:$E$1180,2,FALSE)</f>
        <v>CSR_11302</v>
      </c>
      <c r="G139" s="203">
        <v>46073</v>
      </c>
      <c r="H139" s="204">
        <v>2</v>
      </c>
      <c r="I139" s="205">
        <f t="shared" si="2"/>
        <v>0.10526315789473684</v>
      </c>
      <c r="J139" s="206" t="s">
        <v>285</v>
      </c>
      <c r="K139" s="204"/>
    </row>
    <row r="140" spans="1:11" s="197" customFormat="1" ht="16" hidden="1">
      <c r="A140" s="198" t="s">
        <v>1385</v>
      </c>
      <c r="B140" s="199" t="s">
        <v>16</v>
      </c>
      <c r="C140" s="199" t="s">
        <v>616</v>
      </c>
      <c r="D140" s="200" t="s">
        <v>262</v>
      </c>
      <c r="E140" s="201" t="s">
        <v>1490</v>
      </c>
      <c r="F140" s="202" t="str">
        <f>VLOOKUP(D140,CSR!$D$4:$E$1180,2,FALSE)</f>
        <v>CSR_11100</v>
      </c>
      <c r="G140" s="203" t="s">
        <v>1491</v>
      </c>
      <c r="H140" s="208">
        <v>4</v>
      </c>
      <c r="I140" s="205">
        <f t="shared" si="2"/>
        <v>0.21052631578947367</v>
      </c>
      <c r="J140" s="206" t="s">
        <v>1081</v>
      </c>
      <c r="K140" s="204"/>
    </row>
    <row r="141" spans="1:11" s="197" customFormat="1" ht="16" hidden="1">
      <c r="A141" s="198" t="s">
        <v>1385</v>
      </c>
      <c r="B141" s="199" t="s">
        <v>16</v>
      </c>
      <c r="C141" s="199" t="s">
        <v>616</v>
      </c>
      <c r="D141" s="200" t="s">
        <v>65</v>
      </c>
      <c r="E141" s="201" t="s">
        <v>1492</v>
      </c>
      <c r="F141" s="202" t="str">
        <f>VLOOKUP(D141,CSR!$D$4:$E$1180,2,FALSE)</f>
        <v>CSR_10800</v>
      </c>
      <c r="G141" s="203" t="s">
        <v>1493</v>
      </c>
      <c r="H141" s="208">
        <v>4</v>
      </c>
      <c r="I141" s="205">
        <f t="shared" si="2"/>
        <v>0.21052631578947367</v>
      </c>
      <c r="J141" s="206" t="s">
        <v>297</v>
      </c>
      <c r="K141" s="204"/>
    </row>
    <row r="142" spans="1:11" s="197" customFormat="1" ht="32" hidden="1">
      <c r="A142" s="198" t="s">
        <v>1171</v>
      </c>
      <c r="B142" s="199" t="s">
        <v>31</v>
      </c>
      <c r="C142" s="199" t="s">
        <v>759</v>
      </c>
      <c r="D142" s="200" t="s">
        <v>764</v>
      </c>
      <c r="E142" s="201" t="s">
        <v>1494</v>
      </c>
      <c r="F142" s="202" t="str">
        <f>VLOOKUP(D142,CSR!$D$4:$E$1180,2,FALSE)</f>
        <v>CSR_30200</v>
      </c>
      <c r="G142" s="203" t="s">
        <v>1495</v>
      </c>
      <c r="H142" s="208">
        <v>3</v>
      </c>
      <c r="I142" s="205">
        <f t="shared" si="2"/>
        <v>0.15789473684210525</v>
      </c>
      <c r="J142" s="206" t="s">
        <v>1081</v>
      </c>
      <c r="K142" s="204"/>
    </row>
    <row r="143" spans="1:11" s="197" customFormat="1" ht="16" hidden="1">
      <c r="A143" s="198" t="s">
        <v>1171</v>
      </c>
      <c r="B143" s="199" t="s">
        <v>16</v>
      </c>
      <c r="C143" s="199" t="s">
        <v>616</v>
      </c>
      <c r="D143" s="200" t="s">
        <v>65</v>
      </c>
      <c r="E143" s="201" t="s">
        <v>1492</v>
      </c>
      <c r="F143" s="202" t="str">
        <f>VLOOKUP(D143,CSR!$D$4:$E$1180,2,FALSE)</f>
        <v>CSR_10800</v>
      </c>
      <c r="G143" s="203" t="s">
        <v>1496</v>
      </c>
      <c r="H143" s="208">
        <v>4</v>
      </c>
      <c r="I143" s="205">
        <f t="shared" si="2"/>
        <v>0.21052631578947367</v>
      </c>
      <c r="J143" s="206" t="s">
        <v>1081</v>
      </c>
      <c r="K143" s="204"/>
    </row>
    <row r="144" spans="1:11" s="197" customFormat="1" ht="16" hidden="1">
      <c r="A144" s="198" t="s">
        <v>1171</v>
      </c>
      <c r="B144" s="199" t="s">
        <v>16</v>
      </c>
      <c r="C144" s="199" t="s">
        <v>616</v>
      </c>
      <c r="D144" s="200" t="s">
        <v>65</v>
      </c>
      <c r="E144" s="201" t="s">
        <v>1492</v>
      </c>
      <c r="F144" s="202" t="str">
        <f>VLOOKUP(D144,CSR!$D$4:$E$1180,2,FALSE)</f>
        <v>CSR_10800</v>
      </c>
      <c r="G144" s="203" t="s">
        <v>1434</v>
      </c>
      <c r="H144" s="208">
        <v>4</v>
      </c>
      <c r="I144" s="205">
        <f t="shared" si="2"/>
        <v>0.21052631578947367</v>
      </c>
      <c r="J144" s="206" t="s">
        <v>1081</v>
      </c>
      <c r="K144" s="204"/>
    </row>
    <row r="145" spans="1:11" s="197" customFormat="1" ht="32" hidden="1">
      <c r="A145" s="198" t="s">
        <v>1171</v>
      </c>
      <c r="B145" s="199" t="s">
        <v>31</v>
      </c>
      <c r="C145" s="199" t="s">
        <v>759</v>
      </c>
      <c r="D145" s="200" t="s">
        <v>764</v>
      </c>
      <c r="E145" s="201" t="s">
        <v>1497</v>
      </c>
      <c r="F145" s="202" t="str">
        <f>VLOOKUP(D145,CSR!$D$4:$E$1180,2,FALSE)</f>
        <v>CSR_30200</v>
      </c>
      <c r="G145" s="203" t="s">
        <v>1432</v>
      </c>
      <c r="H145" s="208">
        <v>3</v>
      </c>
      <c r="I145" s="205">
        <f t="shared" si="2"/>
        <v>0.15789473684210525</v>
      </c>
      <c r="J145" s="206" t="s">
        <v>1098</v>
      </c>
      <c r="K145" s="204"/>
    </row>
    <row r="146" spans="1:11" s="197" customFormat="1" ht="16" hidden="1">
      <c r="A146" s="198" t="s">
        <v>1171</v>
      </c>
      <c r="B146" s="199" t="s">
        <v>16</v>
      </c>
      <c r="C146" s="199" t="s">
        <v>616</v>
      </c>
      <c r="D146" s="200" t="s">
        <v>131</v>
      </c>
      <c r="E146" s="201" t="s">
        <v>1498</v>
      </c>
      <c r="F146" s="202" t="str">
        <f>VLOOKUP(D146,CSR!$D$4:$E$1180,2,FALSE)</f>
        <v>CSR_10400</v>
      </c>
      <c r="G146" s="203" t="s">
        <v>1499</v>
      </c>
      <c r="H146" s="208">
        <v>3</v>
      </c>
      <c r="I146" s="205">
        <f t="shared" si="2"/>
        <v>0.15789473684210525</v>
      </c>
      <c r="J146" s="206" t="s">
        <v>1098</v>
      </c>
      <c r="K146" s="204"/>
    </row>
    <row r="147" spans="1:11" s="197" customFormat="1" ht="16" hidden="1">
      <c r="A147" s="198" t="s">
        <v>1171</v>
      </c>
      <c r="B147" s="199" t="s">
        <v>16</v>
      </c>
      <c r="C147" s="199" t="s">
        <v>616</v>
      </c>
      <c r="D147" s="200" t="s">
        <v>262</v>
      </c>
      <c r="E147" s="201" t="s">
        <v>1500</v>
      </c>
      <c r="F147" s="202" t="str">
        <f>VLOOKUP(D147,CSR!$D$4:$E$1180,2,FALSE)</f>
        <v>CSR_11100</v>
      </c>
      <c r="G147" s="203" t="s">
        <v>1434</v>
      </c>
      <c r="H147" s="208">
        <v>2</v>
      </c>
      <c r="I147" s="205">
        <f t="shared" si="2"/>
        <v>0.10526315789473684</v>
      </c>
      <c r="J147" s="206" t="s">
        <v>1098</v>
      </c>
      <c r="K147" s="204"/>
    </row>
    <row r="148" spans="1:11" s="197" customFormat="1" ht="16" hidden="1">
      <c r="A148" s="198" t="s">
        <v>1171</v>
      </c>
      <c r="B148" s="199" t="s">
        <v>16</v>
      </c>
      <c r="C148" s="199" t="s">
        <v>616</v>
      </c>
      <c r="D148" s="200" t="s">
        <v>65</v>
      </c>
      <c r="E148" s="201" t="s">
        <v>1501</v>
      </c>
      <c r="F148" s="202" t="str">
        <f>VLOOKUP(D148,CSR!$D$4:$E$1180,2,FALSE)</f>
        <v>CSR_10800</v>
      </c>
      <c r="G148" s="203" t="s">
        <v>1502</v>
      </c>
      <c r="H148" s="208">
        <v>4</v>
      </c>
      <c r="I148" s="205">
        <f t="shared" si="2"/>
        <v>0.21052631578947367</v>
      </c>
      <c r="J148" s="206" t="s">
        <v>1098</v>
      </c>
      <c r="K148" s="204"/>
    </row>
    <row r="149" spans="1:11" s="197" customFormat="1" ht="32" hidden="1">
      <c r="A149" s="198" t="s">
        <v>1171</v>
      </c>
      <c r="B149" s="199" t="s">
        <v>758</v>
      </c>
      <c r="C149" s="199" t="s">
        <v>759</v>
      </c>
      <c r="D149" s="200" t="s">
        <v>880</v>
      </c>
      <c r="E149" s="201" t="s">
        <v>842</v>
      </c>
      <c r="F149" s="202" t="str">
        <f>VLOOKUP(D149,CSR!$D$4:$E$1180,2,FALSE)</f>
        <v>CSR_30600</v>
      </c>
      <c r="G149" s="203">
        <v>46042</v>
      </c>
      <c r="H149" s="208">
        <v>5</v>
      </c>
      <c r="I149" s="205">
        <f t="shared" si="2"/>
        <v>0.26315789473684209</v>
      </c>
      <c r="J149" s="206" t="s">
        <v>881</v>
      </c>
      <c r="K149" s="204"/>
    </row>
    <row r="150" spans="1:11" s="197" customFormat="1" ht="16" hidden="1">
      <c r="A150" s="198" t="s">
        <v>1385</v>
      </c>
      <c r="B150" s="199" t="s">
        <v>16</v>
      </c>
      <c r="C150" s="199" t="s">
        <v>616</v>
      </c>
      <c r="D150" s="208" t="s">
        <v>1503</v>
      </c>
      <c r="E150" s="210" t="s">
        <v>1504</v>
      </c>
      <c r="F150" s="202" t="str">
        <f>VLOOKUP(D150,CSR!$D$4:$E$1180,2,FALSE)</f>
        <v>CSR_11304</v>
      </c>
      <c r="G150" s="203">
        <v>46052</v>
      </c>
      <c r="H150" s="204">
        <v>3</v>
      </c>
      <c r="I150" s="205">
        <f t="shared" si="2"/>
        <v>0.15789473684210525</v>
      </c>
      <c r="J150" s="199" t="s">
        <v>324</v>
      </c>
      <c r="K150" s="218"/>
    </row>
    <row r="151" spans="1:11" s="197" customFormat="1" ht="32" hidden="1">
      <c r="A151" s="198" t="s">
        <v>1385</v>
      </c>
      <c r="B151" s="199" t="s">
        <v>16</v>
      </c>
      <c r="C151" s="199" t="s">
        <v>616</v>
      </c>
      <c r="D151" s="208" t="s">
        <v>18</v>
      </c>
      <c r="E151" s="210" t="s">
        <v>1505</v>
      </c>
      <c r="F151" s="202" t="str">
        <f>VLOOKUP(D151,CSR!$D$4:$E$1180,2,FALSE)</f>
        <v>CSR_11300</v>
      </c>
      <c r="G151" s="203">
        <v>46052</v>
      </c>
      <c r="H151" s="204">
        <v>1</v>
      </c>
      <c r="I151" s="205">
        <f t="shared" si="2"/>
        <v>5.2631578947368418E-2</v>
      </c>
      <c r="J151" s="206" t="s">
        <v>324</v>
      </c>
      <c r="K151" s="204"/>
    </row>
    <row r="152" spans="1:11" s="197" customFormat="1" ht="32" hidden="1">
      <c r="A152" s="198" t="s">
        <v>1385</v>
      </c>
      <c r="B152" s="199" t="s">
        <v>31</v>
      </c>
      <c r="C152" s="199" t="s">
        <v>32</v>
      </c>
      <c r="D152" s="208" t="s">
        <v>33</v>
      </c>
      <c r="E152" s="210" t="s">
        <v>1506</v>
      </c>
      <c r="F152" s="202" t="str">
        <f>VLOOKUP(D152,CSR!$D$4:$E$1180,2,FALSE)</f>
        <v>CSR_30200</v>
      </c>
      <c r="G152" s="203">
        <v>46052</v>
      </c>
      <c r="H152" s="204">
        <v>1</v>
      </c>
      <c r="I152" s="205">
        <f t="shared" si="2"/>
        <v>5.2631578947368418E-2</v>
      </c>
      <c r="J152" s="206" t="s">
        <v>324</v>
      </c>
      <c r="K152" s="204"/>
    </row>
    <row r="153" spans="1:11" s="197" customFormat="1" ht="32" hidden="1">
      <c r="A153" s="198" t="s">
        <v>1171</v>
      </c>
      <c r="B153" s="199" t="s">
        <v>16</v>
      </c>
      <c r="C153" s="199" t="s">
        <v>616</v>
      </c>
      <c r="D153" s="208" t="s">
        <v>1507</v>
      </c>
      <c r="E153" s="210" t="s">
        <v>1508</v>
      </c>
      <c r="F153" s="202" t="str">
        <f>VLOOKUP(D153,CSR!$D$4:$E$1180,2,FALSE)</f>
        <v>CSR_11410</v>
      </c>
      <c r="G153" s="203">
        <v>46059</v>
      </c>
      <c r="H153" s="204">
        <v>2</v>
      </c>
      <c r="I153" s="205">
        <f t="shared" si="2"/>
        <v>0.10526315789473684</v>
      </c>
      <c r="J153" s="199" t="s">
        <v>324</v>
      </c>
      <c r="K153" s="204"/>
    </row>
    <row r="154" spans="1:11" s="197" customFormat="1" ht="16" hidden="1">
      <c r="A154" s="198" t="s">
        <v>1171</v>
      </c>
      <c r="B154" s="199" t="s">
        <v>49</v>
      </c>
      <c r="C154" s="199" t="s">
        <v>50</v>
      </c>
      <c r="D154" s="208" t="s">
        <v>1309</v>
      </c>
      <c r="E154" s="210" t="s">
        <v>1509</v>
      </c>
      <c r="F154" s="202" t="str">
        <f>VLOOKUP(D154,CSR!$D$4:$E$1180,2,FALSE)</f>
        <v>CSR_41101</v>
      </c>
      <c r="G154" s="203">
        <v>46059</v>
      </c>
      <c r="H154" s="204">
        <v>2</v>
      </c>
      <c r="I154" s="205">
        <f t="shared" si="2"/>
        <v>0.10526315789473684</v>
      </c>
      <c r="J154" s="206" t="s">
        <v>324</v>
      </c>
      <c r="K154" s="204"/>
    </row>
    <row r="155" spans="1:11" s="197" customFormat="1" ht="32" hidden="1">
      <c r="A155" s="198" t="s">
        <v>1171</v>
      </c>
      <c r="B155" s="199" t="s">
        <v>16</v>
      </c>
      <c r="C155" s="199" t="s">
        <v>616</v>
      </c>
      <c r="D155" s="200" t="s">
        <v>1172</v>
      </c>
      <c r="E155" s="201" t="s">
        <v>1398</v>
      </c>
      <c r="F155" s="202" t="str">
        <f>VLOOKUP(D155,CSR!$D$4:$E$1180,2,FALSE)</f>
        <v>CSR_11409</v>
      </c>
      <c r="G155" s="203">
        <v>46066</v>
      </c>
      <c r="H155" s="204">
        <v>2</v>
      </c>
      <c r="I155" s="205">
        <f t="shared" si="2"/>
        <v>0.10526315789473684</v>
      </c>
      <c r="J155" s="206" t="s">
        <v>324</v>
      </c>
      <c r="K155" s="204"/>
    </row>
    <row r="156" spans="1:11" s="197" customFormat="1" ht="32" hidden="1">
      <c r="A156" s="198" t="s">
        <v>1171</v>
      </c>
      <c r="B156" s="199" t="s">
        <v>16</v>
      </c>
      <c r="C156" s="199" t="s">
        <v>616</v>
      </c>
      <c r="D156" s="200" t="s">
        <v>1172</v>
      </c>
      <c r="E156" s="201" t="s">
        <v>1407</v>
      </c>
      <c r="F156" s="202" t="str">
        <f>VLOOKUP(D156,CSR!$D$4:$E$1180,2,FALSE)</f>
        <v>CSR_11409</v>
      </c>
      <c r="G156" s="203">
        <v>46066</v>
      </c>
      <c r="H156" s="204">
        <v>3</v>
      </c>
      <c r="I156" s="205">
        <f t="shared" si="2"/>
        <v>0.15789473684210525</v>
      </c>
      <c r="J156" s="206" t="s">
        <v>324</v>
      </c>
      <c r="K156" s="204"/>
    </row>
    <row r="157" spans="1:11" s="197" customFormat="1" ht="32" hidden="1">
      <c r="A157" s="198" t="s">
        <v>1171</v>
      </c>
      <c r="B157" s="199" t="s">
        <v>16</v>
      </c>
      <c r="C157" s="199" t="s">
        <v>616</v>
      </c>
      <c r="D157" s="200" t="s">
        <v>1172</v>
      </c>
      <c r="E157" s="201" t="s">
        <v>1399</v>
      </c>
      <c r="F157" s="202" t="str">
        <f>VLOOKUP(D157,CSR!$D$4:$E$1180,2,FALSE)</f>
        <v>CSR_11409</v>
      </c>
      <c r="G157" s="203">
        <v>46066</v>
      </c>
      <c r="H157" s="208">
        <v>2</v>
      </c>
      <c r="I157" s="205">
        <f t="shared" si="2"/>
        <v>0.10526315789473684</v>
      </c>
      <c r="J157" s="206" t="s">
        <v>324</v>
      </c>
      <c r="K157" s="204"/>
    </row>
    <row r="158" spans="1:11" s="197" customFormat="1" ht="32" hidden="1">
      <c r="A158" s="198" t="s">
        <v>1171</v>
      </c>
      <c r="B158" s="199" t="s">
        <v>16</v>
      </c>
      <c r="C158" s="199" t="s">
        <v>616</v>
      </c>
      <c r="D158" s="200" t="s">
        <v>1172</v>
      </c>
      <c r="E158" s="201" t="s">
        <v>1510</v>
      </c>
      <c r="F158" s="202" t="str">
        <f>VLOOKUP(D158,CSR!$D$4:$E$1180,2,FALSE)</f>
        <v>CSR_11409</v>
      </c>
      <c r="G158" s="203">
        <v>46066</v>
      </c>
      <c r="H158" s="208">
        <v>3</v>
      </c>
      <c r="I158" s="205">
        <f t="shared" si="2"/>
        <v>0.15789473684210525</v>
      </c>
      <c r="J158" s="206" t="s">
        <v>324</v>
      </c>
      <c r="K158" s="204"/>
    </row>
    <row r="159" spans="1:11" s="197" customFormat="1" ht="32" hidden="1">
      <c r="A159" s="198" t="s">
        <v>1385</v>
      </c>
      <c r="B159" s="199" t="s">
        <v>16</v>
      </c>
      <c r="C159" s="199" t="s">
        <v>616</v>
      </c>
      <c r="D159" s="208" t="s">
        <v>65</v>
      </c>
      <c r="E159" s="210" t="s">
        <v>1511</v>
      </c>
      <c r="F159" s="202" t="str">
        <f>VLOOKUP(D159,CSR!$D$4:$E$1180,2,FALSE)</f>
        <v>CSR_10800</v>
      </c>
      <c r="G159" s="203">
        <v>46052</v>
      </c>
      <c r="H159" s="204">
        <v>1</v>
      </c>
      <c r="I159" s="205">
        <f t="shared" si="2"/>
        <v>5.2631578947368418E-2</v>
      </c>
      <c r="J159" s="217" t="s">
        <v>335</v>
      </c>
      <c r="K159" s="204"/>
    </row>
    <row r="160" spans="1:11" s="197" customFormat="1" ht="32" hidden="1">
      <c r="A160" s="198" t="s">
        <v>1385</v>
      </c>
      <c r="B160" s="199" t="s">
        <v>49</v>
      </c>
      <c r="C160" s="199" t="s">
        <v>50</v>
      </c>
      <c r="D160" s="208" t="s">
        <v>1311</v>
      </c>
      <c r="E160" s="227" t="s">
        <v>1512</v>
      </c>
      <c r="F160" s="202" t="str">
        <f>VLOOKUP(D160,CSR!$D$4:$E$1180,2,FALSE)</f>
        <v>CSR_41102</v>
      </c>
      <c r="G160" s="203">
        <v>46052</v>
      </c>
      <c r="H160" s="204">
        <v>1</v>
      </c>
      <c r="I160" s="205">
        <f t="shared" si="2"/>
        <v>5.2631578947368418E-2</v>
      </c>
      <c r="J160" s="206" t="s">
        <v>335</v>
      </c>
      <c r="K160" s="204"/>
    </row>
    <row r="161" spans="1:11" s="197" customFormat="1" ht="16" hidden="1">
      <c r="A161" s="198" t="s">
        <v>1385</v>
      </c>
      <c r="B161" s="198" t="s">
        <v>31</v>
      </c>
      <c r="C161" s="198" t="s">
        <v>336</v>
      </c>
      <c r="D161" s="200" t="s">
        <v>357</v>
      </c>
      <c r="E161" s="201" t="s">
        <v>1513</v>
      </c>
      <c r="F161" s="202" t="str">
        <f>VLOOKUP(D161,CSR!$D$4:$E$1180,2,FALSE)</f>
        <v>CSR_30700</v>
      </c>
      <c r="G161" s="203">
        <v>46052</v>
      </c>
      <c r="H161" s="204">
        <v>1</v>
      </c>
      <c r="I161" s="205">
        <f t="shared" si="2"/>
        <v>5.2631578947368418E-2</v>
      </c>
      <c r="J161" s="217" t="s">
        <v>335</v>
      </c>
      <c r="K161" s="204"/>
    </row>
    <row r="162" spans="1:11" s="197" customFormat="1" ht="16" hidden="1">
      <c r="A162" s="198" t="s">
        <v>1385</v>
      </c>
      <c r="B162" s="198" t="s">
        <v>31</v>
      </c>
      <c r="C162" s="198" t="s">
        <v>336</v>
      </c>
      <c r="D162" s="200" t="s">
        <v>357</v>
      </c>
      <c r="E162" s="210" t="s">
        <v>1514</v>
      </c>
      <c r="F162" s="202" t="str">
        <f>VLOOKUP(D162,CSR!$D$4:$E$1180,2,FALSE)</f>
        <v>CSR_30700</v>
      </c>
      <c r="G162" s="203">
        <v>46052</v>
      </c>
      <c r="H162" s="204">
        <v>1</v>
      </c>
      <c r="I162" s="205">
        <f t="shared" si="2"/>
        <v>5.2631578947368418E-2</v>
      </c>
      <c r="J162" s="206" t="s">
        <v>335</v>
      </c>
      <c r="K162" s="204"/>
    </row>
    <row r="163" spans="1:11" s="197" customFormat="1" ht="32" hidden="1">
      <c r="A163" s="198" t="s">
        <v>1385</v>
      </c>
      <c r="B163" s="198" t="s">
        <v>31</v>
      </c>
      <c r="C163" s="198" t="s">
        <v>336</v>
      </c>
      <c r="D163" s="200" t="s">
        <v>357</v>
      </c>
      <c r="E163" s="218" t="s">
        <v>1515</v>
      </c>
      <c r="F163" s="202" t="str">
        <f>VLOOKUP(D163,CSR!$D$4:$E$1180,2,FALSE)</f>
        <v>CSR_30700</v>
      </c>
      <c r="G163" s="203">
        <v>46052</v>
      </c>
      <c r="H163" s="204">
        <v>1</v>
      </c>
      <c r="I163" s="205">
        <f t="shared" si="2"/>
        <v>5.2631578947368418E-2</v>
      </c>
      <c r="J163" s="206" t="s">
        <v>335</v>
      </c>
      <c r="K163" s="204"/>
    </row>
    <row r="164" spans="1:11" s="197" customFormat="1" ht="32" hidden="1">
      <c r="A164" s="198" t="s">
        <v>1171</v>
      </c>
      <c r="B164" s="199" t="s">
        <v>16</v>
      </c>
      <c r="C164" s="199" t="s">
        <v>616</v>
      </c>
      <c r="D164" s="208" t="s">
        <v>65</v>
      </c>
      <c r="E164" s="210" t="s">
        <v>1511</v>
      </c>
      <c r="F164" s="202" t="str">
        <f>VLOOKUP(D164,CSR!$D$4:$E$1180,2,FALSE)</f>
        <v>CSR_10800</v>
      </c>
      <c r="G164" s="203">
        <v>46059</v>
      </c>
      <c r="H164" s="204">
        <v>1</v>
      </c>
      <c r="I164" s="205">
        <f t="shared" si="2"/>
        <v>5.2631578947368418E-2</v>
      </c>
      <c r="J164" s="217" t="s">
        <v>335</v>
      </c>
      <c r="K164" s="204"/>
    </row>
    <row r="165" spans="1:11" s="197" customFormat="1" ht="32" hidden="1">
      <c r="A165" s="198" t="s">
        <v>1171</v>
      </c>
      <c r="B165" s="199" t="s">
        <v>16</v>
      </c>
      <c r="C165" s="199" t="s">
        <v>616</v>
      </c>
      <c r="D165" s="208" t="s">
        <v>1516</v>
      </c>
      <c r="E165" s="210" t="s">
        <v>1517</v>
      </c>
      <c r="F165" s="202" t="str">
        <f>VLOOKUP(D165,CSR!$D$4:$E$1180,2,FALSE)</f>
        <v>CSR_11407</v>
      </c>
      <c r="G165" s="203">
        <v>46059</v>
      </c>
      <c r="H165" s="204">
        <v>4</v>
      </c>
      <c r="I165" s="205">
        <f t="shared" si="2"/>
        <v>0.21052631578947367</v>
      </c>
      <c r="J165" s="206" t="s">
        <v>335</v>
      </c>
      <c r="K165" s="204"/>
    </row>
    <row r="166" spans="1:11" s="197" customFormat="1" ht="32" hidden="1">
      <c r="A166" s="198" t="s">
        <v>1171</v>
      </c>
      <c r="B166" s="199" t="s">
        <v>16</v>
      </c>
      <c r="C166" s="199" t="s">
        <v>616</v>
      </c>
      <c r="D166" s="200" t="s">
        <v>1172</v>
      </c>
      <c r="E166" s="201" t="s">
        <v>1401</v>
      </c>
      <c r="F166" s="202" t="str">
        <f>VLOOKUP(D166,CSR!$D$4:$E$1180,2,FALSE)</f>
        <v>CSR_11409</v>
      </c>
      <c r="G166" s="203">
        <v>46066</v>
      </c>
      <c r="H166" s="208">
        <v>1</v>
      </c>
      <c r="I166" s="205">
        <f t="shared" si="2"/>
        <v>5.2631578947368418E-2</v>
      </c>
      <c r="J166" s="206" t="s">
        <v>335</v>
      </c>
      <c r="K166" s="204"/>
    </row>
    <row r="167" spans="1:11" s="197" customFormat="1" ht="32" hidden="1">
      <c r="A167" s="198" t="s">
        <v>1171</v>
      </c>
      <c r="B167" s="199" t="s">
        <v>16</v>
      </c>
      <c r="C167" s="199" t="s">
        <v>616</v>
      </c>
      <c r="D167" s="208" t="s">
        <v>65</v>
      </c>
      <c r="E167" s="210" t="s">
        <v>1511</v>
      </c>
      <c r="F167" s="202" t="str">
        <f>VLOOKUP(D167,CSR!$D$4:$E$1180,2,FALSE)</f>
        <v>CSR_10800</v>
      </c>
      <c r="G167" s="203">
        <v>46066</v>
      </c>
      <c r="H167" s="204">
        <v>1</v>
      </c>
      <c r="I167" s="205">
        <f t="shared" si="2"/>
        <v>5.2631578947368418E-2</v>
      </c>
      <c r="J167" s="217" t="s">
        <v>335</v>
      </c>
      <c r="K167" s="218"/>
    </row>
    <row r="168" spans="1:11" s="197" customFormat="1" ht="16" hidden="1">
      <c r="A168" s="198" t="s">
        <v>1171</v>
      </c>
      <c r="B168" s="198" t="s">
        <v>31</v>
      </c>
      <c r="C168" s="198" t="s">
        <v>336</v>
      </c>
      <c r="D168" s="200" t="s">
        <v>357</v>
      </c>
      <c r="E168" s="204" t="s">
        <v>1518</v>
      </c>
      <c r="F168" s="202" t="str">
        <f>VLOOKUP(D168,CSR!$D$4:$E$1180,2,FALSE)</f>
        <v>CSR_30700</v>
      </c>
      <c r="G168" s="203">
        <v>46066</v>
      </c>
      <c r="H168" s="204">
        <v>2</v>
      </c>
      <c r="I168" s="205">
        <f t="shared" si="2"/>
        <v>0.10526315789473684</v>
      </c>
      <c r="J168" s="217" t="s">
        <v>335</v>
      </c>
      <c r="K168" s="204"/>
    </row>
    <row r="169" spans="1:11" s="197" customFormat="1" ht="32" hidden="1">
      <c r="A169" s="198" t="s">
        <v>1171</v>
      </c>
      <c r="B169" s="199" t="s">
        <v>16</v>
      </c>
      <c r="C169" s="199" t="s">
        <v>616</v>
      </c>
      <c r="D169" s="200" t="s">
        <v>1172</v>
      </c>
      <c r="E169" s="201" t="s">
        <v>1510</v>
      </c>
      <c r="F169" s="202" t="str">
        <f>VLOOKUP(D169,CSR!$D$4:$E$1180,2,FALSE)</f>
        <v>CSR_11409</v>
      </c>
      <c r="G169" s="203">
        <v>46066</v>
      </c>
      <c r="H169" s="208">
        <v>2</v>
      </c>
      <c r="I169" s="205">
        <f t="shared" si="2"/>
        <v>0.10526315789473684</v>
      </c>
      <c r="J169" s="206" t="s">
        <v>335</v>
      </c>
      <c r="K169" s="204"/>
    </row>
    <row r="170" spans="1:11" s="197" customFormat="1" ht="32" hidden="1">
      <c r="A170" s="198" t="s">
        <v>1171</v>
      </c>
      <c r="B170" s="199" t="s">
        <v>16</v>
      </c>
      <c r="C170" s="199" t="s">
        <v>616</v>
      </c>
      <c r="D170" s="200" t="s">
        <v>1172</v>
      </c>
      <c r="E170" s="201" t="s">
        <v>1394</v>
      </c>
      <c r="F170" s="202" t="str">
        <f>VLOOKUP(D170,CSR!$D$4:$E$1180,2,FALSE)</f>
        <v>CSR_11409</v>
      </c>
      <c r="G170" s="203">
        <v>46066</v>
      </c>
      <c r="H170" s="208">
        <v>3</v>
      </c>
      <c r="I170" s="205">
        <f t="shared" si="2"/>
        <v>0.15789473684210525</v>
      </c>
      <c r="J170" s="217" t="s">
        <v>335</v>
      </c>
      <c r="K170" s="204"/>
    </row>
    <row r="171" spans="1:11" s="197" customFormat="1" ht="32" hidden="1">
      <c r="A171" s="198" t="s">
        <v>1385</v>
      </c>
      <c r="B171" s="199" t="s">
        <v>16</v>
      </c>
      <c r="C171" s="199" t="s">
        <v>616</v>
      </c>
      <c r="D171" s="208" t="s">
        <v>1519</v>
      </c>
      <c r="E171" s="218" t="s">
        <v>1520</v>
      </c>
      <c r="F171" s="202" t="str">
        <f>VLOOKUP(D171,CSR!$D$4:$E$1180,2,FALSE)</f>
        <v>CSR_11405</v>
      </c>
      <c r="G171" s="203">
        <v>46052</v>
      </c>
      <c r="H171" s="204">
        <v>2</v>
      </c>
      <c r="I171" s="205">
        <f t="shared" si="2"/>
        <v>0.10526315789473684</v>
      </c>
      <c r="J171" s="206" t="s">
        <v>351</v>
      </c>
      <c r="K171" s="204"/>
    </row>
    <row r="172" spans="1:11" s="197" customFormat="1" ht="32" hidden="1">
      <c r="A172" s="198" t="s">
        <v>1385</v>
      </c>
      <c r="B172" s="199" t="s">
        <v>31</v>
      </c>
      <c r="C172" s="199" t="s">
        <v>32</v>
      </c>
      <c r="D172" s="208" t="s">
        <v>33</v>
      </c>
      <c r="E172" s="210" t="s">
        <v>1381</v>
      </c>
      <c r="F172" s="202" t="str">
        <f>VLOOKUP(D172,CSR!$D$4:$E$1180,2,FALSE)</f>
        <v>CSR_30200</v>
      </c>
      <c r="G172" s="203">
        <v>46052</v>
      </c>
      <c r="H172" s="204">
        <v>1</v>
      </c>
      <c r="I172" s="205">
        <f t="shared" si="2"/>
        <v>5.2631578947368418E-2</v>
      </c>
      <c r="J172" s="206" t="s">
        <v>351</v>
      </c>
      <c r="K172" s="208"/>
    </row>
    <row r="173" spans="1:11" ht="32" hidden="1">
      <c r="A173" s="198" t="s">
        <v>1385</v>
      </c>
      <c r="B173" s="199" t="s">
        <v>31</v>
      </c>
      <c r="C173" s="199" t="s">
        <v>32</v>
      </c>
      <c r="D173" s="208" t="s">
        <v>33</v>
      </c>
      <c r="E173" s="210" t="s">
        <v>1521</v>
      </c>
      <c r="F173" s="202" t="str">
        <f>VLOOKUP(D173,CSR!$D$4:$E$1180,2,FALSE)</f>
        <v>CSR_30200</v>
      </c>
      <c r="G173" s="203">
        <v>46052</v>
      </c>
      <c r="H173" s="204">
        <v>1</v>
      </c>
      <c r="I173" s="205">
        <f t="shared" si="2"/>
        <v>5.2631578947368418E-2</v>
      </c>
      <c r="J173" s="206" t="s">
        <v>351</v>
      </c>
      <c r="K173" s="204"/>
    </row>
    <row r="174" spans="1:11" ht="16" hidden="1">
      <c r="A174" s="198" t="s">
        <v>1385</v>
      </c>
      <c r="B174" s="198" t="s">
        <v>31</v>
      </c>
      <c r="C174" s="198" t="s">
        <v>336</v>
      </c>
      <c r="D174" s="208" t="s">
        <v>337</v>
      </c>
      <c r="E174" s="218" t="s">
        <v>1522</v>
      </c>
      <c r="F174" s="202" t="str">
        <f>VLOOKUP(D174,CSR!$D$4:$E$1180,2,FALSE)</f>
        <v>CSR_30800</v>
      </c>
      <c r="G174" s="203">
        <v>46052</v>
      </c>
      <c r="H174" s="204">
        <v>1</v>
      </c>
      <c r="I174" s="205">
        <f t="shared" si="2"/>
        <v>5.2631578947368418E-2</v>
      </c>
      <c r="J174" s="199" t="s">
        <v>351</v>
      </c>
      <c r="K174" s="204"/>
    </row>
    <row r="175" spans="1:11" ht="32" hidden="1">
      <c r="A175" s="198" t="s">
        <v>1171</v>
      </c>
      <c r="B175" s="199" t="s">
        <v>31</v>
      </c>
      <c r="C175" s="199" t="s">
        <v>32</v>
      </c>
      <c r="D175" s="208" t="s">
        <v>33</v>
      </c>
      <c r="E175" s="201" t="s">
        <v>1523</v>
      </c>
      <c r="F175" s="202" t="str">
        <f>VLOOKUP(D175,CSR!$D$4:$E$1180,2,FALSE)</f>
        <v>CSR_30200</v>
      </c>
      <c r="G175" s="203">
        <v>46059</v>
      </c>
      <c r="H175" s="204">
        <v>2</v>
      </c>
      <c r="I175" s="205">
        <f t="shared" si="2"/>
        <v>0.10526315789473684</v>
      </c>
      <c r="J175" s="217" t="s">
        <v>351</v>
      </c>
      <c r="K175" s="204"/>
    </row>
    <row r="176" spans="1:11" ht="32" hidden="1">
      <c r="A176" s="198" t="s">
        <v>1171</v>
      </c>
      <c r="B176" s="199" t="s">
        <v>31</v>
      </c>
      <c r="C176" s="199" t="s">
        <v>32</v>
      </c>
      <c r="D176" s="208" t="s">
        <v>33</v>
      </c>
      <c r="E176" s="210" t="s">
        <v>1524</v>
      </c>
      <c r="F176" s="202" t="str">
        <f>VLOOKUP(D176,CSR!$D$4:$E$1180,2,FALSE)</f>
        <v>CSR_30200</v>
      </c>
      <c r="G176" s="203">
        <v>46059</v>
      </c>
      <c r="H176" s="204">
        <v>2</v>
      </c>
      <c r="I176" s="205">
        <f t="shared" si="2"/>
        <v>0.10526315789473684</v>
      </c>
      <c r="J176" s="206" t="s">
        <v>351</v>
      </c>
      <c r="K176" s="204"/>
    </row>
    <row r="177" spans="1:11" ht="32" hidden="1">
      <c r="A177" s="198" t="s">
        <v>1171</v>
      </c>
      <c r="B177" s="198" t="s">
        <v>31</v>
      </c>
      <c r="C177" s="198" t="s">
        <v>336</v>
      </c>
      <c r="D177" s="208" t="s">
        <v>337</v>
      </c>
      <c r="E177" s="210" t="s">
        <v>1525</v>
      </c>
      <c r="F177" s="202" t="str">
        <f>VLOOKUP(D177,CSR!$D$4:$E$1180,2,FALSE)</f>
        <v>CSR_30800</v>
      </c>
      <c r="G177" s="203">
        <v>46059</v>
      </c>
      <c r="H177" s="204">
        <v>1</v>
      </c>
      <c r="I177" s="205">
        <f t="shared" si="2"/>
        <v>5.2631578947368418E-2</v>
      </c>
      <c r="J177" s="206" t="s">
        <v>351</v>
      </c>
      <c r="K177" s="204"/>
    </row>
    <row r="178" spans="1:11" ht="32" hidden="1">
      <c r="A178" s="198" t="s">
        <v>1171</v>
      </c>
      <c r="B178" s="199" t="s">
        <v>16</v>
      </c>
      <c r="C178" s="199" t="s">
        <v>616</v>
      </c>
      <c r="D178" s="200" t="s">
        <v>1172</v>
      </c>
      <c r="E178" s="201" t="s">
        <v>1401</v>
      </c>
      <c r="F178" s="202" t="str">
        <f>VLOOKUP(D178,CSR!$D$4:$E$1180,2,FALSE)</f>
        <v>CSR_11409</v>
      </c>
      <c r="G178" s="203">
        <v>46066</v>
      </c>
      <c r="H178" s="208">
        <v>3</v>
      </c>
      <c r="I178" s="205">
        <f t="shared" si="2"/>
        <v>0.15789473684210525</v>
      </c>
      <c r="J178" s="206" t="s">
        <v>351</v>
      </c>
      <c r="K178" s="204"/>
    </row>
    <row r="179" spans="1:11" ht="32" hidden="1">
      <c r="A179" s="198" t="s">
        <v>1171</v>
      </c>
      <c r="B179" s="199" t="s">
        <v>16</v>
      </c>
      <c r="C179" s="199" t="s">
        <v>616</v>
      </c>
      <c r="D179" s="221" t="s">
        <v>1172</v>
      </c>
      <c r="E179" s="201" t="s">
        <v>1402</v>
      </c>
      <c r="F179" s="202" t="str">
        <f>VLOOKUP(D179,CSR!$D$4:$E$1180,2,FALSE)</f>
        <v>CSR_11409</v>
      </c>
      <c r="G179" s="203">
        <v>46066</v>
      </c>
      <c r="H179" s="204">
        <v>2</v>
      </c>
      <c r="I179" s="205">
        <f t="shared" si="2"/>
        <v>0.10526315789473684</v>
      </c>
      <c r="J179" s="206" t="s">
        <v>351</v>
      </c>
      <c r="K179" s="208"/>
    </row>
    <row r="180" spans="1:11" ht="32" hidden="1">
      <c r="A180" s="198" t="s">
        <v>1171</v>
      </c>
      <c r="B180" s="199" t="s">
        <v>16</v>
      </c>
      <c r="C180" s="199" t="s">
        <v>616</v>
      </c>
      <c r="D180" s="200" t="s">
        <v>1172</v>
      </c>
      <c r="E180" s="201" t="s">
        <v>1510</v>
      </c>
      <c r="F180" s="202" t="str">
        <f>VLOOKUP(D180,CSR!$D$4:$E$1180,2,FALSE)</f>
        <v>CSR_11409</v>
      </c>
      <c r="G180" s="203">
        <v>46066</v>
      </c>
      <c r="H180" s="208">
        <v>4</v>
      </c>
      <c r="I180" s="205">
        <f t="shared" si="2"/>
        <v>0.21052631578947367</v>
      </c>
      <c r="J180" s="206" t="s">
        <v>351</v>
      </c>
      <c r="K180" s="204"/>
    </row>
    <row r="181" spans="1:11" ht="32" hidden="1">
      <c r="A181" s="242" t="s">
        <v>1385</v>
      </c>
      <c r="B181" s="230" t="s">
        <v>70</v>
      </c>
      <c r="C181" s="230" t="s">
        <v>71</v>
      </c>
      <c r="D181" s="246" t="s">
        <v>252</v>
      </c>
      <c r="E181" s="231" t="s">
        <v>1526</v>
      </c>
      <c r="F181" s="202" t="str">
        <f>VLOOKUP(D181,CSR!$D$4:$E$1180,2,FALSE)</f>
        <v>CSR_20300</v>
      </c>
      <c r="G181" s="228">
        <v>46052</v>
      </c>
      <c r="H181" s="229">
        <v>1</v>
      </c>
      <c r="I181" s="205">
        <f t="shared" si="2"/>
        <v>5.2631578947368418E-2</v>
      </c>
      <c r="J181" s="230" t="s">
        <v>364</v>
      </c>
      <c r="K181" s="229"/>
    </row>
    <row r="182" spans="1:11" ht="16" hidden="1">
      <c r="A182" s="198" t="s">
        <v>1385</v>
      </c>
      <c r="B182" s="199" t="s">
        <v>70</v>
      </c>
      <c r="C182" s="198" t="s">
        <v>245</v>
      </c>
      <c r="D182" s="208" t="s">
        <v>246</v>
      </c>
      <c r="E182" s="210" t="s">
        <v>1527</v>
      </c>
      <c r="F182" s="202" t="str">
        <f>VLOOKUP(D182,CSR!$D$4:$E$1180,2,FALSE)</f>
        <v>CSR_20000</v>
      </c>
      <c r="G182" s="203">
        <v>46052</v>
      </c>
      <c r="H182" s="204">
        <v>1</v>
      </c>
      <c r="I182" s="205">
        <f t="shared" si="2"/>
        <v>5.2631578947368418E-2</v>
      </c>
      <c r="J182" s="206" t="s">
        <v>364</v>
      </c>
      <c r="K182" s="204"/>
    </row>
    <row r="183" spans="1:11" ht="64" hidden="1">
      <c r="A183" s="198" t="s">
        <v>1385</v>
      </c>
      <c r="B183" s="199" t="s">
        <v>16</v>
      </c>
      <c r="C183" s="199" t="s">
        <v>616</v>
      </c>
      <c r="D183" s="208" t="s">
        <v>1519</v>
      </c>
      <c r="E183" s="210" t="s">
        <v>1528</v>
      </c>
      <c r="F183" s="202" t="str">
        <f>VLOOKUP(D183,CSR!$D$4:$E$1180,2,FALSE)</f>
        <v>CSR_11405</v>
      </c>
      <c r="G183" s="203">
        <v>46052</v>
      </c>
      <c r="H183" s="204">
        <v>3</v>
      </c>
      <c r="I183" s="205">
        <f t="shared" si="2"/>
        <v>0.15789473684210525</v>
      </c>
      <c r="J183" s="199" t="s">
        <v>364</v>
      </c>
      <c r="K183" s="204"/>
    </row>
    <row r="184" spans="1:11" ht="64" hidden="1">
      <c r="A184" s="198" t="s">
        <v>1171</v>
      </c>
      <c r="B184" s="199" t="s">
        <v>16</v>
      </c>
      <c r="C184" s="199" t="s">
        <v>616</v>
      </c>
      <c r="D184" s="208" t="s">
        <v>1519</v>
      </c>
      <c r="E184" s="210" t="s">
        <v>1529</v>
      </c>
      <c r="F184" s="202" t="str">
        <f>VLOOKUP(D184,CSR!$D$4:$E$1180,2,FALSE)</f>
        <v>CSR_11405</v>
      </c>
      <c r="G184" s="203">
        <v>46059</v>
      </c>
      <c r="H184" s="204">
        <v>4</v>
      </c>
      <c r="I184" s="205">
        <f t="shared" si="2"/>
        <v>0.21052631578947367</v>
      </c>
      <c r="J184" s="199" t="s">
        <v>364</v>
      </c>
      <c r="K184" s="204"/>
    </row>
    <row r="185" spans="1:11" ht="32" hidden="1">
      <c r="A185" s="198" t="s">
        <v>1171</v>
      </c>
      <c r="B185" s="199" t="s">
        <v>16</v>
      </c>
      <c r="C185" s="199" t="s">
        <v>616</v>
      </c>
      <c r="D185" s="200" t="s">
        <v>1172</v>
      </c>
      <c r="E185" s="201" t="s">
        <v>1398</v>
      </c>
      <c r="F185" s="202" t="str">
        <f>VLOOKUP(D185,CSR!$D$4:$E$1180,2,FALSE)</f>
        <v>CSR_11409</v>
      </c>
      <c r="G185" s="203">
        <v>46066</v>
      </c>
      <c r="H185" s="204">
        <v>1</v>
      </c>
      <c r="I185" s="205">
        <f t="shared" si="2"/>
        <v>5.2631578947368418E-2</v>
      </c>
      <c r="J185" s="206" t="s">
        <v>364</v>
      </c>
      <c r="K185" s="204"/>
    </row>
    <row r="186" spans="1:11" ht="48" hidden="1">
      <c r="A186" s="198" t="s">
        <v>1171</v>
      </c>
      <c r="B186" s="199" t="s">
        <v>16</v>
      </c>
      <c r="C186" s="199" t="s">
        <v>616</v>
      </c>
      <c r="D186" s="237" t="s">
        <v>1519</v>
      </c>
      <c r="E186" s="210" t="s">
        <v>1530</v>
      </c>
      <c r="F186" s="202" t="str">
        <f>VLOOKUP(D186,CSR!$D$4:$E$1180,2,FALSE)</f>
        <v>CSR_11405</v>
      </c>
      <c r="G186" s="203">
        <v>46066</v>
      </c>
      <c r="H186" s="204">
        <v>4</v>
      </c>
      <c r="I186" s="205">
        <f t="shared" si="2"/>
        <v>0.21052631578947367</v>
      </c>
      <c r="J186" s="199" t="s">
        <v>364</v>
      </c>
      <c r="K186" s="204"/>
    </row>
    <row r="187" spans="1:11" ht="32" hidden="1">
      <c r="A187" s="198" t="s">
        <v>1171</v>
      </c>
      <c r="B187" s="199" t="s">
        <v>16</v>
      </c>
      <c r="C187" s="199" t="s">
        <v>616</v>
      </c>
      <c r="D187" s="200" t="s">
        <v>1172</v>
      </c>
      <c r="E187" s="201" t="s">
        <v>1399</v>
      </c>
      <c r="F187" s="202" t="str">
        <f>VLOOKUP(D187,CSR!$D$4:$E$1180,2,FALSE)</f>
        <v>CSR_11409</v>
      </c>
      <c r="G187" s="228">
        <v>46066</v>
      </c>
      <c r="H187" s="208">
        <v>3</v>
      </c>
      <c r="I187" s="205">
        <f t="shared" si="2"/>
        <v>0.15789473684210525</v>
      </c>
      <c r="J187" s="206" t="s">
        <v>364</v>
      </c>
      <c r="K187" s="204"/>
    </row>
    <row r="188" spans="1:11" ht="32" hidden="1">
      <c r="A188" s="198" t="s">
        <v>1171</v>
      </c>
      <c r="B188" s="199" t="s">
        <v>16</v>
      </c>
      <c r="C188" s="199" t="s">
        <v>616</v>
      </c>
      <c r="D188" s="200" t="s">
        <v>1172</v>
      </c>
      <c r="E188" s="201" t="s">
        <v>1510</v>
      </c>
      <c r="F188" s="202" t="str">
        <f>VLOOKUP(D188,CSR!$D$4:$E$1180,2,FALSE)</f>
        <v>CSR_11409</v>
      </c>
      <c r="G188" s="203">
        <v>46066</v>
      </c>
      <c r="H188" s="208">
        <v>2</v>
      </c>
      <c r="I188" s="205">
        <f t="shared" si="2"/>
        <v>0.10526315789473684</v>
      </c>
      <c r="J188" s="206" t="s">
        <v>364</v>
      </c>
      <c r="K188" s="204"/>
    </row>
    <row r="189" spans="1:11" ht="32" hidden="1">
      <c r="A189" s="198" t="s">
        <v>1385</v>
      </c>
      <c r="B189" s="199" t="s">
        <v>16</v>
      </c>
      <c r="C189" s="199" t="s">
        <v>616</v>
      </c>
      <c r="D189" s="208" t="s">
        <v>1519</v>
      </c>
      <c r="E189" s="218" t="s">
        <v>1531</v>
      </c>
      <c r="F189" s="202" t="str">
        <f>VLOOKUP(D189,CSR!$D$4:$E$1180,2,FALSE)</f>
        <v>CSR_11405</v>
      </c>
      <c r="G189" s="203">
        <v>46052</v>
      </c>
      <c r="H189" s="204">
        <v>3</v>
      </c>
      <c r="I189" s="205">
        <f t="shared" si="2"/>
        <v>0.15789473684210525</v>
      </c>
      <c r="J189" s="199" t="s">
        <v>375</v>
      </c>
      <c r="K189" s="204"/>
    </row>
    <row r="190" spans="1:11" ht="32" hidden="1">
      <c r="A190" s="198" t="s">
        <v>1385</v>
      </c>
      <c r="B190" s="199" t="s">
        <v>16</v>
      </c>
      <c r="C190" s="199" t="s">
        <v>616</v>
      </c>
      <c r="D190" s="208" t="s">
        <v>1519</v>
      </c>
      <c r="E190" s="218" t="s">
        <v>1532</v>
      </c>
      <c r="F190" s="202" t="str">
        <f>VLOOKUP(D190,CSR!$D$4:$E$1180,2,FALSE)</f>
        <v>CSR_11405</v>
      </c>
      <c r="G190" s="203">
        <v>46052</v>
      </c>
      <c r="H190" s="204">
        <v>2</v>
      </c>
      <c r="I190" s="205">
        <f t="shared" si="2"/>
        <v>0.10526315789473684</v>
      </c>
      <c r="J190" s="206" t="s">
        <v>375</v>
      </c>
      <c r="K190" s="204"/>
    </row>
    <row r="191" spans="1:11" ht="32" hidden="1">
      <c r="A191" s="198" t="s">
        <v>1171</v>
      </c>
      <c r="B191" s="199" t="s">
        <v>16</v>
      </c>
      <c r="C191" s="199" t="s">
        <v>616</v>
      </c>
      <c r="D191" s="208" t="s">
        <v>1507</v>
      </c>
      <c r="E191" s="210" t="s">
        <v>1533</v>
      </c>
      <c r="F191" s="202" t="str">
        <f>VLOOKUP(D191,CSR!$D$4:$E$1180,2,FALSE)</f>
        <v>CSR_11410</v>
      </c>
      <c r="G191" s="203">
        <v>46059</v>
      </c>
      <c r="H191" s="204">
        <v>3</v>
      </c>
      <c r="I191" s="205">
        <f t="shared" si="2"/>
        <v>0.15789473684210525</v>
      </c>
      <c r="J191" s="199" t="s">
        <v>375</v>
      </c>
      <c r="K191" s="204"/>
    </row>
    <row r="192" spans="1:11" ht="16" hidden="1">
      <c r="A192" s="198" t="s">
        <v>1171</v>
      </c>
      <c r="B192" s="199" t="s">
        <v>49</v>
      </c>
      <c r="C192" s="199" t="s">
        <v>50</v>
      </c>
      <c r="D192" s="208" t="s">
        <v>1311</v>
      </c>
      <c r="E192" s="210" t="s">
        <v>1534</v>
      </c>
      <c r="F192" s="202" t="str">
        <f>VLOOKUP(D192,CSR!$D$4:$E$1180,2,FALSE)</f>
        <v>CSR_41102</v>
      </c>
      <c r="G192" s="203">
        <v>46059</v>
      </c>
      <c r="H192" s="204">
        <v>2</v>
      </c>
      <c r="I192" s="205">
        <f t="shared" si="2"/>
        <v>0.10526315789473684</v>
      </c>
      <c r="J192" s="206" t="s">
        <v>375</v>
      </c>
      <c r="K192" s="204"/>
    </row>
    <row r="193" spans="1:11" ht="32" hidden="1">
      <c r="A193" s="198" t="s">
        <v>1171</v>
      </c>
      <c r="B193" s="199" t="s">
        <v>16</v>
      </c>
      <c r="C193" s="199" t="s">
        <v>616</v>
      </c>
      <c r="D193" s="200" t="s">
        <v>1172</v>
      </c>
      <c r="E193" s="201" t="s">
        <v>1535</v>
      </c>
      <c r="F193" s="202" t="str">
        <f>VLOOKUP(D193,CSR!$D$4:$E$1180,2,FALSE)</f>
        <v>CSR_11409</v>
      </c>
      <c r="G193" s="203">
        <v>46066</v>
      </c>
      <c r="H193" s="204">
        <v>3</v>
      </c>
      <c r="I193" s="205">
        <f t="shared" si="2"/>
        <v>0.15789473684210525</v>
      </c>
      <c r="J193" s="206" t="s">
        <v>375</v>
      </c>
      <c r="K193" s="204"/>
    </row>
    <row r="194" spans="1:11" ht="16" hidden="1">
      <c r="A194" s="198" t="s">
        <v>1171</v>
      </c>
      <c r="B194" s="198" t="s">
        <v>31</v>
      </c>
      <c r="C194" s="198" t="s">
        <v>336</v>
      </c>
      <c r="D194" s="208" t="s">
        <v>337</v>
      </c>
      <c r="E194" s="201" t="s">
        <v>1536</v>
      </c>
      <c r="F194" s="202" t="str">
        <f>VLOOKUP(D194,CSR!$D$4:$E$1180,2,FALSE)</f>
        <v>CSR_30800</v>
      </c>
      <c r="G194" s="203">
        <v>46066</v>
      </c>
      <c r="H194" s="208">
        <v>2</v>
      </c>
      <c r="I194" s="205">
        <f t="shared" ref="I194:I209" si="3">H194*10/190</f>
        <v>0.10526315789473684</v>
      </c>
      <c r="J194" s="217" t="s">
        <v>375</v>
      </c>
      <c r="K194" s="204"/>
    </row>
    <row r="195" spans="1:11" ht="32" hidden="1">
      <c r="A195" s="198" t="s">
        <v>1171</v>
      </c>
      <c r="B195" s="199" t="s">
        <v>16</v>
      </c>
      <c r="C195" s="199" t="s">
        <v>616</v>
      </c>
      <c r="D195" s="200" t="s">
        <v>1172</v>
      </c>
      <c r="E195" s="201" t="s">
        <v>1414</v>
      </c>
      <c r="F195" s="202" t="str">
        <f>VLOOKUP(D195,CSR!$D$4:$E$1180,2,FALSE)</f>
        <v>CSR_11409</v>
      </c>
      <c r="G195" s="203">
        <v>46066</v>
      </c>
      <c r="H195" s="208">
        <v>4</v>
      </c>
      <c r="I195" s="205">
        <f t="shared" si="3"/>
        <v>0.21052631578947367</v>
      </c>
      <c r="J195" s="206" t="s">
        <v>375</v>
      </c>
      <c r="K195" s="204"/>
    </row>
    <row r="196" spans="1:11" ht="32" hidden="1">
      <c r="A196" s="198" t="s">
        <v>1385</v>
      </c>
      <c r="B196" s="199" t="s">
        <v>16</v>
      </c>
      <c r="C196" s="199" t="s">
        <v>616</v>
      </c>
      <c r="D196" s="208" t="s">
        <v>65</v>
      </c>
      <c r="E196" s="210" t="s">
        <v>1537</v>
      </c>
      <c r="F196" s="202" t="str">
        <f>VLOOKUP(D196,CSR!$D$4:$E$1180,2,FALSE)</f>
        <v>CSR_10800</v>
      </c>
      <c r="G196" s="203">
        <v>46052</v>
      </c>
      <c r="H196" s="204">
        <v>2</v>
      </c>
      <c r="I196" s="205">
        <f t="shared" si="3"/>
        <v>0.10526315789473684</v>
      </c>
      <c r="J196" s="206" t="s">
        <v>386</v>
      </c>
      <c r="K196" s="204"/>
    </row>
    <row r="197" spans="1:11" ht="32" hidden="1">
      <c r="A197" s="198" t="s">
        <v>1385</v>
      </c>
      <c r="B197" s="199" t="s">
        <v>70</v>
      </c>
      <c r="C197" s="199" t="s">
        <v>245</v>
      </c>
      <c r="D197" s="208" t="s">
        <v>1475</v>
      </c>
      <c r="E197" s="210" t="s">
        <v>1538</v>
      </c>
      <c r="F197" s="202" t="str">
        <f>VLOOKUP(D197,CSR!$D$4:$E$1180,2,FALSE)</f>
        <v>CSR_20003</v>
      </c>
      <c r="G197" s="203">
        <v>46052</v>
      </c>
      <c r="H197" s="204">
        <v>3</v>
      </c>
      <c r="I197" s="205">
        <f t="shared" si="3"/>
        <v>0.15789473684210525</v>
      </c>
      <c r="J197" s="206" t="s">
        <v>386</v>
      </c>
      <c r="K197" s="204"/>
    </row>
    <row r="198" spans="1:11" ht="32" hidden="1">
      <c r="A198" s="198" t="s">
        <v>1171</v>
      </c>
      <c r="B198" s="199" t="s">
        <v>16</v>
      </c>
      <c r="C198" s="199" t="s">
        <v>616</v>
      </c>
      <c r="D198" s="208" t="s">
        <v>65</v>
      </c>
      <c r="E198" s="210" t="s">
        <v>1537</v>
      </c>
      <c r="F198" s="202" t="str">
        <f>VLOOKUP(D198,CSR!$D$4:$E$1180,2,FALSE)</f>
        <v>CSR_10800</v>
      </c>
      <c r="G198" s="203">
        <v>46059</v>
      </c>
      <c r="H198" s="204">
        <v>2</v>
      </c>
      <c r="I198" s="205">
        <f t="shared" si="3"/>
        <v>0.10526315789473684</v>
      </c>
      <c r="J198" s="206" t="s">
        <v>386</v>
      </c>
      <c r="K198" s="204"/>
    </row>
    <row r="199" spans="1:11" ht="32" hidden="1">
      <c r="A199" s="198" t="s">
        <v>1171</v>
      </c>
      <c r="B199" s="199" t="s">
        <v>16</v>
      </c>
      <c r="C199" s="199" t="s">
        <v>616</v>
      </c>
      <c r="D199" s="208" t="s">
        <v>1507</v>
      </c>
      <c r="E199" s="210" t="s">
        <v>1508</v>
      </c>
      <c r="F199" s="202" t="str">
        <f>VLOOKUP(D199,CSR!$D$4:$E$1180,2,FALSE)</f>
        <v>CSR_11410</v>
      </c>
      <c r="G199" s="203">
        <v>46059</v>
      </c>
      <c r="H199" s="204">
        <v>3</v>
      </c>
      <c r="I199" s="205">
        <f t="shared" si="3"/>
        <v>0.15789473684210525</v>
      </c>
      <c r="J199" s="199" t="s">
        <v>386</v>
      </c>
      <c r="K199" s="204"/>
    </row>
    <row r="200" spans="1:11" ht="32" hidden="1">
      <c r="A200" s="198" t="s">
        <v>1171</v>
      </c>
      <c r="B200" s="199" t="s">
        <v>16</v>
      </c>
      <c r="C200" s="199" t="s">
        <v>616</v>
      </c>
      <c r="D200" s="208" t="s">
        <v>65</v>
      </c>
      <c r="E200" s="210" t="s">
        <v>1537</v>
      </c>
      <c r="F200" s="202" t="str">
        <f>VLOOKUP(D200,CSR!$D$4:$E$1180,2,FALSE)</f>
        <v>CSR_10800</v>
      </c>
      <c r="G200" s="203">
        <v>46066</v>
      </c>
      <c r="H200" s="204">
        <v>2</v>
      </c>
      <c r="I200" s="205">
        <f t="shared" si="3"/>
        <v>0.10526315789473684</v>
      </c>
      <c r="J200" s="206" t="s">
        <v>386</v>
      </c>
      <c r="K200" s="204"/>
    </row>
    <row r="201" spans="1:11" ht="32" hidden="1">
      <c r="A201" s="198" t="s">
        <v>1171</v>
      </c>
      <c r="B201" s="199" t="s">
        <v>16</v>
      </c>
      <c r="C201" s="199" t="s">
        <v>616</v>
      </c>
      <c r="D201" s="200" t="s">
        <v>18</v>
      </c>
      <c r="E201" s="201" t="s">
        <v>1539</v>
      </c>
      <c r="F201" s="202" t="str">
        <f>VLOOKUP(D201,CSR!$D$4:$E$1180,2,FALSE)</f>
        <v>CSR_11300</v>
      </c>
      <c r="G201" s="203">
        <v>46066</v>
      </c>
      <c r="H201" s="204">
        <v>3</v>
      </c>
      <c r="I201" s="205">
        <f t="shared" si="3"/>
        <v>0.15789473684210525</v>
      </c>
      <c r="J201" s="217" t="s">
        <v>386</v>
      </c>
      <c r="K201" s="204"/>
    </row>
    <row r="202" spans="1:11" ht="32" hidden="1">
      <c r="A202" s="198" t="s">
        <v>1171</v>
      </c>
      <c r="B202" s="199" t="s">
        <v>16</v>
      </c>
      <c r="C202" s="199" t="s">
        <v>616</v>
      </c>
      <c r="D202" s="200" t="s">
        <v>1172</v>
      </c>
      <c r="E202" s="201" t="s">
        <v>1399</v>
      </c>
      <c r="F202" s="202" t="str">
        <f>VLOOKUP(D202,CSR!$D$4:$E$1180,2,FALSE)</f>
        <v>CSR_11409</v>
      </c>
      <c r="G202" s="203">
        <v>46066</v>
      </c>
      <c r="H202" s="208">
        <v>4</v>
      </c>
      <c r="I202" s="205">
        <f t="shared" si="3"/>
        <v>0.21052631578947367</v>
      </c>
      <c r="J202" s="206" t="s">
        <v>386</v>
      </c>
      <c r="K202" s="204"/>
    </row>
    <row r="203" spans="1:11" ht="32" hidden="1">
      <c r="A203" s="198" t="s">
        <v>1385</v>
      </c>
      <c r="B203" s="199" t="s">
        <v>16</v>
      </c>
      <c r="C203" s="199" t="s">
        <v>616</v>
      </c>
      <c r="D203" s="208" t="s">
        <v>1519</v>
      </c>
      <c r="E203" s="218" t="s">
        <v>1531</v>
      </c>
      <c r="F203" s="202" t="str">
        <f>VLOOKUP(D203,CSR!$D$4:$E$1180,2,FALSE)</f>
        <v>CSR_11405</v>
      </c>
      <c r="G203" s="203">
        <v>46052</v>
      </c>
      <c r="H203" s="204">
        <v>3</v>
      </c>
      <c r="I203" s="205">
        <f t="shared" si="3"/>
        <v>0.15789473684210525</v>
      </c>
      <c r="J203" s="206" t="s">
        <v>395</v>
      </c>
      <c r="K203" s="204"/>
    </row>
    <row r="204" spans="1:11" ht="32" hidden="1">
      <c r="A204" s="198" t="s">
        <v>1385</v>
      </c>
      <c r="B204" s="199" t="s">
        <v>16</v>
      </c>
      <c r="C204" s="199" t="s">
        <v>616</v>
      </c>
      <c r="D204" s="208" t="s">
        <v>1519</v>
      </c>
      <c r="E204" s="218" t="s">
        <v>1532</v>
      </c>
      <c r="F204" s="202" t="str">
        <f>VLOOKUP(D204,CSR!$D$4:$E$1180,2,FALSE)</f>
        <v>CSR_11405</v>
      </c>
      <c r="G204" s="203">
        <v>46052</v>
      </c>
      <c r="H204" s="204">
        <v>2</v>
      </c>
      <c r="I204" s="205">
        <f t="shared" si="3"/>
        <v>0.10526315789473684</v>
      </c>
      <c r="J204" s="198" t="s">
        <v>395</v>
      </c>
      <c r="K204" s="204"/>
    </row>
    <row r="205" spans="1:11" ht="32" hidden="1">
      <c r="A205" s="198" t="s">
        <v>1171</v>
      </c>
      <c r="B205" s="199" t="s">
        <v>16</v>
      </c>
      <c r="C205" s="199" t="s">
        <v>616</v>
      </c>
      <c r="D205" s="208" t="s">
        <v>1507</v>
      </c>
      <c r="E205" s="210" t="s">
        <v>1533</v>
      </c>
      <c r="F205" s="202" t="str">
        <f>VLOOKUP(D205,CSR!$D$4:$E$1180,2,FALSE)</f>
        <v>CSR_11410</v>
      </c>
      <c r="G205" s="203">
        <v>46059</v>
      </c>
      <c r="H205" s="204">
        <v>3</v>
      </c>
      <c r="I205" s="205">
        <f t="shared" si="3"/>
        <v>0.15789473684210525</v>
      </c>
      <c r="J205" s="206" t="s">
        <v>395</v>
      </c>
      <c r="K205" s="204"/>
    </row>
    <row r="206" spans="1:11" ht="32" hidden="1">
      <c r="A206" s="198" t="s">
        <v>1171</v>
      </c>
      <c r="B206" s="199" t="s">
        <v>16</v>
      </c>
      <c r="C206" s="199" t="s">
        <v>616</v>
      </c>
      <c r="D206" s="208" t="s">
        <v>131</v>
      </c>
      <c r="E206" s="210" t="s">
        <v>1540</v>
      </c>
      <c r="F206" s="202" t="str">
        <f>VLOOKUP(D206,CSR!$D$4:$E$1180,2,FALSE)</f>
        <v>CSR_10400</v>
      </c>
      <c r="G206" s="203">
        <v>46059</v>
      </c>
      <c r="H206" s="204">
        <v>2</v>
      </c>
      <c r="I206" s="205">
        <f t="shared" si="3"/>
        <v>0.10526315789473684</v>
      </c>
      <c r="J206" s="206" t="s">
        <v>395</v>
      </c>
      <c r="K206" s="204"/>
    </row>
    <row r="207" spans="1:11" ht="32" hidden="1">
      <c r="A207" s="198" t="s">
        <v>1171</v>
      </c>
      <c r="B207" s="199" t="s">
        <v>16</v>
      </c>
      <c r="C207" s="199" t="s">
        <v>616</v>
      </c>
      <c r="D207" s="200" t="s">
        <v>1172</v>
      </c>
      <c r="E207" s="201" t="s">
        <v>1402</v>
      </c>
      <c r="F207" s="202" t="str">
        <f>VLOOKUP(D207,CSR!$D$4:$E$1180,2,FALSE)</f>
        <v>CSR_11409</v>
      </c>
      <c r="G207" s="203">
        <v>46066</v>
      </c>
      <c r="H207" s="204">
        <v>3</v>
      </c>
      <c r="I207" s="205">
        <f t="shared" si="3"/>
        <v>0.15789473684210525</v>
      </c>
      <c r="J207" s="206" t="s">
        <v>395</v>
      </c>
      <c r="K207" s="204"/>
    </row>
    <row r="208" spans="1:11" ht="16" hidden="1">
      <c r="A208" s="198" t="s">
        <v>1171</v>
      </c>
      <c r="B208" s="198" t="s">
        <v>31</v>
      </c>
      <c r="C208" s="198" t="s">
        <v>336</v>
      </c>
      <c r="D208" s="208" t="s">
        <v>337</v>
      </c>
      <c r="E208" s="201" t="s">
        <v>1536</v>
      </c>
      <c r="F208" s="202" t="str">
        <f>VLOOKUP(D208,CSR!$D$4:$E$1180,2,FALSE)</f>
        <v>CSR_30800</v>
      </c>
      <c r="G208" s="203">
        <v>46066</v>
      </c>
      <c r="H208" s="204">
        <v>2</v>
      </c>
      <c r="I208" s="205">
        <f t="shared" si="3"/>
        <v>0.10526315789473684</v>
      </c>
      <c r="J208" s="217" t="s">
        <v>395</v>
      </c>
      <c r="K208" s="204"/>
    </row>
    <row r="209" spans="1:11" ht="32" hidden="1">
      <c r="A209" s="198" t="s">
        <v>1171</v>
      </c>
      <c r="B209" s="199" t="s">
        <v>16</v>
      </c>
      <c r="C209" s="199" t="s">
        <v>616</v>
      </c>
      <c r="D209" s="200" t="s">
        <v>1172</v>
      </c>
      <c r="E209" s="201" t="s">
        <v>1414</v>
      </c>
      <c r="F209" s="202" t="str">
        <f>VLOOKUP(D209,CSR!$D$4:$E$1180,2,FALSE)</f>
        <v>CSR_11409</v>
      </c>
      <c r="G209" s="203">
        <v>46066</v>
      </c>
      <c r="H209" s="208">
        <v>4</v>
      </c>
      <c r="I209" s="205">
        <f t="shared" si="3"/>
        <v>0.21052631578947367</v>
      </c>
      <c r="J209" s="206" t="s">
        <v>395</v>
      </c>
      <c r="K209" s="204"/>
    </row>
  </sheetData>
  <autoFilter ref="A1:S209" xr:uid="{00000000-0009-0000-0000-000006000000}">
    <filterColumn colId="9">
      <filters>
        <filter val="개발PM"/>
        <filter val="기획PM"/>
      </filters>
    </filterColumn>
  </autoFilter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28"/>
  <sheetViews>
    <sheetView topLeftCell="A216" zoomScaleNormal="100" workbookViewId="0">
      <selection activeCell="E248" sqref="E248"/>
    </sheetView>
  </sheetViews>
  <sheetFormatPr baseColWidth="10" defaultColWidth="9" defaultRowHeight="15"/>
  <cols>
    <col min="1" max="1" width="6.6640625" style="21" bestFit="1" customWidth="1"/>
    <col min="2" max="2" width="12.83203125" style="19" bestFit="1" customWidth="1"/>
    <col min="3" max="3" width="20.33203125" style="19" customWidth="1"/>
    <col min="4" max="4" width="39.6640625" style="19" bestFit="1" customWidth="1"/>
    <col min="5" max="5" width="43.83203125" style="19" customWidth="1"/>
    <col min="6" max="6" width="9.6640625" style="19" customWidth="1"/>
    <col min="7" max="7" width="9.6640625" style="21" customWidth="1"/>
    <col min="8" max="8" width="9.6640625" style="19" customWidth="1"/>
    <col min="9" max="9" width="9.6640625" style="222" customWidth="1"/>
    <col min="10" max="10" width="17.83203125" style="21" customWidth="1"/>
    <col min="11" max="11" width="9.6640625" style="19" customWidth="1"/>
    <col min="12" max="19" width="9" style="197"/>
    <col min="20" max="16384" width="9" style="247"/>
  </cols>
  <sheetData>
    <row r="1" spans="1:11" ht="16">
      <c r="A1" s="223" t="s">
        <v>815</v>
      </c>
      <c r="B1" s="223" t="s">
        <v>589</v>
      </c>
      <c r="C1" s="223" t="s">
        <v>590</v>
      </c>
      <c r="D1" s="223" t="s">
        <v>591</v>
      </c>
      <c r="E1" s="223" t="s">
        <v>816</v>
      </c>
      <c r="F1" s="223" t="s">
        <v>817</v>
      </c>
      <c r="G1" s="223" t="s">
        <v>8</v>
      </c>
      <c r="H1" s="223" t="s">
        <v>818</v>
      </c>
      <c r="I1" s="224" t="s">
        <v>819</v>
      </c>
      <c r="J1" s="223" t="s">
        <v>820</v>
      </c>
      <c r="K1" s="223" t="s">
        <v>588</v>
      </c>
    </row>
    <row r="2" spans="1:11" s="197" customFormat="1" ht="32">
      <c r="A2" s="198" t="s">
        <v>1385</v>
      </c>
      <c r="B2" s="198" t="s">
        <v>16</v>
      </c>
      <c r="C2" s="198" t="s">
        <v>17</v>
      </c>
      <c r="D2" s="208" t="s">
        <v>18</v>
      </c>
      <c r="E2" s="210" t="s">
        <v>1541</v>
      </c>
      <c r="F2" s="202" t="str">
        <f>VLOOKUP(D2,CSR!$D$4:$E$1180,2,FALSE)</f>
        <v>CSR_11300</v>
      </c>
      <c r="G2" s="203">
        <v>46024</v>
      </c>
      <c r="H2" s="204">
        <v>3</v>
      </c>
      <c r="I2" s="205">
        <f t="shared" ref="I2:I65" si="0">H2*10/190</f>
        <v>0.15789473684210525</v>
      </c>
      <c r="J2" s="199" t="s">
        <v>22</v>
      </c>
      <c r="K2" s="204"/>
    </row>
    <row r="3" spans="1:11" s="197" customFormat="1" ht="32">
      <c r="A3" s="198" t="s">
        <v>1385</v>
      </c>
      <c r="B3" s="199" t="s">
        <v>16</v>
      </c>
      <c r="C3" s="199" t="s">
        <v>17</v>
      </c>
      <c r="D3" s="208" t="s">
        <v>953</v>
      </c>
      <c r="E3" s="218" t="s">
        <v>1542</v>
      </c>
      <c r="F3" s="202" t="str">
        <f>VLOOKUP(D3,CSR!$D$4:$E$1180,2,FALSE)</f>
        <v>CSR_11305</v>
      </c>
      <c r="G3" s="203">
        <v>46024</v>
      </c>
      <c r="H3" s="204">
        <v>2</v>
      </c>
      <c r="I3" s="205">
        <f t="shared" si="0"/>
        <v>0.10526315789473684</v>
      </c>
      <c r="J3" s="199" t="s">
        <v>22</v>
      </c>
      <c r="K3" s="204"/>
    </row>
    <row r="4" spans="1:11" s="197" customFormat="1" ht="32">
      <c r="A4" s="198" t="s">
        <v>1385</v>
      </c>
      <c r="B4" s="198" t="s">
        <v>16</v>
      </c>
      <c r="C4" s="198" t="s">
        <v>17</v>
      </c>
      <c r="D4" s="200" t="s">
        <v>65</v>
      </c>
      <c r="E4" s="226" t="s">
        <v>1543</v>
      </c>
      <c r="F4" s="202" t="str">
        <f>VLOOKUP(D4,CSR!$D$4:$E$1180,2,FALSE)</f>
        <v>CSR_10800</v>
      </c>
      <c r="G4" s="203">
        <v>46031</v>
      </c>
      <c r="H4" s="204">
        <v>3</v>
      </c>
      <c r="I4" s="205">
        <f t="shared" si="0"/>
        <v>0.15789473684210525</v>
      </c>
      <c r="J4" s="206" t="s">
        <v>22</v>
      </c>
      <c r="K4" s="204"/>
    </row>
    <row r="5" spans="1:11" s="197" customFormat="1" ht="32">
      <c r="A5" s="198" t="s">
        <v>1385</v>
      </c>
      <c r="B5" s="198" t="s">
        <v>16</v>
      </c>
      <c r="C5" s="198" t="s">
        <v>17</v>
      </c>
      <c r="D5" s="200" t="s">
        <v>65</v>
      </c>
      <c r="E5" s="226" t="s">
        <v>1544</v>
      </c>
      <c r="F5" s="202" t="str">
        <f>VLOOKUP(D5,CSR!$D$4:$E$1180,2,FALSE)</f>
        <v>CSR_10800</v>
      </c>
      <c r="G5" s="203">
        <v>46038</v>
      </c>
      <c r="H5" s="204">
        <v>3</v>
      </c>
      <c r="I5" s="205">
        <f t="shared" si="0"/>
        <v>0.15789473684210525</v>
      </c>
      <c r="J5" s="206" t="s">
        <v>22</v>
      </c>
      <c r="K5" s="204"/>
    </row>
    <row r="6" spans="1:11" s="197" customFormat="1" ht="32">
      <c r="A6" s="198" t="s">
        <v>1385</v>
      </c>
      <c r="B6" s="199" t="s">
        <v>16</v>
      </c>
      <c r="C6" s="199" t="s">
        <v>17</v>
      </c>
      <c r="D6" s="207" t="s">
        <v>18</v>
      </c>
      <c r="E6" s="201" t="s">
        <v>1545</v>
      </c>
      <c r="F6" s="202" t="str">
        <f>VLOOKUP(D6,CSR!$D$4:$E$1180,2,FALSE)</f>
        <v>CSR_11300</v>
      </c>
      <c r="G6" s="203">
        <v>46038</v>
      </c>
      <c r="H6" s="204">
        <v>2</v>
      </c>
      <c r="I6" s="205">
        <f t="shared" si="0"/>
        <v>0.10526315789473684</v>
      </c>
      <c r="J6" s="198" t="s">
        <v>22</v>
      </c>
      <c r="K6" s="204"/>
    </row>
    <row r="7" spans="1:11" s="197" customFormat="1" ht="32">
      <c r="A7" s="198" t="s">
        <v>1385</v>
      </c>
      <c r="B7" s="198" t="s">
        <v>16</v>
      </c>
      <c r="C7" s="198" t="s">
        <v>17</v>
      </c>
      <c r="D7" s="200" t="s">
        <v>65</v>
      </c>
      <c r="E7" s="226" t="s">
        <v>1544</v>
      </c>
      <c r="F7" s="202" t="str">
        <f>VLOOKUP(D7,CSR!$D$4:$E$1180,2,FALSE)</f>
        <v>CSR_10800</v>
      </c>
      <c r="G7" s="203">
        <v>46042</v>
      </c>
      <c r="H7" s="204">
        <v>2</v>
      </c>
      <c r="I7" s="205">
        <f t="shared" si="0"/>
        <v>0.10526315789473684</v>
      </c>
      <c r="J7" s="206" t="s">
        <v>22</v>
      </c>
      <c r="K7" s="204"/>
    </row>
    <row r="8" spans="1:11" s="197" customFormat="1" ht="32">
      <c r="A8" s="198" t="s">
        <v>1546</v>
      </c>
      <c r="B8" s="199" t="s">
        <v>16</v>
      </c>
      <c r="C8" s="199" t="s">
        <v>17</v>
      </c>
      <c r="D8" s="208" t="s">
        <v>953</v>
      </c>
      <c r="E8" s="218" t="s">
        <v>1542</v>
      </c>
      <c r="F8" s="202" t="str">
        <f>VLOOKUP(D8,CSR!$D$4:$E$1180,2,FALSE)</f>
        <v>CSR_11305</v>
      </c>
      <c r="G8" s="203">
        <v>46382</v>
      </c>
      <c r="H8" s="204">
        <v>4</v>
      </c>
      <c r="I8" s="205">
        <f t="shared" si="0"/>
        <v>0.21052631578947367</v>
      </c>
      <c r="J8" s="199" t="s">
        <v>22</v>
      </c>
      <c r="K8" s="204"/>
    </row>
    <row r="9" spans="1:11" s="197" customFormat="1" ht="32">
      <c r="A9" s="198" t="s">
        <v>1385</v>
      </c>
      <c r="B9" s="199" t="s">
        <v>16</v>
      </c>
      <c r="C9" s="199" t="s">
        <v>17</v>
      </c>
      <c r="D9" s="208" t="s">
        <v>131</v>
      </c>
      <c r="E9" s="210" t="s">
        <v>1547</v>
      </c>
      <c r="F9" s="202" t="str">
        <f>VLOOKUP(D9,CSR!$D$4:$E$1180,2,FALSE)</f>
        <v>CSR_10400</v>
      </c>
      <c r="G9" s="203">
        <v>46024</v>
      </c>
      <c r="H9" s="204">
        <v>4</v>
      </c>
      <c r="I9" s="205">
        <f t="shared" si="0"/>
        <v>0.21052631578947367</v>
      </c>
      <c r="J9" s="199" t="s">
        <v>54</v>
      </c>
      <c r="K9" s="218"/>
    </row>
    <row r="10" spans="1:11" s="197" customFormat="1" ht="32">
      <c r="A10" s="198" t="s">
        <v>1385</v>
      </c>
      <c r="B10" s="199" t="s">
        <v>16</v>
      </c>
      <c r="C10" s="199" t="s">
        <v>17</v>
      </c>
      <c r="D10" s="208" t="s">
        <v>131</v>
      </c>
      <c r="E10" s="210" t="s">
        <v>1547</v>
      </c>
      <c r="F10" s="202" t="str">
        <f>VLOOKUP(D10,CSR!$D$4:$E$1180,2,FALSE)</f>
        <v>CSR_10400</v>
      </c>
      <c r="G10" s="203">
        <v>46031</v>
      </c>
      <c r="H10" s="204">
        <v>2</v>
      </c>
      <c r="I10" s="205">
        <f t="shared" si="0"/>
        <v>0.10526315789473684</v>
      </c>
      <c r="J10" s="199" t="s">
        <v>54</v>
      </c>
      <c r="K10" s="204"/>
    </row>
    <row r="11" spans="1:11" s="197" customFormat="1" ht="32">
      <c r="A11" s="198" t="s">
        <v>1385</v>
      </c>
      <c r="B11" s="198" t="s">
        <v>16</v>
      </c>
      <c r="C11" s="198" t="s">
        <v>17</v>
      </c>
      <c r="D11" s="208" t="s">
        <v>1319</v>
      </c>
      <c r="E11" s="210" t="s">
        <v>1548</v>
      </c>
      <c r="F11" s="202" t="str">
        <f>VLOOKUP(D11,CSR!$D$4:$E$1180,2,FALSE)</f>
        <v>CSR_11306</v>
      </c>
      <c r="G11" s="203">
        <v>46031</v>
      </c>
      <c r="H11" s="204">
        <v>2</v>
      </c>
      <c r="I11" s="205">
        <f t="shared" si="0"/>
        <v>0.10526315789473684</v>
      </c>
      <c r="J11" s="206" t="s">
        <v>54</v>
      </c>
      <c r="K11" s="204"/>
    </row>
    <row r="12" spans="1:11" s="197" customFormat="1" ht="32">
      <c r="A12" s="198" t="s">
        <v>1385</v>
      </c>
      <c r="B12" s="199" t="s">
        <v>16</v>
      </c>
      <c r="C12" s="199" t="s">
        <v>17</v>
      </c>
      <c r="D12" s="208" t="s">
        <v>131</v>
      </c>
      <c r="E12" s="210" t="s">
        <v>1547</v>
      </c>
      <c r="F12" s="202" t="str">
        <f>VLOOKUP(D12,CSR!$D$4:$E$1180,2,FALSE)</f>
        <v>CSR_10400</v>
      </c>
      <c r="G12" s="203">
        <v>46038</v>
      </c>
      <c r="H12" s="204">
        <v>1</v>
      </c>
      <c r="I12" s="205">
        <f t="shared" si="0"/>
        <v>5.2631578947368418E-2</v>
      </c>
      <c r="J12" s="199" t="s">
        <v>54</v>
      </c>
      <c r="K12" s="204"/>
    </row>
    <row r="13" spans="1:11" s="197" customFormat="1" ht="32">
      <c r="A13" s="198" t="s">
        <v>1385</v>
      </c>
      <c r="B13" s="198" t="s">
        <v>16</v>
      </c>
      <c r="C13" s="198" t="s">
        <v>17</v>
      </c>
      <c r="D13" s="208" t="s">
        <v>1319</v>
      </c>
      <c r="E13" s="210" t="s">
        <v>1549</v>
      </c>
      <c r="F13" s="202" t="str">
        <f>VLOOKUP(D13,CSR!$D$4:$E$1180,2,FALSE)</f>
        <v>CSR_11306</v>
      </c>
      <c r="G13" s="203">
        <v>46038</v>
      </c>
      <c r="H13" s="204">
        <v>1</v>
      </c>
      <c r="I13" s="205">
        <f t="shared" si="0"/>
        <v>5.2631578947368418E-2</v>
      </c>
      <c r="J13" s="206" t="s">
        <v>54</v>
      </c>
      <c r="K13" s="204"/>
    </row>
    <row r="14" spans="1:11" s="197" customFormat="1" ht="16">
      <c r="A14" s="198" t="s">
        <v>1385</v>
      </c>
      <c r="B14" s="199" t="s">
        <v>49</v>
      </c>
      <c r="C14" s="199" t="s">
        <v>175</v>
      </c>
      <c r="D14" s="200" t="s">
        <v>191</v>
      </c>
      <c r="E14" s="201" t="s">
        <v>1550</v>
      </c>
      <c r="F14" s="202" t="str">
        <f>VLOOKUP(D14,CSR!$D$4:$E$1180,2,FALSE)</f>
        <v>CSR_40300</v>
      </c>
      <c r="G14" s="203">
        <v>46038</v>
      </c>
      <c r="H14" s="204">
        <v>1</v>
      </c>
      <c r="I14" s="205">
        <f t="shared" si="0"/>
        <v>5.2631578947368418E-2</v>
      </c>
      <c r="J14" s="217" t="s">
        <v>54</v>
      </c>
      <c r="K14" s="204"/>
    </row>
    <row r="15" spans="1:11" s="197" customFormat="1" ht="32">
      <c r="A15" s="198" t="s">
        <v>1385</v>
      </c>
      <c r="B15" s="199" t="s">
        <v>49</v>
      </c>
      <c r="C15" s="199" t="s">
        <v>175</v>
      </c>
      <c r="D15" s="208" t="s">
        <v>176</v>
      </c>
      <c r="E15" s="227" t="s">
        <v>1551</v>
      </c>
      <c r="F15" s="202" t="str">
        <f>VLOOKUP(D15,CSR!$D$4:$E$1180,2,FALSE)</f>
        <v>CSR_40700</v>
      </c>
      <c r="G15" s="203">
        <v>46038</v>
      </c>
      <c r="H15" s="204">
        <v>1</v>
      </c>
      <c r="I15" s="205">
        <f t="shared" si="0"/>
        <v>5.2631578947368418E-2</v>
      </c>
      <c r="J15" s="206" t="s">
        <v>54</v>
      </c>
      <c r="K15" s="204"/>
    </row>
    <row r="16" spans="1:11" s="197" customFormat="1" ht="32">
      <c r="A16" s="198" t="s">
        <v>1385</v>
      </c>
      <c r="B16" s="199" t="s">
        <v>49</v>
      </c>
      <c r="C16" s="199" t="s">
        <v>175</v>
      </c>
      <c r="D16" s="208" t="s">
        <v>176</v>
      </c>
      <c r="E16" s="227" t="s">
        <v>1552</v>
      </c>
      <c r="F16" s="202" t="str">
        <f>VLOOKUP(D16,CSR!$D$4:$E$1180,2,FALSE)</f>
        <v>CSR_40700</v>
      </c>
      <c r="G16" s="203">
        <v>46042</v>
      </c>
      <c r="H16" s="204">
        <v>2</v>
      </c>
      <c r="I16" s="205">
        <f t="shared" si="0"/>
        <v>0.10526315789473684</v>
      </c>
      <c r="J16" s="206" t="s">
        <v>54</v>
      </c>
      <c r="K16" s="204"/>
    </row>
    <row r="17" spans="1:11" s="197" customFormat="1" ht="32">
      <c r="A17" s="198" t="s">
        <v>1546</v>
      </c>
      <c r="B17" s="199" t="s">
        <v>16</v>
      </c>
      <c r="C17" s="199" t="s">
        <v>17</v>
      </c>
      <c r="D17" s="208" t="s">
        <v>131</v>
      </c>
      <c r="E17" s="210" t="s">
        <v>1547</v>
      </c>
      <c r="F17" s="202" t="str">
        <f>VLOOKUP(D17,CSR!$D$4:$E$1180,2,FALSE)</f>
        <v>CSR_10400</v>
      </c>
      <c r="G17" s="203">
        <v>46382</v>
      </c>
      <c r="H17" s="204">
        <v>5</v>
      </c>
      <c r="I17" s="205">
        <f t="shared" si="0"/>
        <v>0.26315789473684209</v>
      </c>
      <c r="J17" s="199" t="s">
        <v>54</v>
      </c>
      <c r="K17" s="204"/>
    </row>
    <row r="18" spans="1:11" s="197" customFormat="1" ht="48">
      <c r="A18" s="198" t="s">
        <v>1385</v>
      </c>
      <c r="B18" s="199" t="s">
        <v>49</v>
      </c>
      <c r="C18" s="199" t="s">
        <v>175</v>
      </c>
      <c r="D18" s="200" t="s">
        <v>191</v>
      </c>
      <c r="E18" s="226" t="s">
        <v>1553</v>
      </c>
      <c r="F18" s="202" t="str">
        <f>VLOOKUP(D18,CSR!$D$4:$E$1180,2,FALSE)</f>
        <v>CSR_40300</v>
      </c>
      <c r="G18" s="203">
        <v>46024</v>
      </c>
      <c r="H18" s="204">
        <v>4</v>
      </c>
      <c r="I18" s="205">
        <f t="shared" si="0"/>
        <v>0.21052631578947367</v>
      </c>
      <c r="J18" s="206" t="s">
        <v>68</v>
      </c>
      <c r="K18" s="204"/>
    </row>
    <row r="19" spans="1:11" s="197" customFormat="1" ht="32">
      <c r="A19" s="198" t="s">
        <v>1385</v>
      </c>
      <c r="B19" s="198" t="s">
        <v>70</v>
      </c>
      <c r="C19" s="199" t="s">
        <v>71</v>
      </c>
      <c r="D19" s="208" t="s">
        <v>266</v>
      </c>
      <c r="E19" s="210" t="s">
        <v>1554</v>
      </c>
      <c r="F19" s="202" t="str">
        <f>VLOOKUP(D19,CSR!$D$4:$E$1180,2,FALSE)</f>
        <v>CSR_20200</v>
      </c>
      <c r="G19" s="203">
        <v>46031</v>
      </c>
      <c r="H19" s="204">
        <v>1</v>
      </c>
      <c r="I19" s="205">
        <f t="shared" si="0"/>
        <v>5.2631578947368418E-2</v>
      </c>
      <c r="J19" s="206" t="s">
        <v>68</v>
      </c>
      <c r="K19" s="218"/>
    </row>
    <row r="20" spans="1:11" s="197" customFormat="1" ht="15.5" customHeight="1">
      <c r="A20" s="198" t="s">
        <v>1385</v>
      </c>
      <c r="B20" s="198" t="s">
        <v>70</v>
      </c>
      <c r="C20" s="198" t="s">
        <v>71</v>
      </c>
      <c r="D20" s="208" t="s">
        <v>72</v>
      </c>
      <c r="E20" s="210" t="s">
        <v>1555</v>
      </c>
      <c r="F20" s="202" t="str">
        <f>VLOOKUP(D20,CSR!$D$4:$E$1180,2,FALSE)</f>
        <v>CSR_20400</v>
      </c>
      <c r="G20" s="203">
        <v>46031</v>
      </c>
      <c r="H20" s="204">
        <v>3</v>
      </c>
      <c r="I20" s="205">
        <f t="shared" si="0"/>
        <v>0.15789473684210525</v>
      </c>
      <c r="J20" s="199" t="s">
        <v>68</v>
      </c>
      <c r="K20" s="204"/>
    </row>
    <row r="21" spans="1:11" s="197" customFormat="1" ht="32">
      <c r="A21" s="198" t="s">
        <v>1385</v>
      </c>
      <c r="B21" s="199" t="s">
        <v>49</v>
      </c>
      <c r="C21" s="198" t="s">
        <v>50</v>
      </c>
      <c r="D21" s="208" t="s">
        <v>1309</v>
      </c>
      <c r="E21" s="210" t="s">
        <v>1556</v>
      </c>
      <c r="F21" s="202" t="str">
        <f>VLOOKUP(D21,CSR!$D$4:$E$1180,2,FALSE)</f>
        <v>CSR_41101</v>
      </c>
      <c r="G21" s="203">
        <v>46038</v>
      </c>
      <c r="H21" s="204">
        <v>4</v>
      </c>
      <c r="I21" s="205">
        <f t="shared" si="0"/>
        <v>0.21052631578947367</v>
      </c>
      <c r="J21" s="206" t="s">
        <v>68</v>
      </c>
      <c r="K21" s="204"/>
    </row>
    <row r="22" spans="1:11" s="197" customFormat="1" ht="32">
      <c r="A22" s="198" t="s">
        <v>1385</v>
      </c>
      <c r="B22" s="198" t="s">
        <v>16</v>
      </c>
      <c r="C22" s="198" t="s">
        <v>17</v>
      </c>
      <c r="D22" s="208" t="s">
        <v>1405</v>
      </c>
      <c r="E22" s="210" t="s">
        <v>1557</v>
      </c>
      <c r="F22" s="202" t="str">
        <f>VLOOKUP(D22,CSR!$D$4:$E$1180,2,FALSE)</f>
        <v>CSR_11302</v>
      </c>
      <c r="G22" s="203">
        <v>46042</v>
      </c>
      <c r="H22" s="204">
        <v>2</v>
      </c>
      <c r="I22" s="205">
        <f t="shared" si="0"/>
        <v>0.10526315789473684</v>
      </c>
      <c r="J22" s="206" t="s">
        <v>68</v>
      </c>
      <c r="K22" s="204"/>
    </row>
    <row r="23" spans="1:11" s="197" customFormat="1" ht="32">
      <c r="A23" s="198" t="s">
        <v>1546</v>
      </c>
      <c r="B23" s="198" t="s">
        <v>70</v>
      </c>
      <c r="C23" s="199" t="s">
        <v>71</v>
      </c>
      <c r="D23" s="208" t="s">
        <v>266</v>
      </c>
      <c r="E23" s="210" t="s">
        <v>1558</v>
      </c>
      <c r="F23" s="202" t="str">
        <f>VLOOKUP(D23,CSR!$D$4:$E$1180,2,FALSE)</f>
        <v>CSR_20200</v>
      </c>
      <c r="G23" s="203">
        <v>46382</v>
      </c>
      <c r="H23" s="204">
        <v>3</v>
      </c>
      <c r="I23" s="205">
        <f t="shared" si="0"/>
        <v>0.15789473684210525</v>
      </c>
      <c r="J23" s="206" t="s">
        <v>68</v>
      </c>
      <c r="K23" s="204"/>
    </row>
    <row r="24" spans="1:11" s="197" customFormat="1" ht="32">
      <c r="A24" s="198" t="s">
        <v>1546</v>
      </c>
      <c r="B24" s="199" t="s">
        <v>49</v>
      </c>
      <c r="C24" s="199" t="s">
        <v>175</v>
      </c>
      <c r="D24" s="208" t="s">
        <v>202</v>
      </c>
      <c r="E24" s="218" t="s">
        <v>1559</v>
      </c>
      <c r="F24" s="202" t="str">
        <f>VLOOKUP(D24,CSR!$D$4:$E$1180,2,FALSE)</f>
        <v>CSR_40600</v>
      </c>
      <c r="G24" s="203">
        <v>46382</v>
      </c>
      <c r="H24" s="204">
        <v>2</v>
      </c>
      <c r="I24" s="205">
        <f t="shared" si="0"/>
        <v>0.10526315789473684</v>
      </c>
      <c r="J24" s="199" t="s">
        <v>68</v>
      </c>
      <c r="K24" s="218"/>
    </row>
    <row r="25" spans="1:11" s="197" customFormat="1" ht="32">
      <c r="A25" s="198" t="s">
        <v>1385</v>
      </c>
      <c r="B25" s="199" t="s">
        <v>16</v>
      </c>
      <c r="C25" s="199" t="s">
        <v>17</v>
      </c>
      <c r="D25" s="208" t="s">
        <v>131</v>
      </c>
      <c r="E25" s="210" t="s">
        <v>1547</v>
      </c>
      <c r="F25" s="202" t="str">
        <f>VLOOKUP(D25,CSR!$D$4:$E$1180,2,FALSE)</f>
        <v>CSR_10400</v>
      </c>
      <c r="G25" s="203">
        <v>46024</v>
      </c>
      <c r="H25" s="204">
        <v>2</v>
      </c>
      <c r="I25" s="205">
        <f t="shared" si="0"/>
        <v>0.10526315789473684</v>
      </c>
      <c r="J25" s="206" t="s">
        <v>83</v>
      </c>
      <c r="K25" s="218"/>
    </row>
    <row r="26" spans="1:11" s="197" customFormat="1" ht="32">
      <c r="A26" s="198" t="s">
        <v>1385</v>
      </c>
      <c r="B26" s="199" t="s">
        <v>49</v>
      </c>
      <c r="C26" s="199" t="s">
        <v>175</v>
      </c>
      <c r="D26" s="208" t="s">
        <v>183</v>
      </c>
      <c r="E26" s="218" t="s">
        <v>1560</v>
      </c>
      <c r="F26" s="202" t="str">
        <f>VLOOKUP(D26,CSR!$D$4:$E$1180,2,FALSE)</f>
        <v>CSR_40500</v>
      </c>
      <c r="G26" s="203">
        <v>46024</v>
      </c>
      <c r="H26" s="204">
        <v>2</v>
      </c>
      <c r="I26" s="205">
        <f t="shared" si="0"/>
        <v>0.10526315789473684</v>
      </c>
      <c r="J26" s="206" t="s">
        <v>83</v>
      </c>
      <c r="K26" s="204"/>
    </row>
    <row r="27" spans="1:11" s="197" customFormat="1" ht="32">
      <c r="A27" s="198" t="s">
        <v>1385</v>
      </c>
      <c r="B27" s="199" t="s">
        <v>16</v>
      </c>
      <c r="C27" s="199" t="s">
        <v>17</v>
      </c>
      <c r="D27" s="208" t="s">
        <v>131</v>
      </c>
      <c r="E27" s="210" t="s">
        <v>1547</v>
      </c>
      <c r="F27" s="202" t="str">
        <f>VLOOKUP(D27,CSR!$D$4:$E$1180,2,FALSE)</f>
        <v>CSR_10400</v>
      </c>
      <c r="G27" s="203">
        <v>46031</v>
      </c>
      <c r="H27" s="204">
        <v>2</v>
      </c>
      <c r="I27" s="205">
        <f t="shared" si="0"/>
        <v>0.10526315789473684</v>
      </c>
      <c r="J27" s="206" t="s">
        <v>83</v>
      </c>
      <c r="K27" s="204"/>
    </row>
    <row r="28" spans="1:11" s="197" customFormat="1" ht="32">
      <c r="A28" s="198" t="s">
        <v>1385</v>
      </c>
      <c r="B28" s="199" t="s">
        <v>49</v>
      </c>
      <c r="C28" s="199" t="s">
        <v>175</v>
      </c>
      <c r="D28" s="208" t="s">
        <v>183</v>
      </c>
      <c r="E28" s="210" t="s">
        <v>1561</v>
      </c>
      <c r="F28" s="202" t="str">
        <f>VLOOKUP(D28,CSR!$D$4:$E$1180,2,FALSE)</f>
        <v>CSR_40500</v>
      </c>
      <c r="G28" s="203">
        <v>46031</v>
      </c>
      <c r="H28" s="204">
        <v>2</v>
      </c>
      <c r="I28" s="205">
        <f t="shared" si="0"/>
        <v>0.10526315789473684</v>
      </c>
      <c r="J28" s="206" t="s">
        <v>83</v>
      </c>
      <c r="K28" s="204"/>
    </row>
    <row r="29" spans="1:11" s="197" customFormat="1" ht="32">
      <c r="A29" s="198" t="s">
        <v>1385</v>
      </c>
      <c r="B29" s="199" t="s">
        <v>16</v>
      </c>
      <c r="C29" s="199" t="s">
        <v>17</v>
      </c>
      <c r="D29" s="208" t="s">
        <v>131</v>
      </c>
      <c r="E29" s="210" t="s">
        <v>1547</v>
      </c>
      <c r="F29" s="202" t="str">
        <f>VLOOKUP(D29,CSR!$D$4:$E$1180,2,FALSE)</f>
        <v>CSR_10400</v>
      </c>
      <c r="G29" s="203">
        <v>46038</v>
      </c>
      <c r="H29" s="204">
        <v>1</v>
      </c>
      <c r="I29" s="205">
        <f t="shared" si="0"/>
        <v>5.2631578947368418E-2</v>
      </c>
      <c r="J29" s="206" t="s">
        <v>83</v>
      </c>
      <c r="K29" s="204"/>
    </row>
    <row r="30" spans="1:11" s="197" customFormat="1" ht="32">
      <c r="A30" s="198" t="s">
        <v>1385</v>
      </c>
      <c r="B30" s="199" t="s">
        <v>16</v>
      </c>
      <c r="C30" s="199" t="s">
        <v>17</v>
      </c>
      <c r="D30" s="208" t="s">
        <v>1562</v>
      </c>
      <c r="E30" s="210" t="s">
        <v>1563</v>
      </c>
      <c r="F30" s="202" t="str">
        <f>VLOOKUP(D30,CSR!$D$4:$E$1180,2,FALSE)</f>
        <v>CSR_11307</v>
      </c>
      <c r="G30" s="203">
        <v>46038</v>
      </c>
      <c r="H30" s="204">
        <v>2</v>
      </c>
      <c r="I30" s="205">
        <f t="shared" si="0"/>
        <v>0.10526315789473684</v>
      </c>
      <c r="J30" s="206" t="s">
        <v>83</v>
      </c>
      <c r="K30" s="208"/>
    </row>
    <row r="31" spans="1:11" s="197" customFormat="1" ht="32">
      <c r="A31" s="198" t="s">
        <v>1385</v>
      </c>
      <c r="B31" s="199" t="s">
        <v>49</v>
      </c>
      <c r="C31" s="199" t="s">
        <v>175</v>
      </c>
      <c r="D31" s="208" t="s">
        <v>183</v>
      </c>
      <c r="E31" s="210" t="s">
        <v>1561</v>
      </c>
      <c r="F31" s="202" t="str">
        <f>VLOOKUP(D31,CSR!$D$4:$E$1180,2,FALSE)</f>
        <v>CSR_40500</v>
      </c>
      <c r="G31" s="203">
        <v>46038</v>
      </c>
      <c r="H31" s="204">
        <v>1</v>
      </c>
      <c r="I31" s="205">
        <f t="shared" si="0"/>
        <v>5.2631578947368418E-2</v>
      </c>
      <c r="J31" s="206" t="s">
        <v>83</v>
      </c>
      <c r="K31" s="204"/>
    </row>
    <row r="32" spans="1:11" s="197" customFormat="1" ht="32">
      <c r="A32" s="198" t="s">
        <v>1385</v>
      </c>
      <c r="B32" s="198" t="s">
        <v>16</v>
      </c>
      <c r="C32" s="198" t="s">
        <v>17</v>
      </c>
      <c r="D32" s="200" t="s">
        <v>18</v>
      </c>
      <c r="E32" s="201" t="s">
        <v>1564</v>
      </c>
      <c r="F32" s="202" t="str">
        <f>VLOOKUP(D32,CSR!$D$4:$E$1180,2,FALSE)</f>
        <v>CSR_11300</v>
      </c>
      <c r="G32" s="203">
        <v>46042</v>
      </c>
      <c r="H32" s="204">
        <v>2</v>
      </c>
      <c r="I32" s="205">
        <f t="shared" si="0"/>
        <v>0.10526315789473684</v>
      </c>
      <c r="J32" s="217" t="s">
        <v>83</v>
      </c>
      <c r="K32" s="204"/>
    </row>
    <row r="33" spans="1:11" s="197" customFormat="1" ht="32">
      <c r="A33" s="198" t="s">
        <v>1546</v>
      </c>
      <c r="B33" s="199" t="s">
        <v>16</v>
      </c>
      <c r="C33" s="199" t="s">
        <v>17</v>
      </c>
      <c r="D33" s="208" t="s">
        <v>131</v>
      </c>
      <c r="E33" s="210" t="s">
        <v>1547</v>
      </c>
      <c r="F33" s="202" t="str">
        <f>VLOOKUP(D33,CSR!$D$4:$E$1180,2,FALSE)</f>
        <v>CSR_10400</v>
      </c>
      <c r="G33" s="203">
        <v>46382</v>
      </c>
      <c r="H33" s="204">
        <v>2</v>
      </c>
      <c r="I33" s="205">
        <f t="shared" si="0"/>
        <v>0.10526315789473684</v>
      </c>
      <c r="J33" s="206" t="s">
        <v>83</v>
      </c>
      <c r="K33" s="204"/>
    </row>
    <row r="34" spans="1:11" s="197" customFormat="1" ht="32">
      <c r="A34" s="198" t="s">
        <v>1546</v>
      </c>
      <c r="B34" s="199" t="s">
        <v>49</v>
      </c>
      <c r="C34" s="199" t="s">
        <v>175</v>
      </c>
      <c r="D34" s="208" t="s">
        <v>183</v>
      </c>
      <c r="E34" s="218" t="s">
        <v>1560</v>
      </c>
      <c r="F34" s="202" t="str">
        <f>VLOOKUP(D34,CSR!$D$4:$E$1180,2,FALSE)</f>
        <v>CSR_40500</v>
      </c>
      <c r="G34" s="203">
        <v>46382</v>
      </c>
      <c r="H34" s="204">
        <v>3</v>
      </c>
      <c r="I34" s="205">
        <f t="shared" si="0"/>
        <v>0.15789473684210525</v>
      </c>
      <c r="J34" s="206" t="s">
        <v>83</v>
      </c>
      <c r="K34" s="204"/>
    </row>
    <row r="35" spans="1:11" s="197" customFormat="1" ht="48">
      <c r="A35" s="198" t="s">
        <v>1385</v>
      </c>
      <c r="B35" s="199" t="s">
        <v>49</v>
      </c>
      <c r="C35" s="199" t="s">
        <v>175</v>
      </c>
      <c r="D35" s="200" t="s">
        <v>191</v>
      </c>
      <c r="E35" s="210" t="s">
        <v>1565</v>
      </c>
      <c r="F35" s="202" t="str">
        <f>VLOOKUP(D35,CSR!$D$4:$E$1180,2,FALSE)</f>
        <v>CSR_40300</v>
      </c>
      <c r="G35" s="203">
        <v>46024</v>
      </c>
      <c r="H35" s="204">
        <v>4</v>
      </c>
      <c r="I35" s="205">
        <f t="shared" si="0"/>
        <v>0.21052631578947367</v>
      </c>
      <c r="J35" s="206" t="s">
        <v>90</v>
      </c>
      <c r="K35" s="204"/>
    </row>
    <row r="36" spans="1:11" s="197" customFormat="1" ht="48">
      <c r="A36" s="198" t="s">
        <v>1385</v>
      </c>
      <c r="B36" s="199" t="s">
        <v>49</v>
      </c>
      <c r="C36" s="199" t="s">
        <v>175</v>
      </c>
      <c r="D36" s="200" t="s">
        <v>191</v>
      </c>
      <c r="E36" s="210" t="s">
        <v>1565</v>
      </c>
      <c r="F36" s="202" t="str">
        <f>VLOOKUP(D36,CSR!$D$4:$E$1180,2,FALSE)</f>
        <v>CSR_40300</v>
      </c>
      <c r="G36" s="203">
        <v>46031</v>
      </c>
      <c r="H36" s="204">
        <v>2</v>
      </c>
      <c r="I36" s="205">
        <f t="shared" si="0"/>
        <v>0.10526315789473684</v>
      </c>
      <c r="J36" s="206" t="s">
        <v>90</v>
      </c>
      <c r="K36" s="204"/>
    </row>
    <row r="37" spans="1:11" s="197" customFormat="1" ht="32">
      <c r="A37" s="198" t="s">
        <v>1385</v>
      </c>
      <c r="B37" s="199" t="s">
        <v>49</v>
      </c>
      <c r="C37" s="198" t="s">
        <v>50</v>
      </c>
      <c r="D37" s="200" t="s">
        <v>1181</v>
      </c>
      <c r="E37" s="210" t="s">
        <v>1566</v>
      </c>
      <c r="F37" s="202" t="e">
        <f>VLOOKUP(D37,CSR!$D$4:$E$1180,2,FALSE)</f>
        <v>#N/A</v>
      </c>
      <c r="G37" s="203">
        <v>46031</v>
      </c>
      <c r="H37" s="204">
        <v>2</v>
      </c>
      <c r="I37" s="205">
        <f t="shared" si="0"/>
        <v>0.10526315789473684</v>
      </c>
      <c r="J37" s="199" t="s">
        <v>90</v>
      </c>
      <c r="K37" s="204"/>
    </row>
    <row r="38" spans="1:11" s="197" customFormat="1" ht="32">
      <c r="A38" s="198" t="s">
        <v>1385</v>
      </c>
      <c r="B38" s="199" t="s">
        <v>16</v>
      </c>
      <c r="C38" s="199" t="s">
        <v>17</v>
      </c>
      <c r="D38" s="200" t="s">
        <v>18</v>
      </c>
      <c r="E38" s="201" t="s">
        <v>1564</v>
      </c>
      <c r="F38" s="202" t="str">
        <f>VLOOKUP(D38,CSR!$D$4:$E$1180,2,FALSE)</f>
        <v>CSR_11300</v>
      </c>
      <c r="G38" s="203">
        <v>46038</v>
      </c>
      <c r="H38" s="204">
        <v>3</v>
      </c>
      <c r="I38" s="205">
        <f t="shared" si="0"/>
        <v>0.15789473684210525</v>
      </c>
      <c r="J38" s="217" t="s">
        <v>90</v>
      </c>
      <c r="K38" s="204"/>
    </row>
    <row r="39" spans="1:11" s="197" customFormat="1" ht="32">
      <c r="A39" s="198" t="s">
        <v>1385</v>
      </c>
      <c r="B39" s="199" t="s">
        <v>49</v>
      </c>
      <c r="C39" s="198" t="s">
        <v>50</v>
      </c>
      <c r="D39" s="208" t="s">
        <v>1311</v>
      </c>
      <c r="E39" s="210" t="s">
        <v>1567</v>
      </c>
      <c r="F39" s="202" t="str">
        <f>VLOOKUP(D39,CSR!$D$4:$E$1180,2,FALSE)</f>
        <v>CSR_41102</v>
      </c>
      <c r="G39" s="203">
        <v>46038</v>
      </c>
      <c r="H39" s="204">
        <v>2</v>
      </c>
      <c r="I39" s="205">
        <f t="shared" si="0"/>
        <v>0.10526315789473684</v>
      </c>
      <c r="J39" s="206" t="s">
        <v>90</v>
      </c>
      <c r="K39" s="204"/>
    </row>
    <row r="40" spans="1:11" s="197" customFormat="1" ht="32">
      <c r="A40" s="198" t="s">
        <v>1385</v>
      </c>
      <c r="B40" s="199" t="s">
        <v>49</v>
      </c>
      <c r="C40" s="199" t="s">
        <v>175</v>
      </c>
      <c r="D40" s="208" t="s">
        <v>202</v>
      </c>
      <c r="E40" s="210" t="s">
        <v>1559</v>
      </c>
      <c r="F40" s="202" t="str">
        <f>VLOOKUP(D40,CSR!$D$4:$E$1180,2,FALSE)</f>
        <v>CSR_40600</v>
      </c>
      <c r="G40" s="203">
        <v>46042</v>
      </c>
      <c r="H40" s="204">
        <v>2</v>
      </c>
      <c r="I40" s="205">
        <f t="shared" si="0"/>
        <v>0.10526315789473684</v>
      </c>
      <c r="J40" s="206" t="s">
        <v>90</v>
      </c>
      <c r="K40" s="204"/>
    </row>
    <row r="41" spans="1:11" s="197" customFormat="1" ht="32">
      <c r="A41" s="198" t="s">
        <v>1546</v>
      </c>
      <c r="B41" s="198" t="s">
        <v>16</v>
      </c>
      <c r="C41" s="198" t="s">
        <v>17</v>
      </c>
      <c r="D41" s="208" t="s">
        <v>1405</v>
      </c>
      <c r="E41" s="210" t="s">
        <v>1568</v>
      </c>
      <c r="F41" s="202" t="str">
        <f>VLOOKUP(D41,CSR!$D$4:$E$1180,2,FALSE)</f>
        <v>CSR_11302</v>
      </c>
      <c r="G41" s="203">
        <v>46382</v>
      </c>
      <c r="H41" s="204">
        <v>4</v>
      </c>
      <c r="I41" s="205">
        <f t="shared" si="0"/>
        <v>0.21052631578947367</v>
      </c>
      <c r="J41" s="206" t="s">
        <v>90</v>
      </c>
      <c r="K41" s="204"/>
    </row>
    <row r="42" spans="1:11" s="197" customFormat="1" ht="32">
      <c r="A42" s="198" t="s">
        <v>1385</v>
      </c>
      <c r="B42" s="199" t="s">
        <v>758</v>
      </c>
      <c r="C42" s="198" t="s">
        <v>32</v>
      </c>
      <c r="D42" s="208" t="s">
        <v>97</v>
      </c>
      <c r="E42" s="218" t="s">
        <v>823</v>
      </c>
      <c r="F42" s="202" t="str">
        <f>VLOOKUP(D42,CSR!$D$4:$E$1180,2,FALSE)</f>
        <v>CSR_30300</v>
      </c>
      <c r="G42" s="203">
        <v>46042</v>
      </c>
      <c r="H42" s="204">
        <v>2</v>
      </c>
      <c r="I42" s="205">
        <f t="shared" si="0"/>
        <v>0.10526315789473684</v>
      </c>
      <c r="J42" s="199" t="s">
        <v>824</v>
      </c>
      <c r="K42" s="204"/>
    </row>
    <row r="43" spans="1:11" s="197" customFormat="1" ht="32">
      <c r="A43" s="198" t="s">
        <v>1385</v>
      </c>
      <c r="B43" s="199" t="s">
        <v>758</v>
      </c>
      <c r="C43" s="198" t="s">
        <v>32</v>
      </c>
      <c r="D43" s="208" t="s">
        <v>97</v>
      </c>
      <c r="E43" s="218" t="s">
        <v>823</v>
      </c>
      <c r="F43" s="202" t="str">
        <f>VLOOKUP(D43,CSR!$D$4:$E$1180,2,FALSE)</f>
        <v>CSR_30300</v>
      </c>
      <c r="G43" s="203">
        <v>46042</v>
      </c>
      <c r="H43" s="204">
        <v>2</v>
      </c>
      <c r="I43" s="205">
        <f t="shared" si="0"/>
        <v>0.10526315789473684</v>
      </c>
      <c r="J43" s="199" t="s">
        <v>101</v>
      </c>
      <c r="K43" s="204"/>
    </row>
    <row r="44" spans="1:11" s="197" customFormat="1" ht="32">
      <c r="A44" s="198" t="s">
        <v>1385</v>
      </c>
      <c r="B44" s="199" t="s">
        <v>758</v>
      </c>
      <c r="C44" s="198" t="s">
        <v>32</v>
      </c>
      <c r="D44" s="208" t="s">
        <v>97</v>
      </c>
      <c r="E44" s="218" t="s">
        <v>823</v>
      </c>
      <c r="F44" s="202" t="str">
        <f>VLOOKUP(D44,CSR!$D$4:$E$1180,2,FALSE)</f>
        <v>CSR_30300</v>
      </c>
      <c r="G44" s="203">
        <v>46042</v>
      </c>
      <c r="H44" s="204">
        <v>2</v>
      </c>
      <c r="I44" s="205">
        <f t="shared" si="0"/>
        <v>0.10526315789473684</v>
      </c>
      <c r="J44" s="199" t="s">
        <v>102</v>
      </c>
      <c r="K44" s="204"/>
    </row>
    <row r="45" spans="1:11" s="197" customFormat="1" ht="32">
      <c r="A45" s="198" t="s">
        <v>1385</v>
      </c>
      <c r="B45" s="198" t="s">
        <v>16</v>
      </c>
      <c r="C45" s="198" t="s">
        <v>17</v>
      </c>
      <c r="D45" s="208" t="s">
        <v>18</v>
      </c>
      <c r="E45" s="210" t="s">
        <v>1569</v>
      </c>
      <c r="F45" s="202" t="str">
        <f>VLOOKUP(D45,CSR!$D$4:$E$1180,2,FALSE)</f>
        <v>CSR_11300</v>
      </c>
      <c r="G45" s="203">
        <v>46024</v>
      </c>
      <c r="H45" s="204">
        <v>1</v>
      </c>
      <c r="I45" s="205">
        <f t="shared" si="0"/>
        <v>5.2631578947368418E-2</v>
      </c>
      <c r="J45" s="199" t="s">
        <v>104</v>
      </c>
      <c r="K45" s="204"/>
    </row>
    <row r="46" spans="1:11" s="197" customFormat="1" ht="32">
      <c r="A46" s="198" t="s">
        <v>1385</v>
      </c>
      <c r="B46" s="199" t="s">
        <v>31</v>
      </c>
      <c r="C46" s="199" t="s">
        <v>32</v>
      </c>
      <c r="D46" s="208" t="s">
        <v>97</v>
      </c>
      <c r="E46" s="210" t="s">
        <v>1570</v>
      </c>
      <c r="F46" s="202" t="str">
        <f>VLOOKUP(D46,CSR!$D$4:$E$1180,2,FALSE)</f>
        <v>CSR_30300</v>
      </c>
      <c r="G46" s="203">
        <v>46024</v>
      </c>
      <c r="H46" s="204">
        <v>1</v>
      </c>
      <c r="I46" s="205">
        <f t="shared" si="0"/>
        <v>5.2631578947368418E-2</v>
      </c>
      <c r="J46" s="206" t="s">
        <v>104</v>
      </c>
      <c r="K46" s="204"/>
    </row>
    <row r="47" spans="1:11" s="197" customFormat="1" ht="32">
      <c r="A47" s="198" t="s">
        <v>1385</v>
      </c>
      <c r="B47" s="199" t="s">
        <v>49</v>
      </c>
      <c r="C47" s="199" t="s">
        <v>175</v>
      </c>
      <c r="D47" s="208" t="s">
        <v>183</v>
      </c>
      <c r="E47" s="218" t="s">
        <v>1571</v>
      </c>
      <c r="F47" s="202" t="str">
        <f>VLOOKUP(D47,CSR!$D$4:$E$1180,2,FALSE)</f>
        <v>CSR_40500</v>
      </c>
      <c r="G47" s="203">
        <v>46024</v>
      </c>
      <c r="H47" s="204">
        <v>2</v>
      </c>
      <c r="I47" s="205">
        <f t="shared" si="0"/>
        <v>0.10526315789473684</v>
      </c>
      <c r="J47" s="199" t="s">
        <v>104</v>
      </c>
      <c r="K47" s="204"/>
    </row>
    <row r="48" spans="1:11" s="197" customFormat="1" ht="32">
      <c r="A48" s="198" t="s">
        <v>1385</v>
      </c>
      <c r="B48" s="198" t="s">
        <v>16</v>
      </c>
      <c r="C48" s="198" t="s">
        <v>17</v>
      </c>
      <c r="D48" s="200" t="s">
        <v>65</v>
      </c>
      <c r="E48" s="226" t="s">
        <v>1572</v>
      </c>
      <c r="F48" s="202" t="str">
        <f>VLOOKUP(D48,CSR!$D$4:$E$1180,2,FALSE)</f>
        <v>CSR_10800</v>
      </c>
      <c r="G48" s="203">
        <v>46031</v>
      </c>
      <c r="H48" s="204">
        <v>3</v>
      </c>
      <c r="I48" s="205">
        <f t="shared" si="0"/>
        <v>0.15789473684210525</v>
      </c>
      <c r="J48" s="206" t="s">
        <v>104</v>
      </c>
      <c r="K48" s="204"/>
    </row>
    <row r="49" spans="1:11" s="197" customFormat="1" ht="32">
      <c r="A49" s="198" t="s">
        <v>1385</v>
      </c>
      <c r="B49" s="198" t="s">
        <v>70</v>
      </c>
      <c r="C49" s="199" t="s">
        <v>71</v>
      </c>
      <c r="D49" s="208" t="s">
        <v>266</v>
      </c>
      <c r="E49" s="210" t="s">
        <v>1573</v>
      </c>
      <c r="F49" s="202" t="str">
        <f>VLOOKUP(D49,CSR!$D$4:$E$1180,2,FALSE)</f>
        <v>CSR_20200</v>
      </c>
      <c r="G49" s="203">
        <v>46031</v>
      </c>
      <c r="H49" s="204">
        <v>1</v>
      </c>
      <c r="I49" s="205">
        <f t="shared" si="0"/>
        <v>5.2631578947368418E-2</v>
      </c>
      <c r="J49" s="206" t="s">
        <v>104</v>
      </c>
      <c r="K49" s="204"/>
    </row>
    <row r="50" spans="1:11" s="197" customFormat="1" ht="32">
      <c r="A50" s="198" t="s">
        <v>1385</v>
      </c>
      <c r="B50" s="199" t="s">
        <v>49</v>
      </c>
      <c r="C50" s="198" t="s">
        <v>50</v>
      </c>
      <c r="D50" s="200" t="s">
        <v>1181</v>
      </c>
      <c r="E50" s="210" t="s">
        <v>1574</v>
      </c>
      <c r="F50" s="202" t="e">
        <f>VLOOKUP(D50,CSR!$D$4:$E$1180,2,FALSE)</f>
        <v>#N/A</v>
      </c>
      <c r="G50" s="203">
        <v>46031</v>
      </c>
      <c r="H50" s="204">
        <v>1</v>
      </c>
      <c r="I50" s="205">
        <f t="shared" si="0"/>
        <v>5.2631578947368418E-2</v>
      </c>
      <c r="J50" s="199" t="s">
        <v>104</v>
      </c>
      <c r="K50" s="204"/>
    </row>
    <row r="51" spans="1:11" s="197" customFormat="1" ht="32">
      <c r="A51" s="198" t="s">
        <v>1385</v>
      </c>
      <c r="B51" s="198" t="s">
        <v>16</v>
      </c>
      <c r="C51" s="198" t="s">
        <v>17</v>
      </c>
      <c r="D51" s="200" t="s">
        <v>65</v>
      </c>
      <c r="E51" s="226" t="s">
        <v>1575</v>
      </c>
      <c r="F51" s="202" t="str">
        <f>VLOOKUP(D51,CSR!$D$4:$E$1180,2,FALSE)</f>
        <v>CSR_10800</v>
      </c>
      <c r="G51" s="203">
        <v>46038</v>
      </c>
      <c r="H51" s="204">
        <v>3</v>
      </c>
      <c r="I51" s="205">
        <f t="shared" si="0"/>
        <v>0.15789473684210525</v>
      </c>
      <c r="J51" s="206" t="s">
        <v>104</v>
      </c>
      <c r="K51" s="204"/>
    </row>
    <row r="52" spans="1:11" s="197" customFormat="1" ht="32">
      <c r="A52" s="198" t="s">
        <v>1385</v>
      </c>
      <c r="B52" s="199" t="s">
        <v>49</v>
      </c>
      <c r="C52" s="199" t="s">
        <v>175</v>
      </c>
      <c r="D52" s="208" t="s">
        <v>176</v>
      </c>
      <c r="E52" s="227" t="s">
        <v>1576</v>
      </c>
      <c r="F52" s="202" t="str">
        <f>VLOOKUP(D52,CSR!$D$4:$E$1180,2,FALSE)</f>
        <v>CSR_40700</v>
      </c>
      <c r="G52" s="203">
        <v>46038</v>
      </c>
      <c r="H52" s="204">
        <v>1</v>
      </c>
      <c r="I52" s="205">
        <f t="shared" si="0"/>
        <v>5.2631578947368418E-2</v>
      </c>
      <c r="J52" s="206" t="s">
        <v>104</v>
      </c>
      <c r="K52" s="204"/>
    </row>
    <row r="53" spans="1:11" s="197" customFormat="1" ht="32">
      <c r="A53" s="198" t="s">
        <v>1385</v>
      </c>
      <c r="B53" s="198" t="s">
        <v>16</v>
      </c>
      <c r="C53" s="198" t="s">
        <v>17</v>
      </c>
      <c r="D53" s="200" t="s">
        <v>65</v>
      </c>
      <c r="E53" s="226" t="s">
        <v>1575</v>
      </c>
      <c r="F53" s="202" t="str">
        <f>VLOOKUP(D53,CSR!$D$4:$E$1180,2,FALSE)</f>
        <v>CSR_10800</v>
      </c>
      <c r="G53" s="203">
        <v>46042</v>
      </c>
      <c r="H53" s="204">
        <v>2</v>
      </c>
      <c r="I53" s="205">
        <f t="shared" si="0"/>
        <v>0.10526315789473684</v>
      </c>
      <c r="J53" s="206" t="s">
        <v>104</v>
      </c>
      <c r="K53" s="204"/>
    </row>
    <row r="54" spans="1:11" s="197" customFormat="1" ht="32">
      <c r="A54" s="198" t="s">
        <v>1546</v>
      </c>
      <c r="B54" s="198" t="s">
        <v>70</v>
      </c>
      <c r="C54" s="199" t="s">
        <v>71</v>
      </c>
      <c r="D54" s="208" t="s">
        <v>266</v>
      </c>
      <c r="E54" s="210" t="s">
        <v>1577</v>
      </c>
      <c r="F54" s="202" t="str">
        <f>VLOOKUP(D54,CSR!$D$4:$E$1180,2,FALSE)</f>
        <v>CSR_20200</v>
      </c>
      <c r="G54" s="203">
        <v>46382</v>
      </c>
      <c r="H54" s="204">
        <v>2</v>
      </c>
      <c r="I54" s="205">
        <f t="shared" si="0"/>
        <v>0.10526315789473684</v>
      </c>
      <c r="J54" s="206" t="s">
        <v>104</v>
      </c>
      <c r="K54" s="204"/>
    </row>
    <row r="55" spans="1:11" s="197" customFormat="1" ht="32">
      <c r="A55" s="198" t="s">
        <v>1546</v>
      </c>
      <c r="B55" s="199" t="s">
        <v>49</v>
      </c>
      <c r="C55" s="199" t="s">
        <v>175</v>
      </c>
      <c r="D55" s="208" t="s">
        <v>183</v>
      </c>
      <c r="E55" s="218" t="s">
        <v>1571</v>
      </c>
      <c r="F55" s="202" t="str">
        <f>VLOOKUP(D55,CSR!$D$4:$E$1180,2,FALSE)</f>
        <v>CSR_40500</v>
      </c>
      <c r="G55" s="203">
        <v>46382</v>
      </c>
      <c r="H55" s="204">
        <v>2</v>
      </c>
      <c r="I55" s="205">
        <f t="shared" si="0"/>
        <v>0.10526315789473684</v>
      </c>
      <c r="J55" s="199" t="s">
        <v>104</v>
      </c>
      <c r="K55" s="204"/>
    </row>
    <row r="56" spans="1:11" s="197" customFormat="1" ht="48">
      <c r="A56" s="198" t="s">
        <v>1385</v>
      </c>
      <c r="B56" s="199" t="s">
        <v>49</v>
      </c>
      <c r="C56" s="199" t="s">
        <v>175</v>
      </c>
      <c r="D56" s="200" t="s">
        <v>191</v>
      </c>
      <c r="E56" s="226" t="s">
        <v>1578</v>
      </c>
      <c r="F56" s="202" t="str">
        <f>VLOOKUP(D56,CSR!$D$4:$E$1180,2,FALSE)</f>
        <v>CSR_40300</v>
      </c>
      <c r="G56" s="203">
        <v>46024</v>
      </c>
      <c r="H56" s="204">
        <v>2</v>
      </c>
      <c r="I56" s="205">
        <f t="shared" si="0"/>
        <v>0.10526315789473684</v>
      </c>
      <c r="J56" s="199" t="s">
        <v>114</v>
      </c>
      <c r="K56" s="204"/>
    </row>
    <row r="57" spans="1:11" s="197" customFormat="1" ht="48">
      <c r="A57" s="198" t="s">
        <v>1385</v>
      </c>
      <c r="B57" s="199" t="s">
        <v>49</v>
      </c>
      <c r="C57" s="199" t="s">
        <v>175</v>
      </c>
      <c r="D57" s="200" t="s">
        <v>191</v>
      </c>
      <c r="E57" s="210" t="s">
        <v>1579</v>
      </c>
      <c r="F57" s="202" t="str">
        <f>VLOOKUP(D57,CSR!$D$4:$E$1180,2,FALSE)</f>
        <v>CSR_40300</v>
      </c>
      <c r="G57" s="203">
        <v>46024</v>
      </c>
      <c r="H57" s="204">
        <v>3</v>
      </c>
      <c r="I57" s="205">
        <f t="shared" si="0"/>
        <v>0.15789473684210525</v>
      </c>
      <c r="J57" s="199" t="s">
        <v>114</v>
      </c>
      <c r="K57" s="204"/>
    </row>
    <row r="58" spans="1:11" s="197" customFormat="1" ht="48">
      <c r="A58" s="198" t="s">
        <v>1385</v>
      </c>
      <c r="B58" s="199" t="s">
        <v>49</v>
      </c>
      <c r="C58" s="199" t="s">
        <v>175</v>
      </c>
      <c r="D58" s="200" t="s">
        <v>191</v>
      </c>
      <c r="E58" s="210" t="s">
        <v>1579</v>
      </c>
      <c r="F58" s="202" t="str">
        <f>VLOOKUP(D58,CSR!$D$4:$E$1180,2,FALSE)</f>
        <v>CSR_40300</v>
      </c>
      <c r="G58" s="203">
        <v>46031</v>
      </c>
      <c r="H58" s="204">
        <v>1</v>
      </c>
      <c r="I58" s="205">
        <f t="shared" si="0"/>
        <v>5.2631578947368418E-2</v>
      </c>
      <c r="J58" s="199" t="s">
        <v>114</v>
      </c>
      <c r="K58" s="204"/>
    </row>
    <row r="59" spans="1:11" s="197" customFormat="1" ht="32">
      <c r="A59" s="198" t="s">
        <v>1385</v>
      </c>
      <c r="B59" s="199" t="s">
        <v>49</v>
      </c>
      <c r="C59" s="199" t="s">
        <v>175</v>
      </c>
      <c r="D59" s="208" t="s">
        <v>183</v>
      </c>
      <c r="E59" s="210" t="s">
        <v>1580</v>
      </c>
      <c r="F59" s="202" t="str">
        <f>VLOOKUP(D59,CSR!$D$4:$E$1180,2,FALSE)</f>
        <v>CSR_40500</v>
      </c>
      <c r="G59" s="203">
        <v>46031</v>
      </c>
      <c r="H59" s="204">
        <v>2</v>
      </c>
      <c r="I59" s="205">
        <f t="shared" si="0"/>
        <v>0.10526315789473684</v>
      </c>
      <c r="J59" s="206" t="s">
        <v>114</v>
      </c>
      <c r="K59" s="204"/>
    </row>
    <row r="60" spans="1:11" s="197" customFormat="1" ht="32">
      <c r="A60" s="198" t="s">
        <v>1385</v>
      </c>
      <c r="B60" s="199" t="s">
        <v>16</v>
      </c>
      <c r="C60" s="199" t="s">
        <v>17</v>
      </c>
      <c r="D60" s="207" t="s">
        <v>18</v>
      </c>
      <c r="E60" s="201" t="s">
        <v>1581</v>
      </c>
      <c r="F60" s="202" t="str">
        <f>VLOOKUP(D60,CSR!$D$4:$E$1180,2,FALSE)</f>
        <v>CSR_11300</v>
      </c>
      <c r="G60" s="203">
        <v>46038</v>
      </c>
      <c r="H60" s="204">
        <v>1</v>
      </c>
      <c r="I60" s="205">
        <f t="shared" si="0"/>
        <v>5.2631578947368418E-2</v>
      </c>
      <c r="J60" s="198" t="s">
        <v>114</v>
      </c>
      <c r="K60" s="204"/>
    </row>
    <row r="61" spans="1:11" s="197" customFormat="1" ht="32">
      <c r="A61" s="198" t="s">
        <v>1385</v>
      </c>
      <c r="B61" s="199" t="s">
        <v>49</v>
      </c>
      <c r="C61" s="199" t="s">
        <v>175</v>
      </c>
      <c r="D61" s="208" t="s">
        <v>183</v>
      </c>
      <c r="E61" s="210" t="s">
        <v>1580</v>
      </c>
      <c r="F61" s="202" t="str">
        <f>VLOOKUP(D61,CSR!$D$4:$E$1180,2,FALSE)</f>
        <v>CSR_40500</v>
      </c>
      <c r="G61" s="203">
        <v>46038</v>
      </c>
      <c r="H61" s="204">
        <v>1</v>
      </c>
      <c r="I61" s="205">
        <f t="shared" si="0"/>
        <v>5.2631578947368418E-2</v>
      </c>
      <c r="J61" s="206" t="s">
        <v>114</v>
      </c>
      <c r="K61" s="204"/>
    </row>
    <row r="62" spans="1:11" s="197" customFormat="1" ht="32">
      <c r="A62" s="198" t="s">
        <v>1385</v>
      </c>
      <c r="B62" s="199" t="s">
        <v>49</v>
      </c>
      <c r="C62" s="198" t="s">
        <v>50</v>
      </c>
      <c r="D62" s="208" t="s">
        <v>1311</v>
      </c>
      <c r="E62" s="210" t="s">
        <v>1582</v>
      </c>
      <c r="F62" s="202" t="str">
        <f>VLOOKUP(D62,CSR!$D$4:$E$1180,2,FALSE)</f>
        <v>CSR_41102</v>
      </c>
      <c r="G62" s="203">
        <v>46038</v>
      </c>
      <c r="H62" s="204">
        <v>2</v>
      </c>
      <c r="I62" s="205">
        <f t="shared" si="0"/>
        <v>0.10526315789473684</v>
      </c>
      <c r="J62" s="206" t="s">
        <v>114</v>
      </c>
      <c r="K62" s="204"/>
    </row>
    <row r="63" spans="1:11" s="197" customFormat="1" ht="32">
      <c r="A63" s="198" t="s">
        <v>1385</v>
      </c>
      <c r="B63" s="199" t="s">
        <v>49</v>
      </c>
      <c r="C63" s="199" t="s">
        <v>175</v>
      </c>
      <c r="D63" s="200" t="s">
        <v>176</v>
      </c>
      <c r="E63" s="227" t="s">
        <v>1583</v>
      </c>
      <c r="F63" s="202" t="str">
        <f>VLOOKUP(D63,CSR!$D$4:$E$1180,2,FALSE)</f>
        <v>CSR_40700</v>
      </c>
      <c r="G63" s="203">
        <v>46042</v>
      </c>
      <c r="H63" s="204">
        <v>2</v>
      </c>
      <c r="I63" s="205">
        <f t="shared" si="0"/>
        <v>0.10526315789473684</v>
      </c>
      <c r="J63" s="206" t="s">
        <v>114</v>
      </c>
      <c r="K63" s="204"/>
    </row>
    <row r="64" spans="1:11" s="197" customFormat="1" ht="32">
      <c r="A64" s="198" t="s">
        <v>1546</v>
      </c>
      <c r="B64" s="198" t="s">
        <v>16</v>
      </c>
      <c r="C64" s="198" t="s">
        <v>17</v>
      </c>
      <c r="D64" s="208" t="s">
        <v>1405</v>
      </c>
      <c r="E64" s="210" t="s">
        <v>1584</v>
      </c>
      <c r="F64" s="202" t="str">
        <f>VLOOKUP(D64,CSR!$D$4:$E$1180,2,FALSE)</f>
        <v>CSR_11302</v>
      </c>
      <c r="G64" s="203">
        <v>46382</v>
      </c>
      <c r="H64" s="204">
        <v>3</v>
      </c>
      <c r="I64" s="205">
        <f t="shared" si="0"/>
        <v>0.15789473684210525</v>
      </c>
      <c r="J64" s="199" t="s">
        <v>114</v>
      </c>
      <c r="K64" s="204"/>
    </row>
    <row r="65" spans="1:11" s="197" customFormat="1" ht="32">
      <c r="A65" s="198" t="s">
        <v>1546</v>
      </c>
      <c r="B65" s="199" t="s">
        <v>49</v>
      </c>
      <c r="C65" s="199" t="s">
        <v>175</v>
      </c>
      <c r="D65" s="208" t="s">
        <v>202</v>
      </c>
      <c r="E65" s="218" t="s">
        <v>1585</v>
      </c>
      <c r="F65" s="202" t="str">
        <f>VLOOKUP(D65,CSR!$D$4:$E$1180,2,FALSE)</f>
        <v>CSR_40600</v>
      </c>
      <c r="G65" s="203">
        <v>46382</v>
      </c>
      <c r="H65" s="204">
        <v>2</v>
      </c>
      <c r="I65" s="205">
        <f t="shared" si="0"/>
        <v>0.10526315789473684</v>
      </c>
      <c r="J65" s="206" t="s">
        <v>114</v>
      </c>
      <c r="K65" s="204"/>
    </row>
    <row r="66" spans="1:11" s="197" customFormat="1" ht="32">
      <c r="A66" s="198" t="s">
        <v>1385</v>
      </c>
      <c r="B66" s="199" t="s">
        <v>16</v>
      </c>
      <c r="C66" s="199" t="s">
        <v>17</v>
      </c>
      <c r="D66" s="208" t="s">
        <v>131</v>
      </c>
      <c r="E66" s="210" t="s">
        <v>1586</v>
      </c>
      <c r="F66" s="202" t="str">
        <f>VLOOKUP(D66,CSR!$D$4:$E$1180,2,FALSE)</f>
        <v>CSR_10400</v>
      </c>
      <c r="G66" s="203">
        <v>46024</v>
      </c>
      <c r="H66" s="204">
        <v>2</v>
      </c>
      <c r="I66" s="205">
        <f t="shared" ref="I66:I129" si="1">H66*10/190</f>
        <v>0.10526315789473684</v>
      </c>
      <c r="J66" s="199" t="s">
        <v>125</v>
      </c>
      <c r="K66" s="204"/>
    </row>
    <row r="67" spans="1:11" s="197" customFormat="1" ht="32">
      <c r="A67" s="198" t="s">
        <v>1385</v>
      </c>
      <c r="B67" s="199" t="s">
        <v>16</v>
      </c>
      <c r="C67" s="199" t="s">
        <v>17</v>
      </c>
      <c r="D67" s="208" t="s">
        <v>953</v>
      </c>
      <c r="E67" s="218" t="s">
        <v>1587</v>
      </c>
      <c r="F67" s="202" t="str">
        <f>VLOOKUP(D67,CSR!$D$4:$E$1180,2,FALSE)</f>
        <v>CSR_11305</v>
      </c>
      <c r="G67" s="203">
        <v>46024</v>
      </c>
      <c r="H67" s="204">
        <v>2</v>
      </c>
      <c r="I67" s="205">
        <f t="shared" si="1"/>
        <v>0.10526315789473684</v>
      </c>
      <c r="J67" s="199" t="s">
        <v>125</v>
      </c>
      <c r="K67" s="204"/>
    </row>
    <row r="68" spans="1:11" s="197" customFormat="1" ht="32">
      <c r="A68" s="198" t="s">
        <v>1385</v>
      </c>
      <c r="B68" s="199" t="s">
        <v>16</v>
      </c>
      <c r="C68" s="199" t="s">
        <v>17</v>
      </c>
      <c r="D68" s="208" t="s">
        <v>131</v>
      </c>
      <c r="E68" s="210" t="s">
        <v>1586</v>
      </c>
      <c r="F68" s="202" t="str">
        <f>VLOOKUP(D68,CSR!$D$4:$E$1180,2,FALSE)</f>
        <v>CSR_10400</v>
      </c>
      <c r="G68" s="203">
        <v>46031</v>
      </c>
      <c r="H68" s="204">
        <v>2</v>
      </c>
      <c r="I68" s="205">
        <f t="shared" si="1"/>
        <v>0.10526315789473684</v>
      </c>
      <c r="J68" s="199" t="s">
        <v>125</v>
      </c>
      <c r="K68" s="204"/>
    </row>
    <row r="69" spans="1:11" s="197" customFormat="1" ht="32">
      <c r="A69" s="198" t="s">
        <v>1385</v>
      </c>
      <c r="B69" s="198" t="s">
        <v>70</v>
      </c>
      <c r="C69" s="198" t="s">
        <v>71</v>
      </c>
      <c r="D69" s="208" t="s">
        <v>72</v>
      </c>
      <c r="E69" s="210" t="s">
        <v>1588</v>
      </c>
      <c r="F69" s="202" t="str">
        <f>VLOOKUP(D69,CSR!$D$4:$E$1180,2,FALSE)</f>
        <v>CSR_20400</v>
      </c>
      <c r="G69" s="203">
        <v>46031</v>
      </c>
      <c r="H69" s="204">
        <v>2</v>
      </c>
      <c r="I69" s="205">
        <f t="shared" si="1"/>
        <v>0.10526315789473684</v>
      </c>
      <c r="J69" s="206" t="s">
        <v>125</v>
      </c>
      <c r="K69" s="204"/>
    </row>
    <row r="70" spans="1:11" s="197" customFormat="1" ht="32">
      <c r="A70" s="198" t="s">
        <v>1385</v>
      </c>
      <c r="B70" s="199" t="s">
        <v>16</v>
      </c>
      <c r="C70" s="199" t="s">
        <v>17</v>
      </c>
      <c r="D70" s="208" t="s">
        <v>131</v>
      </c>
      <c r="E70" s="210" t="s">
        <v>1586</v>
      </c>
      <c r="F70" s="202" t="str">
        <f>VLOOKUP(D70,CSR!$D$4:$E$1180,2,FALSE)</f>
        <v>CSR_10400</v>
      </c>
      <c r="G70" s="203">
        <v>46038</v>
      </c>
      <c r="H70" s="204">
        <v>1</v>
      </c>
      <c r="I70" s="205">
        <f t="shared" si="1"/>
        <v>5.2631578947368418E-2</v>
      </c>
      <c r="J70" s="199" t="s">
        <v>125</v>
      </c>
      <c r="K70" s="204"/>
    </row>
    <row r="71" spans="1:11" s="197" customFormat="1" ht="32">
      <c r="A71" s="198" t="s">
        <v>1385</v>
      </c>
      <c r="B71" s="199" t="s">
        <v>16</v>
      </c>
      <c r="C71" s="199" t="s">
        <v>17</v>
      </c>
      <c r="D71" s="207" t="s">
        <v>18</v>
      </c>
      <c r="E71" s="201" t="s">
        <v>1589</v>
      </c>
      <c r="F71" s="202" t="str">
        <f>VLOOKUP(D71,CSR!$D$4:$E$1180,2,FALSE)</f>
        <v>CSR_11300</v>
      </c>
      <c r="G71" s="203">
        <v>46038</v>
      </c>
      <c r="H71" s="204">
        <v>2</v>
      </c>
      <c r="I71" s="205">
        <f t="shared" si="1"/>
        <v>0.10526315789473684</v>
      </c>
      <c r="J71" s="217" t="s">
        <v>125</v>
      </c>
      <c r="K71" s="204"/>
    </row>
    <row r="72" spans="1:11" s="197" customFormat="1" ht="32">
      <c r="A72" s="198" t="s">
        <v>1385</v>
      </c>
      <c r="B72" s="199" t="s">
        <v>49</v>
      </c>
      <c r="C72" s="198" t="s">
        <v>50</v>
      </c>
      <c r="D72" s="208" t="s">
        <v>1309</v>
      </c>
      <c r="E72" s="210" t="s">
        <v>1590</v>
      </c>
      <c r="F72" s="202" t="str">
        <f>VLOOKUP(D72,CSR!$D$4:$E$1180,2,FALSE)</f>
        <v>CSR_41101</v>
      </c>
      <c r="G72" s="203">
        <v>46038</v>
      </c>
      <c r="H72" s="204">
        <v>2</v>
      </c>
      <c r="I72" s="205">
        <f t="shared" si="1"/>
        <v>0.10526315789473684</v>
      </c>
      <c r="J72" s="206" t="s">
        <v>125</v>
      </c>
      <c r="K72" s="204"/>
    </row>
    <row r="73" spans="1:11" s="197" customFormat="1" ht="32">
      <c r="A73" s="198" t="s">
        <v>1385</v>
      </c>
      <c r="B73" s="198" t="s">
        <v>16</v>
      </c>
      <c r="C73" s="198" t="s">
        <v>17</v>
      </c>
      <c r="D73" s="208" t="s">
        <v>1405</v>
      </c>
      <c r="E73" s="210" t="s">
        <v>1591</v>
      </c>
      <c r="F73" s="202" t="str">
        <f>VLOOKUP(D73,CSR!$D$4:$E$1180,2,FALSE)</f>
        <v>CSR_11302</v>
      </c>
      <c r="G73" s="203">
        <v>46042</v>
      </c>
      <c r="H73" s="204">
        <v>2</v>
      </c>
      <c r="I73" s="205">
        <f t="shared" si="1"/>
        <v>0.10526315789473684</v>
      </c>
      <c r="J73" s="199" t="s">
        <v>125</v>
      </c>
      <c r="K73" s="208"/>
    </row>
    <row r="74" spans="1:11" s="197" customFormat="1" ht="32">
      <c r="A74" s="198" t="s">
        <v>1546</v>
      </c>
      <c r="B74" s="198" t="s">
        <v>16</v>
      </c>
      <c r="C74" s="198" t="s">
        <v>17</v>
      </c>
      <c r="D74" s="208" t="s">
        <v>131</v>
      </c>
      <c r="E74" s="210" t="s">
        <v>1586</v>
      </c>
      <c r="F74" s="202" t="str">
        <f>VLOOKUP(D74,CSR!$D$4:$E$1180,2,FALSE)</f>
        <v>CSR_10400</v>
      </c>
      <c r="G74" s="203">
        <v>46382</v>
      </c>
      <c r="H74" s="204">
        <v>2</v>
      </c>
      <c r="I74" s="205">
        <f t="shared" si="1"/>
        <v>0.10526315789473684</v>
      </c>
      <c r="J74" s="199" t="s">
        <v>125</v>
      </c>
      <c r="K74" s="208"/>
    </row>
    <row r="75" spans="1:11" s="197" customFormat="1" ht="32">
      <c r="A75" s="198" t="s">
        <v>1546</v>
      </c>
      <c r="B75" s="199" t="s">
        <v>16</v>
      </c>
      <c r="C75" s="199" t="s">
        <v>17</v>
      </c>
      <c r="D75" s="208" t="s">
        <v>953</v>
      </c>
      <c r="E75" s="218" t="s">
        <v>1587</v>
      </c>
      <c r="F75" s="202" t="str">
        <f>VLOOKUP(D75,CSR!$D$4:$E$1180,2,FALSE)</f>
        <v>CSR_11305</v>
      </c>
      <c r="G75" s="203">
        <v>46382</v>
      </c>
      <c r="H75" s="204">
        <v>2</v>
      </c>
      <c r="I75" s="205">
        <f t="shared" si="1"/>
        <v>0.10526315789473684</v>
      </c>
      <c r="J75" s="199" t="s">
        <v>125</v>
      </c>
      <c r="K75" s="204"/>
    </row>
    <row r="76" spans="1:11" s="197" customFormat="1" ht="32">
      <c r="A76" s="198" t="s">
        <v>1385</v>
      </c>
      <c r="B76" s="199" t="s">
        <v>16</v>
      </c>
      <c r="C76" s="199" t="s">
        <v>17</v>
      </c>
      <c r="D76" s="208" t="s">
        <v>131</v>
      </c>
      <c r="E76" s="210" t="s">
        <v>1586</v>
      </c>
      <c r="F76" s="202" t="str">
        <f>VLOOKUP(D76,CSR!$D$4:$E$1180,2,FALSE)</f>
        <v>CSR_10400</v>
      </c>
      <c r="G76" s="203">
        <v>46024</v>
      </c>
      <c r="H76" s="204">
        <v>4</v>
      </c>
      <c r="I76" s="205">
        <f t="shared" si="1"/>
        <v>0.21052631578947367</v>
      </c>
      <c r="J76" s="206" t="s">
        <v>134</v>
      </c>
      <c r="K76" s="204"/>
    </row>
    <row r="77" spans="1:11" s="197" customFormat="1" ht="32">
      <c r="A77" s="198" t="s">
        <v>1385</v>
      </c>
      <c r="B77" s="199" t="s">
        <v>16</v>
      </c>
      <c r="C77" s="199" t="s">
        <v>17</v>
      </c>
      <c r="D77" s="208" t="s">
        <v>131</v>
      </c>
      <c r="E77" s="210" t="s">
        <v>1586</v>
      </c>
      <c r="F77" s="202" t="str">
        <f>VLOOKUP(D77,CSR!$D$4:$E$1180,2,FALSE)</f>
        <v>CSR_10400</v>
      </c>
      <c r="G77" s="203">
        <v>46031</v>
      </c>
      <c r="H77" s="204">
        <v>2</v>
      </c>
      <c r="I77" s="205">
        <f t="shared" si="1"/>
        <v>0.10526315789473684</v>
      </c>
      <c r="J77" s="206" t="s">
        <v>134</v>
      </c>
      <c r="K77" s="204"/>
    </row>
    <row r="78" spans="1:11" s="197" customFormat="1" ht="32">
      <c r="A78" s="198" t="s">
        <v>1385</v>
      </c>
      <c r="B78" s="198" t="s">
        <v>16</v>
      </c>
      <c r="C78" s="198" t="s">
        <v>17</v>
      </c>
      <c r="D78" s="208" t="s">
        <v>1319</v>
      </c>
      <c r="E78" s="210" t="s">
        <v>1592</v>
      </c>
      <c r="F78" s="202" t="str">
        <f>VLOOKUP(D78,CSR!$D$4:$E$1180,2,FALSE)</f>
        <v>CSR_11306</v>
      </c>
      <c r="G78" s="203">
        <v>46031</v>
      </c>
      <c r="H78" s="204">
        <v>2</v>
      </c>
      <c r="I78" s="205">
        <f t="shared" si="1"/>
        <v>0.10526315789473684</v>
      </c>
      <c r="J78" s="206" t="s">
        <v>134</v>
      </c>
      <c r="K78" s="204"/>
    </row>
    <row r="79" spans="1:11" s="197" customFormat="1" ht="32">
      <c r="A79" s="198" t="s">
        <v>1385</v>
      </c>
      <c r="B79" s="199" t="s">
        <v>16</v>
      </c>
      <c r="C79" s="199" t="s">
        <v>17</v>
      </c>
      <c r="D79" s="208" t="s">
        <v>131</v>
      </c>
      <c r="E79" s="210" t="s">
        <v>1586</v>
      </c>
      <c r="F79" s="202" t="str">
        <f>VLOOKUP(D79,CSR!$D$4:$E$1180,2,FALSE)</f>
        <v>CSR_10400</v>
      </c>
      <c r="G79" s="203">
        <v>46038</v>
      </c>
      <c r="H79" s="204">
        <v>1</v>
      </c>
      <c r="I79" s="205">
        <f t="shared" si="1"/>
        <v>5.2631578947368418E-2</v>
      </c>
      <c r="J79" s="206" t="s">
        <v>134</v>
      </c>
      <c r="K79" s="204"/>
    </row>
    <row r="80" spans="1:11" s="197" customFormat="1" ht="32">
      <c r="A80" s="198" t="s">
        <v>1385</v>
      </c>
      <c r="B80" s="198" t="s">
        <v>16</v>
      </c>
      <c r="C80" s="198" t="s">
        <v>17</v>
      </c>
      <c r="D80" s="208" t="s">
        <v>1319</v>
      </c>
      <c r="E80" s="210" t="s">
        <v>1593</v>
      </c>
      <c r="F80" s="202" t="str">
        <f>VLOOKUP(D80,CSR!$D$4:$E$1180,2,FALSE)</f>
        <v>CSR_11306</v>
      </c>
      <c r="G80" s="203">
        <v>46038</v>
      </c>
      <c r="H80" s="204">
        <v>1</v>
      </c>
      <c r="I80" s="205">
        <f t="shared" si="1"/>
        <v>5.2631578947368418E-2</v>
      </c>
      <c r="J80" s="206" t="s">
        <v>134</v>
      </c>
      <c r="K80" s="204"/>
    </row>
    <row r="81" spans="1:11" s="197" customFormat="1" ht="32">
      <c r="A81" s="198" t="s">
        <v>1385</v>
      </c>
      <c r="B81" s="199" t="s">
        <v>16</v>
      </c>
      <c r="C81" s="199" t="s">
        <v>17</v>
      </c>
      <c r="D81" s="200" t="s">
        <v>1562</v>
      </c>
      <c r="E81" s="210" t="s">
        <v>1594</v>
      </c>
      <c r="F81" s="202" t="str">
        <f>VLOOKUP(D81,CSR!$D$4:$E$1180,2,FALSE)</f>
        <v>CSR_11307</v>
      </c>
      <c r="G81" s="203">
        <v>46038</v>
      </c>
      <c r="H81" s="204">
        <v>2</v>
      </c>
      <c r="I81" s="205">
        <f t="shared" si="1"/>
        <v>0.10526315789473684</v>
      </c>
      <c r="J81" s="206" t="s">
        <v>134</v>
      </c>
      <c r="K81" s="204"/>
    </row>
    <row r="82" spans="1:11" s="197" customFormat="1" ht="16">
      <c r="A82" s="198" t="s">
        <v>1385</v>
      </c>
      <c r="B82" s="199" t="s">
        <v>49</v>
      </c>
      <c r="C82" s="199" t="s">
        <v>175</v>
      </c>
      <c r="D82" s="200" t="s">
        <v>191</v>
      </c>
      <c r="E82" s="201" t="s">
        <v>1550</v>
      </c>
      <c r="F82" s="202" t="str">
        <f>VLOOKUP(D82,CSR!$D$4:$E$1180,2,FALSE)</f>
        <v>CSR_40300</v>
      </c>
      <c r="G82" s="203">
        <v>46038</v>
      </c>
      <c r="H82" s="204">
        <v>1</v>
      </c>
      <c r="I82" s="205">
        <f t="shared" si="1"/>
        <v>5.2631578947368418E-2</v>
      </c>
      <c r="J82" s="217" t="s">
        <v>134</v>
      </c>
      <c r="K82" s="204"/>
    </row>
    <row r="83" spans="1:11" s="197" customFormat="1" ht="32">
      <c r="A83" s="198" t="s">
        <v>1385</v>
      </c>
      <c r="B83" s="199" t="s">
        <v>49</v>
      </c>
      <c r="C83" s="199" t="s">
        <v>175</v>
      </c>
      <c r="D83" s="208" t="s">
        <v>202</v>
      </c>
      <c r="E83" s="210" t="s">
        <v>1585</v>
      </c>
      <c r="F83" s="202" t="str">
        <f>VLOOKUP(D83,CSR!$D$4:$E$1180,2,FALSE)</f>
        <v>CSR_40600</v>
      </c>
      <c r="G83" s="203">
        <v>46042</v>
      </c>
      <c r="H83" s="204">
        <v>2</v>
      </c>
      <c r="I83" s="205">
        <f t="shared" si="1"/>
        <v>0.10526315789473684</v>
      </c>
      <c r="J83" s="206" t="s">
        <v>134</v>
      </c>
      <c r="K83" s="204"/>
    </row>
    <row r="84" spans="1:11" s="197" customFormat="1" ht="32">
      <c r="A84" s="198" t="s">
        <v>1546</v>
      </c>
      <c r="B84" s="199" t="s">
        <v>16</v>
      </c>
      <c r="C84" s="199" t="s">
        <v>17</v>
      </c>
      <c r="D84" s="208" t="s">
        <v>131</v>
      </c>
      <c r="E84" s="210" t="s">
        <v>1586</v>
      </c>
      <c r="F84" s="202" t="str">
        <f>VLOOKUP(D84,CSR!$D$4:$E$1180,2,FALSE)</f>
        <v>CSR_10400</v>
      </c>
      <c r="G84" s="203">
        <v>46382</v>
      </c>
      <c r="H84" s="204">
        <v>4</v>
      </c>
      <c r="I84" s="205">
        <f t="shared" si="1"/>
        <v>0.21052631578947367</v>
      </c>
      <c r="J84" s="206" t="s">
        <v>134</v>
      </c>
      <c r="K84" s="204"/>
    </row>
    <row r="85" spans="1:11" s="197" customFormat="1" ht="32">
      <c r="A85" s="198" t="s">
        <v>1546</v>
      </c>
      <c r="B85" s="199" t="s">
        <v>16</v>
      </c>
      <c r="C85" s="199" t="s">
        <v>17</v>
      </c>
      <c r="D85" s="208" t="s">
        <v>690</v>
      </c>
      <c r="E85" s="210" t="s">
        <v>1595</v>
      </c>
      <c r="F85" s="202" t="str">
        <f>VLOOKUP(D85,CSR!$D$4:$E$1180,2,FALSE)</f>
        <v>CSR_11400</v>
      </c>
      <c r="G85" s="203">
        <v>45996</v>
      </c>
      <c r="H85" s="208">
        <v>4</v>
      </c>
      <c r="I85" s="205">
        <f t="shared" si="1"/>
        <v>0.21052631578947367</v>
      </c>
      <c r="J85" s="206" t="s">
        <v>142</v>
      </c>
      <c r="K85" s="204"/>
    </row>
    <row r="86" spans="1:11" s="197" customFormat="1" ht="48">
      <c r="A86" s="198" t="s">
        <v>1385</v>
      </c>
      <c r="B86" s="199" t="s">
        <v>16</v>
      </c>
      <c r="C86" s="199" t="s">
        <v>17</v>
      </c>
      <c r="D86" s="208" t="s">
        <v>690</v>
      </c>
      <c r="E86" s="210" t="s">
        <v>1596</v>
      </c>
      <c r="F86" s="202" t="str">
        <f>VLOOKUP(D86,CSR!$D$4:$E$1180,2,FALSE)</f>
        <v>CSR_11400</v>
      </c>
      <c r="G86" s="203">
        <v>45996</v>
      </c>
      <c r="H86" s="208">
        <v>4</v>
      </c>
      <c r="I86" s="205">
        <f t="shared" si="1"/>
        <v>0.21052631578947367</v>
      </c>
      <c r="J86" s="206" t="s">
        <v>142</v>
      </c>
      <c r="K86" s="204"/>
    </row>
    <row r="87" spans="1:11" s="197" customFormat="1" ht="32">
      <c r="A87" s="198" t="s">
        <v>1546</v>
      </c>
      <c r="B87" s="199" t="s">
        <v>16</v>
      </c>
      <c r="C87" s="199" t="s">
        <v>17</v>
      </c>
      <c r="D87" s="208" t="s">
        <v>690</v>
      </c>
      <c r="E87" s="210" t="s">
        <v>1597</v>
      </c>
      <c r="F87" s="202" t="str">
        <f>VLOOKUP(D87,CSR!$D$4:$E$1180,2,FALSE)</f>
        <v>CSR_11400</v>
      </c>
      <c r="G87" s="203">
        <v>46015</v>
      </c>
      <c r="H87" s="208">
        <v>4</v>
      </c>
      <c r="I87" s="205">
        <f t="shared" si="1"/>
        <v>0.21052631578947367</v>
      </c>
      <c r="J87" s="206" t="s">
        <v>142</v>
      </c>
      <c r="K87" s="204"/>
    </row>
    <row r="88" spans="1:11" s="197" customFormat="1" ht="32">
      <c r="A88" s="198" t="s">
        <v>1546</v>
      </c>
      <c r="B88" s="199" t="s">
        <v>16</v>
      </c>
      <c r="C88" s="199" t="s">
        <v>17</v>
      </c>
      <c r="D88" s="208" t="s">
        <v>690</v>
      </c>
      <c r="E88" s="210" t="s">
        <v>1597</v>
      </c>
      <c r="F88" s="202" t="str">
        <f>VLOOKUP(D88,CSR!$D$4:$E$1180,2,FALSE)</f>
        <v>CSR_11400</v>
      </c>
      <c r="G88" s="203">
        <v>46022</v>
      </c>
      <c r="H88" s="208">
        <v>4</v>
      </c>
      <c r="I88" s="205">
        <f t="shared" si="1"/>
        <v>0.21052631578947367</v>
      </c>
      <c r="J88" s="206" t="s">
        <v>142</v>
      </c>
      <c r="K88" s="204"/>
    </row>
    <row r="89" spans="1:11" s="197" customFormat="1" ht="48">
      <c r="A89" s="198" t="s">
        <v>1385</v>
      </c>
      <c r="B89" s="199" t="s">
        <v>16</v>
      </c>
      <c r="C89" s="199" t="s">
        <v>17</v>
      </c>
      <c r="D89" s="208" t="s">
        <v>703</v>
      </c>
      <c r="E89" s="210" t="s">
        <v>1598</v>
      </c>
      <c r="F89" s="202" t="str">
        <f>VLOOKUP(D89,CSR!$D$4:$E$1180,2,FALSE)</f>
        <v>CSR_11406</v>
      </c>
      <c r="G89" s="203">
        <v>46031</v>
      </c>
      <c r="H89" s="208">
        <v>2</v>
      </c>
      <c r="I89" s="205">
        <f t="shared" si="1"/>
        <v>0.10526315789473684</v>
      </c>
      <c r="J89" s="206" t="s">
        <v>142</v>
      </c>
      <c r="K89" s="204"/>
    </row>
    <row r="90" spans="1:11" s="197" customFormat="1" ht="32">
      <c r="A90" s="198" t="s">
        <v>1385</v>
      </c>
      <c r="B90" s="199" t="s">
        <v>1599</v>
      </c>
      <c r="C90" s="199" t="s">
        <v>1600</v>
      </c>
      <c r="D90" s="200" t="s">
        <v>33</v>
      </c>
      <c r="E90" s="201" t="s">
        <v>1601</v>
      </c>
      <c r="F90" s="202" t="str">
        <f>VLOOKUP(D90,CSR!$D$4:$E$1180,2,FALSE)</f>
        <v>CSR_30200</v>
      </c>
      <c r="G90" s="203">
        <v>46042</v>
      </c>
      <c r="H90" s="208">
        <v>1</v>
      </c>
      <c r="I90" s="205">
        <f t="shared" si="1"/>
        <v>5.2631578947368418E-2</v>
      </c>
      <c r="J90" s="206" t="s">
        <v>142</v>
      </c>
      <c r="K90" s="204"/>
    </row>
    <row r="91" spans="1:11" s="197" customFormat="1" ht="32">
      <c r="A91" s="198" t="s">
        <v>1546</v>
      </c>
      <c r="B91" s="199" t="s">
        <v>16</v>
      </c>
      <c r="C91" s="199" t="s">
        <v>17</v>
      </c>
      <c r="D91" s="208" t="s">
        <v>690</v>
      </c>
      <c r="E91" s="210" t="s">
        <v>1595</v>
      </c>
      <c r="F91" s="202" t="str">
        <f>VLOOKUP(D91,CSR!$D$4:$E$1180,2,FALSE)</f>
        <v>CSR_11400</v>
      </c>
      <c r="G91" s="203">
        <v>45996</v>
      </c>
      <c r="H91" s="208">
        <v>4</v>
      </c>
      <c r="I91" s="205">
        <f t="shared" si="1"/>
        <v>0.21052631578947367</v>
      </c>
      <c r="J91" s="206" t="s">
        <v>839</v>
      </c>
      <c r="K91" s="204"/>
    </row>
    <row r="92" spans="1:11" s="197" customFormat="1" ht="32">
      <c r="A92" s="198" t="s">
        <v>1546</v>
      </c>
      <c r="B92" s="199" t="s">
        <v>16</v>
      </c>
      <c r="C92" s="199" t="s">
        <v>17</v>
      </c>
      <c r="D92" s="208" t="s">
        <v>690</v>
      </c>
      <c r="E92" s="210" t="s">
        <v>1602</v>
      </c>
      <c r="F92" s="202" t="str">
        <f>VLOOKUP(D92,CSR!$D$4:$E$1180,2,FALSE)</f>
        <v>CSR_11400</v>
      </c>
      <c r="G92" s="203">
        <v>46015</v>
      </c>
      <c r="H92" s="208">
        <v>4</v>
      </c>
      <c r="I92" s="205">
        <f t="shared" si="1"/>
        <v>0.21052631578947367</v>
      </c>
      <c r="J92" s="206" t="s">
        <v>839</v>
      </c>
      <c r="K92" s="204"/>
    </row>
    <row r="93" spans="1:11" s="197" customFormat="1" ht="32">
      <c r="A93" s="198" t="s">
        <v>1546</v>
      </c>
      <c r="B93" s="199" t="s">
        <v>16</v>
      </c>
      <c r="C93" s="199" t="s">
        <v>17</v>
      </c>
      <c r="D93" s="208" t="s">
        <v>690</v>
      </c>
      <c r="E93" s="210" t="s">
        <v>1602</v>
      </c>
      <c r="F93" s="202" t="str">
        <f>VLOOKUP(D93,CSR!$D$4:$E$1180,2,FALSE)</f>
        <v>CSR_11400</v>
      </c>
      <c r="G93" s="203">
        <v>46022</v>
      </c>
      <c r="H93" s="208">
        <v>4</v>
      </c>
      <c r="I93" s="205">
        <f t="shared" si="1"/>
        <v>0.21052631578947367</v>
      </c>
      <c r="J93" s="206" t="s">
        <v>839</v>
      </c>
      <c r="K93" s="204"/>
    </row>
    <row r="94" spans="1:11" s="197" customFormat="1" ht="32">
      <c r="A94" s="198" t="s">
        <v>1385</v>
      </c>
      <c r="B94" s="199" t="s">
        <v>16</v>
      </c>
      <c r="C94" s="199" t="s">
        <v>17</v>
      </c>
      <c r="D94" s="208" t="s">
        <v>690</v>
      </c>
      <c r="E94" s="210" t="s">
        <v>1595</v>
      </c>
      <c r="F94" s="202" t="str">
        <f>VLOOKUP(D94,CSR!$D$4:$E$1180,2,FALSE)</f>
        <v>CSR_11400</v>
      </c>
      <c r="G94" s="203">
        <v>46041</v>
      </c>
      <c r="H94" s="208">
        <v>4</v>
      </c>
      <c r="I94" s="205">
        <f t="shared" si="1"/>
        <v>0.21052631578947367</v>
      </c>
      <c r="J94" s="206" t="s">
        <v>839</v>
      </c>
      <c r="K94" s="204"/>
    </row>
    <row r="95" spans="1:11" s="197" customFormat="1" ht="48">
      <c r="A95" s="198" t="s">
        <v>1385</v>
      </c>
      <c r="B95" s="199" t="s">
        <v>16</v>
      </c>
      <c r="C95" s="199" t="s">
        <v>17</v>
      </c>
      <c r="D95" s="208" t="s">
        <v>690</v>
      </c>
      <c r="E95" s="210" t="s">
        <v>1603</v>
      </c>
      <c r="F95" s="202" t="str">
        <f>VLOOKUP(D95,CSR!$D$4:$E$1180,2,FALSE)</f>
        <v>CSR_11400</v>
      </c>
      <c r="G95" s="203">
        <v>46042</v>
      </c>
      <c r="H95" s="208">
        <v>3</v>
      </c>
      <c r="I95" s="205">
        <f t="shared" si="1"/>
        <v>0.15789473684210525</v>
      </c>
      <c r="J95" s="206" t="s">
        <v>839</v>
      </c>
      <c r="K95" s="204"/>
    </row>
    <row r="96" spans="1:11" s="197" customFormat="1" ht="32">
      <c r="A96" s="198" t="s">
        <v>1385</v>
      </c>
      <c r="B96" s="198" t="s">
        <v>31</v>
      </c>
      <c r="C96" s="198" t="s">
        <v>32</v>
      </c>
      <c r="D96" s="200" t="s">
        <v>157</v>
      </c>
      <c r="E96" s="210" t="s">
        <v>842</v>
      </c>
      <c r="F96" s="202" t="str">
        <f>VLOOKUP(D96,CSR!$D$4:$E$1180,2,FALSE)</f>
        <v>CSR_30600</v>
      </c>
      <c r="G96" s="203">
        <v>46024</v>
      </c>
      <c r="H96" s="204">
        <v>4</v>
      </c>
      <c r="I96" s="205">
        <f t="shared" si="1"/>
        <v>0.21052631578947367</v>
      </c>
      <c r="J96" s="206" t="s">
        <v>1604</v>
      </c>
      <c r="K96" s="204"/>
    </row>
    <row r="97" spans="1:11" s="197" customFormat="1" ht="32">
      <c r="A97" s="198" t="s">
        <v>1385</v>
      </c>
      <c r="B97" s="198" t="s">
        <v>31</v>
      </c>
      <c r="C97" s="198" t="s">
        <v>32</v>
      </c>
      <c r="D97" s="200" t="s">
        <v>157</v>
      </c>
      <c r="E97" s="210" t="s">
        <v>842</v>
      </c>
      <c r="F97" s="202" t="str">
        <f>VLOOKUP(D97,CSR!$D$4:$E$1180,2,FALSE)</f>
        <v>CSR_30600</v>
      </c>
      <c r="G97" s="203">
        <v>46031</v>
      </c>
      <c r="H97" s="204">
        <v>5</v>
      </c>
      <c r="I97" s="205">
        <f t="shared" si="1"/>
        <v>0.26315789473684209</v>
      </c>
      <c r="J97" s="206" t="s">
        <v>1604</v>
      </c>
      <c r="K97" s="204"/>
    </row>
    <row r="98" spans="1:11" s="197" customFormat="1" ht="32">
      <c r="A98" s="198" t="s">
        <v>1385</v>
      </c>
      <c r="B98" s="198" t="s">
        <v>31</v>
      </c>
      <c r="C98" s="198" t="s">
        <v>32</v>
      </c>
      <c r="D98" s="200" t="s">
        <v>157</v>
      </c>
      <c r="E98" s="210" t="s">
        <v>842</v>
      </c>
      <c r="F98" s="202" t="str">
        <f>VLOOKUP(D98,CSR!$D$4:$E$1180,2,FALSE)</f>
        <v>CSR_30600</v>
      </c>
      <c r="G98" s="203">
        <v>46038</v>
      </c>
      <c r="H98" s="204">
        <v>5</v>
      </c>
      <c r="I98" s="205">
        <f t="shared" si="1"/>
        <v>0.26315789473684209</v>
      </c>
      <c r="J98" s="206" t="s">
        <v>1604</v>
      </c>
      <c r="K98" s="204"/>
    </row>
    <row r="99" spans="1:11" s="197" customFormat="1" ht="32">
      <c r="A99" s="198" t="s">
        <v>1385</v>
      </c>
      <c r="B99" s="198" t="s">
        <v>31</v>
      </c>
      <c r="C99" s="198" t="s">
        <v>32</v>
      </c>
      <c r="D99" s="200" t="s">
        <v>157</v>
      </c>
      <c r="E99" s="210" t="s">
        <v>842</v>
      </c>
      <c r="F99" s="202" t="str">
        <f>VLOOKUP(D99,CSR!$D$4:$E$1180,2,FALSE)</f>
        <v>CSR_30600</v>
      </c>
      <c r="G99" s="203">
        <v>46042</v>
      </c>
      <c r="H99" s="204">
        <v>1</v>
      </c>
      <c r="I99" s="205">
        <f t="shared" si="1"/>
        <v>5.2631578947368418E-2</v>
      </c>
      <c r="J99" s="206" t="s">
        <v>1604</v>
      </c>
      <c r="K99" s="204"/>
    </row>
    <row r="100" spans="1:11" s="197" customFormat="1" ht="32">
      <c r="A100" s="198" t="s">
        <v>1546</v>
      </c>
      <c r="B100" s="198" t="s">
        <v>31</v>
      </c>
      <c r="C100" s="198" t="s">
        <v>32</v>
      </c>
      <c r="D100" s="200" t="s">
        <v>157</v>
      </c>
      <c r="E100" s="210" t="s">
        <v>842</v>
      </c>
      <c r="F100" s="202" t="str">
        <f>VLOOKUP(D100,CSR!$D$4:$E$1180,2,FALSE)</f>
        <v>CSR_30600</v>
      </c>
      <c r="G100" s="203">
        <v>46382</v>
      </c>
      <c r="H100" s="204">
        <v>4</v>
      </c>
      <c r="I100" s="205">
        <f t="shared" si="1"/>
        <v>0.21052631578947367</v>
      </c>
      <c r="J100" s="206" t="s">
        <v>1604</v>
      </c>
      <c r="K100" s="204"/>
    </row>
    <row r="101" spans="1:11" s="197" customFormat="1" ht="32">
      <c r="A101" s="198" t="s">
        <v>1385</v>
      </c>
      <c r="B101" s="198" t="s">
        <v>31</v>
      </c>
      <c r="C101" s="198" t="s">
        <v>32</v>
      </c>
      <c r="D101" s="200" t="s">
        <v>157</v>
      </c>
      <c r="E101" s="210" t="s">
        <v>842</v>
      </c>
      <c r="F101" s="202" t="str">
        <f>VLOOKUP(D101,CSR!$D$4:$E$1180,2,FALSE)</f>
        <v>CSR_30600</v>
      </c>
      <c r="G101" s="203">
        <v>46024</v>
      </c>
      <c r="H101" s="204">
        <v>4</v>
      </c>
      <c r="I101" s="205">
        <f t="shared" si="1"/>
        <v>0.21052631578947367</v>
      </c>
      <c r="J101" s="206" t="s">
        <v>843</v>
      </c>
      <c r="K101" s="204"/>
    </row>
    <row r="102" spans="1:11" s="197" customFormat="1" ht="32">
      <c r="A102" s="198" t="s">
        <v>1385</v>
      </c>
      <c r="B102" s="198" t="s">
        <v>31</v>
      </c>
      <c r="C102" s="198" t="s">
        <v>32</v>
      </c>
      <c r="D102" s="200" t="s">
        <v>157</v>
      </c>
      <c r="E102" s="210" t="s">
        <v>842</v>
      </c>
      <c r="F102" s="202" t="str">
        <f>VLOOKUP(D102,CSR!$D$4:$E$1180,2,FALSE)</f>
        <v>CSR_30600</v>
      </c>
      <c r="G102" s="203">
        <v>46031</v>
      </c>
      <c r="H102" s="204">
        <v>5</v>
      </c>
      <c r="I102" s="205">
        <f t="shared" si="1"/>
        <v>0.26315789473684209</v>
      </c>
      <c r="J102" s="206" t="s">
        <v>843</v>
      </c>
      <c r="K102" s="204"/>
    </row>
    <row r="103" spans="1:11" s="197" customFormat="1" ht="32">
      <c r="A103" s="198" t="s">
        <v>1385</v>
      </c>
      <c r="B103" s="198" t="s">
        <v>31</v>
      </c>
      <c r="C103" s="198" t="s">
        <v>32</v>
      </c>
      <c r="D103" s="200" t="s">
        <v>157</v>
      </c>
      <c r="E103" s="210" t="s">
        <v>842</v>
      </c>
      <c r="F103" s="202" t="str">
        <f>VLOOKUP(D103,CSR!$D$4:$E$1180,2,FALSE)</f>
        <v>CSR_30600</v>
      </c>
      <c r="G103" s="203">
        <v>46038</v>
      </c>
      <c r="H103" s="204">
        <v>5</v>
      </c>
      <c r="I103" s="205">
        <f t="shared" si="1"/>
        <v>0.26315789473684209</v>
      </c>
      <c r="J103" s="206" t="s">
        <v>843</v>
      </c>
      <c r="K103" s="204"/>
    </row>
    <row r="104" spans="1:11" s="197" customFormat="1" ht="32">
      <c r="A104" s="198" t="s">
        <v>1385</v>
      </c>
      <c r="B104" s="198" t="s">
        <v>31</v>
      </c>
      <c r="C104" s="198" t="s">
        <v>32</v>
      </c>
      <c r="D104" s="200" t="s">
        <v>157</v>
      </c>
      <c r="E104" s="210" t="s">
        <v>842</v>
      </c>
      <c r="F104" s="202" t="str">
        <f>VLOOKUP(D104,CSR!$D$4:$E$1180,2,FALSE)</f>
        <v>CSR_30600</v>
      </c>
      <c r="G104" s="203">
        <v>46042</v>
      </c>
      <c r="H104" s="204">
        <v>1</v>
      </c>
      <c r="I104" s="205">
        <f t="shared" si="1"/>
        <v>5.2631578947368418E-2</v>
      </c>
      <c r="J104" s="206" t="s">
        <v>843</v>
      </c>
      <c r="K104" s="204"/>
    </row>
    <row r="105" spans="1:11" s="197" customFormat="1" ht="32">
      <c r="A105" s="198" t="s">
        <v>1546</v>
      </c>
      <c r="B105" s="198" t="s">
        <v>31</v>
      </c>
      <c r="C105" s="198" t="s">
        <v>32</v>
      </c>
      <c r="D105" s="200" t="s">
        <v>157</v>
      </c>
      <c r="E105" s="210" t="s">
        <v>842</v>
      </c>
      <c r="F105" s="202" t="str">
        <f>VLOOKUP(D105,CSR!$D$4:$E$1180,2,FALSE)</f>
        <v>CSR_30600</v>
      </c>
      <c r="G105" s="203">
        <v>46382</v>
      </c>
      <c r="H105" s="204">
        <v>4</v>
      </c>
      <c r="I105" s="205">
        <f t="shared" si="1"/>
        <v>0.21052631578947367</v>
      </c>
      <c r="J105" s="206" t="s">
        <v>843</v>
      </c>
      <c r="K105" s="204"/>
    </row>
    <row r="106" spans="1:11" s="197" customFormat="1" ht="32">
      <c r="A106" s="198" t="s">
        <v>1385</v>
      </c>
      <c r="B106" s="213" t="s">
        <v>775</v>
      </c>
      <c r="C106" s="213" t="s">
        <v>175</v>
      </c>
      <c r="D106" s="204" t="s">
        <v>786</v>
      </c>
      <c r="E106" s="227" t="s">
        <v>1605</v>
      </c>
      <c r="F106" s="202" t="str">
        <f>VLOOKUP(D106,CSR!$D$4:$E$1180,2,FALSE)</f>
        <v>CSR_40500</v>
      </c>
      <c r="G106" s="203">
        <v>46028</v>
      </c>
      <c r="H106" s="204">
        <v>1</v>
      </c>
      <c r="I106" s="205">
        <f t="shared" si="1"/>
        <v>5.2631578947368418E-2</v>
      </c>
      <c r="J106" s="206" t="s">
        <v>1020</v>
      </c>
      <c r="K106" s="204"/>
    </row>
    <row r="107" spans="1:11" s="197" customFormat="1" ht="32">
      <c r="A107" s="198" t="s">
        <v>1385</v>
      </c>
      <c r="B107" s="213" t="s">
        <v>775</v>
      </c>
      <c r="C107" s="213" t="s">
        <v>175</v>
      </c>
      <c r="D107" s="204" t="s">
        <v>786</v>
      </c>
      <c r="E107" s="201" t="s">
        <v>1606</v>
      </c>
      <c r="F107" s="202" t="str">
        <f>VLOOKUP(D107,CSR!$D$4:$E$1180,2,FALSE)</f>
        <v>CSR_40500</v>
      </c>
      <c r="G107" s="203">
        <v>46034</v>
      </c>
      <c r="H107" s="204">
        <v>1</v>
      </c>
      <c r="I107" s="205">
        <f t="shared" si="1"/>
        <v>5.2631578947368418E-2</v>
      </c>
      <c r="J107" s="206" t="s">
        <v>1020</v>
      </c>
      <c r="K107" s="204"/>
    </row>
    <row r="108" spans="1:11" s="197" customFormat="1" ht="48">
      <c r="A108" s="198" t="s">
        <v>1385</v>
      </c>
      <c r="B108" s="213" t="s">
        <v>775</v>
      </c>
      <c r="C108" s="213" t="s">
        <v>175</v>
      </c>
      <c r="D108" s="208" t="s">
        <v>784</v>
      </c>
      <c r="E108" s="210" t="s">
        <v>1607</v>
      </c>
      <c r="F108" s="202" t="str">
        <f>VLOOKUP(D108,CSR!$D$4:$E$1180,2,FALSE)</f>
        <v>CSR_40300</v>
      </c>
      <c r="G108" s="203">
        <v>46035</v>
      </c>
      <c r="H108" s="204">
        <v>2</v>
      </c>
      <c r="I108" s="205">
        <f t="shared" si="1"/>
        <v>0.10526315789473684</v>
      </c>
      <c r="J108" s="206" t="s">
        <v>1020</v>
      </c>
      <c r="K108" s="204"/>
    </row>
    <row r="109" spans="1:11" s="197" customFormat="1" ht="48">
      <c r="A109" s="198" t="s">
        <v>1385</v>
      </c>
      <c r="B109" s="213" t="s">
        <v>775</v>
      </c>
      <c r="C109" s="213" t="s">
        <v>175</v>
      </c>
      <c r="D109" s="215" t="s">
        <v>785</v>
      </c>
      <c r="E109" s="210" t="s">
        <v>1608</v>
      </c>
      <c r="F109" s="202" t="str">
        <f>VLOOKUP(D109,CSR!$D$4:$E$1180,2,FALSE)</f>
        <v>CSR_40400</v>
      </c>
      <c r="G109" s="203">
        <v>46037</v>
      </c>
      <c r="H109" s="204">
        <v>2</v>
      </c>
      <c r="I109" s="205">
        <f t="shared" si="1"/>
        <v>0.10526315789473684</v>
      </c>
      <c r="J109" s="206" t="s">
        <v>1020</v>
      </c>
      <c r="K109" s="204"/>
    </row>
    <row r="110" spans="1:11" s="197" customFormat="1" ht="48">
      <c r="A110" s="198" t="s">
        <v>1385</v>
      </c>
      <c r="B110" s="213" t="s">
        <v>775</v>
      </c>
      <c r="C110" s="213" t="s">
        <v>175</v>
      </c>
      <c r="D110" s="215" t="s">
        <v>785</v>
      </c>
      <c r="E110" s="218" t="s">
        <v>1609</v>
      </c>
      <c r="F110" s="202" t="str">
        <f>VLOOKUP(D110,CSR!$D$4:$E$1180,2,FALSE)</f>
        <v>CSR_40400</v>
      </c>
      <c r="G110" s="203">
        <v>46037</v>
      </c>
      <c r="H110" s="204">
        <v>3</v>
      </c>
      <c r="I110" s="205">
        <f t="shared" si="1"/>
        <v>0.15789473684210525</v>
      </c>
      <c r="J110" s="206" t="s">
        <v>1020</v>
      </c>
      <c r="K110" s="208"/>
    </row>
    <row r="111" spans="1:11" s="197" customFormat="1" ht="48">
      <c r="A111" s="198" t="s">
        <v>1385</v>
      </c>
      <c r="B111" s="213" t="s">
        <v>775</v>
      </c>
      <c r="C111" s="213" t="s">
        <v>175</v>
      </c>
      <c r="D111" s="215" t="s">
        <v>785</v>
      </c>
      <c r="E111" s="210" t="s">
        <v>1610</v>
      </c>
      <c r="F111" s="202" t="str">
        <f>VLOOKUP(D111,CSR!$D$4:$E$1180,2,FALSE)</f>
        <v>CSR_40400</v>
      </c>
      <c r="G111" s="203">
        <v>46037</v>
      </c>
      <c r="H111" s="204">
        <v>3</v>
      </c>
      <c r="I111" s="205">
        <f t="shared" si="1"/>
        <v>0.15789473684210525</v>
      </c>
      <c r="J111" s="206" t="s">
        <v>1020</v>
      </c>
      <c r="K111" s="204"/>
    </row>
    <row r="112" spans="1:11" s="197" customFormat="1" ht="48">
      <c r="A112" s="198" t="s">
        <v>1385</v>
      </c>
      <c r="B112" s="213" t="s">
        <v>775</v>
      </c>
      <c r="C112" s="213" t="s">
        <v>175</v>
      </c>
      <c r="D112" s="204" t="s">
        <v>786</v>
      </c>
      <c r="E112" s="210" t="s">
        <v>1611</v>
      </c>
      <c r="F112" s="202" t="str">
        <f>VLOOKUP(D112,CSR!$D$4:$E$1180,2,FALSE)</f>
        <v>CSR_40500</v>
      </c>
      <c r="G112" s="203">
        <v>46041</v>
      </c>
      <c r="H112" s="204">
        <v>1</v>
      </c>
      <c r="I112" s="205">
        <f t="shared" si="1"/>
        <v>5.2631578947368418E-2</v>
      </c>
      <c r="J112" s="206" t="s">
        <v>1020</v>
      </c>
      <c r="K112" s="218"/>
    </row>
    <row r="113" spans="1:11" s="197" customFormat="1" ht="64">
      <c r="A113" s="198" t="s">
        <v>1385</v>
      </c>
      <c r="B113" s="199" t="s">
        <v>31</v>
      </c>
      <c r="C113" s="199" t="s">
        <v>759</v>
      </c>
      <c r="D113" s="200" t="s">
        <v>764</v>
      </c>
      <c r="E113" s="227" t="s">
        <v>1612</v>
      </c>
      <c r="F113" s="202" t="str">
        <f>VLOOKUP(D113,CSR!$D$4:$E$1180,2,FALSE)</f>
        <v>CSR_30200</v>
      </c>
      <c r="G113" s="203">
        <v>46042</v>
      </c>
      <c r="H113" s="204">
        <v>0.5</v>
      </c>
      <c r="I113" s="205">
        <f t="shared" si="1"/>
        <v>2.6315789473684209E-2</v>
      </c>
      <c r="J113" s="206" t="s">
        <v>1020</v>
      </c>
      <c r="K113" s="208"/>
    </row>
    <row r="114" spans="1:11" s="197" customFormat="1" ht="32">
      <c r="A114" s="198" t="s">
        <v>1385</v>
      </c>
      <c r="B114" s="213" t="s">
        <v>775</v>
      </c>
      <c r="C114" s="213" t="s">
        <v>175</v>
      </c>
      <c r="D114" s="215" t="s">
        <v>785</v>
      </c>
      <c r="E114" s="210" t="s">
        <v>1613</v>
      </c>
      <c r="F114" s="202" t="str">
        <f>VLOOKUP(D114,CSR!$D$4:$E$1180,2,FALSE)</f>
        <v>CSR_40400</v>
      </c>
      <c r="G114" s="203">
        <v>46042</v>
      </c>
      <c r="H114" s="204">
        <v>1</v>
      </c>
      <c r="I114" s="205">
        <f t="shared" si="1"/>
        <v>5.2631578947368418E-2</v>
      </c>
      <c r="J114" s="206" t="s">
        <v>1020</v>
      </c>
      <c r="K114" s="204"/>
    </row>
    <row r="115" spans="1:11" s="197" customFormat="1" ht="32">
      <c r="A115" s="198" t="s">
        <v>1385</v>
      </c>
      <c r="B115" s="213" t="s">
        <v>775</v>
      </c>
      <c r="C115" s="213" t="s">
        <v>175</v>
      </c>
      <c r="D115" s="215" t="s">
        <v>785</v>
      </c>
      <c r="E115" s="218" t="s">
        <v>1614</v>
      </c>
      <c r="F115" s="202" t="str">
        <f>VLOOKUP(D115,CSR!$D$4:$E$1180,2,FALSE)</f>
        <v>CSR_40400</v>
      </c>
      <c r="G115" s="203">
        <v>46042</v>
      </c>
      <c r="H115" s="204">
        <v>1</v>
      </c>
      <c r="I115" s="205">
        <f t="shared" si="1"/>
        <v>5.2631578947368418E-2</v>
      </c>
      <c r="J115" s="206" t="s">
        <v>1020</v>
      </c>
      <c r="K115" s="218"/>
    </row>
    <row r="116" spans="1:11" s="197" customFormat="1" ht="48">
      <c r="A116" s="198" t="s">
        <v>1385</v>
      </c>
      <c r="B116" s="213" t="s">
        <v>775</v>
      </c>
      <c r="C116" s="213" t="s">
        <v>175</v>
      </c>
      <c r="D116" s="200" t="s">
        <v>788</v>
      </c>
      <c r="E116" s="201" t="s">
        <v>1615</v>
      </c>
      <c r="F116" s="202" t="str">
        <f>VLOOKUP(D116,CSR!$D$4:$E$1180,2,FALSE)</f>
        <v>CSR_40600</v>
      </c>
      <c r="G116" s="203">
        <v>46042</v>
      </c>
      <c r="H116" s="204">
        <v>0.5</v>
      </c>
      <c r="I116" s="205">
        <f t="shared" si="1"/>
        <v>2.6315789473684209E-2</v>
      </c>
      <c r="J116" s="206" t="s">
        <v>1020</v>
      </c>
      <c r="K116" s="204"/>
    </row>
    <row r="117" spans="1:11" s="197" customFormat="1" ht="48">
      <c r="A117" s="198" t="s">
        <v>1385</v>
      </c>
      <c r="B117" s="213" t="s">
        <v>775</v>
      </c>
      <c r="C117" s="213" t="s">
        <v>175</v>
      </c>
      <c r="D117" s="214" t="s">
        <v>789</v>
      </c>
      <c r="E117" s="210" t="s">
        <v>1616</v>
      </c>
      <c r="F117" s="202" t="str">
        <f>VLOOKUP(D117,CSR!$D$4:$E$1180,2,FALSE)</f>
        <v>CSR_40700</v>
      </c>
      <c r="G117" s="203">
        <v>46042</v>
      </c>
      <c r="H117" s="204">
        <v>3</v>
      </c>
      <c r="I117" s="205">
        <f t="shared" si="1"/>
        <v>0.15789473684210525</v>
      </c>
      <c r="J117" s="206" t="s">
        <v>1020</v>
      </c>
      <c r="K117" s="204"/>
    </row>
    <row r="118" spans="1:11" s="197" customFormat="1" ht="80">
      <c r="A118" s="198" t="s">
        <v>1385</v>
      </c>
      <c r="B118" s="199" t="s">
        <v>16</v>
      </c>
      <c r="C118" s="199" t="s">
        <v>17</v>
      </c>
      <c r="D118" s="200" t="s">
        <v>131</v>
      </c>
      <c r="E118" s="201" t="s">
        <v>1617</v>
      </c>
      <c r="F118" s="202" t="str">
        <f>VLOOKUP(D118,CSR!$D$4:$E$1180,2,FALSE)</f>
        <v>CSR_10400</v>
      </c>
      <c r="G118" s="203">
        <v>46024</v>
      </c>
      <c r="H118" s="208">
        <v>3</v>
      </c>
      <c r="I118" s="241">
        <f t="shared" si="1"/>
        <v>0.15789473684210525</v>
      </c>
      <c r="J118" s="217" t="s">
        <v>1036</v>
      </c>
      <c r="K118" s="204"/>
    </row>
    <row r="119" spans="1:11" s="197" customFormat="1" ht="16">
      <c r="A119" s="198" t="s">
        <v>1385</v>
      </c>
      <c r="B119" s="199" t="s">
        <v>16</v>
      </c>
      <c r="C119" s="199" t="s">
        <v>17</v>
      </c>
      <c r="D119" s="200" t="s">
        <v>131</v>
      </c>
      <c r="E119" s="201" t="s">
        <v>1618</v>
      </c>
      <c r="F119" s="202" t="str">
        <f>VLOOKUP(D119,CSR!$D$4:$E$1180,2,FALSE)</f>
        <v>CSR_10400</v>
      </c>
      <c r="G119" s="203">
        <v>46024</v>
      </c>
      <c r="H119" s="204">
        <v>0.5</v>
      </c>
      <c r="I119" s="241">
        <f t="shared" si="1"/>
        <v>2.6315789473684209E-2</v>
      </c>
      <c r="J119" s="217" t="s">
        <v>1036</v>
      </c>
      <c r="K119" s="204"/>
    </row>
    <row r="120" spans="1:11" s="197" customFormat="1" ht="16">
      <c r="A120" s="198" t="s">
        <v>1385</v>
      </c>
      <c r="B120" s="199" t="s">
        <v>49</v>
      </c>
      <c r="C120" s="199" t="s">
        <v>50</v>
      </c>
      <c r="D120" s="207" t="s">
        <v>662</v>
      </c>
      <c r="E120" s="201" t="s">
        <v>1619</v>
      </c>
      <c r="F120" s="202" t="str">
        <f>VLOOKUP(D120,CSR!$D$4:$E$1180,2,FALSE)</f>
        <v>CSR_11306</v>
      </c>
      <c r="G120" s="203">
        <v>46024</v>
      </c>
      <c r="H120" s="208">
        <v>0.5</v>
      </c>
      <c r="I120" s="241">
        <f t="shared" si="1"/>
        <v>2.6315789473684209E-2</v>
      </c>
      <c r="J120" s="217" t="s">
        <v>1036</v>
      </c>
      <c r="K120" s="204"/>
    </row>
    <row r="121" spans="1:11" s="197" customFormat="1" ht="80">
      <c r="A121" s="198" t="s">
        <v>1385</v>
      </c>
      <c r="B121" s="199" t="s">
        <v>16</v>
      </c>
      <c r="C121" s="199" t="s">
        <v>17</v>
      </c>
      <c r="D121" s="204" t="s">
        <v>635</v>
      </c>
      <c r="E121" s="201" t="s">
        <v>1620</v>
      </c>
      <c r="F121" s="202" t="str">
        <f>VLOOKUP(D121,CSR!$D$4:$E$1180,2,FALSE)</f>
        <v>CSR_10800</v>
      </c>
      <c r="G121" s="203">
        <v>46031</v>
      </c>
      <c r="H121" s="204">
        <v>2</v>
      </c>
      <c r="I121" s="241">
        <f t="shared" si="1"/>
        <v>0.10526315789473684</v>
      </c>
      <c r="J121" s="217" t="s">
        <v>1036</v>
      </c>
      <c r="K121" s="204"/>
    </row>
    <row r="122" spans="1:11" s="197" customFormat="1" ht="32">
      <c r="A122" s="198" t="s">
        <v>1385</v>
      </c>
      <c r="B122" s="199" t="s">
        <v>758</v>
      </c>
      <c r="C122" s="198" t="s">
        <v>32</v>
      </c>
      <c r="D122" s="207" t="s">
        <v>762</v>
      </c>
      <c r="E122" s="204" t="s">
        <v>1621</v>
      </c>
      <c r="F122" s="202" t="str">
        <f>VLOOKUP(D122,CSR!$D$4:$E$1180,2,FALSE)</f>
        <v>CSR_30100</v>
      </c>
      <c r="G122" s="203">
        <v>46031</v>
      </c>
      <c r="H122" s="204">
        <v>0.5</v>
      </c>
      <c r="I122" s="240">
        <f t="shared" si="1"/>
        <v>2.6315789473684209E-2</v>
      </c>
      <c r="J122" s="217" t="s">
        <v>1036</v>
      </c>
      <c r="K122" s="204"/>
    </row>
    <row r="123" spans="1:11" s="197" customFormat="1" ht="48">
      <c r="A123" s="198" t="s">
        <v>1546</v>
      </c>
      <c r="B123" s="199" t="s">
        <v>49</v>
      </c>
      <c r="C123" s="199" t="s">
        <v>50</v>
      </c>
      <c r="D123" s="207" t="s">
        <v>1273</v>
      </c>
      <c r="E123" s="201" t="s">
        <v>1622</v>
      </c>
      <c r="F123" s="202" t="e">
        <f>VLOOKUP(D123,CSR!$D$4:$E$1180,2,FALSE)</f>
        <v>#N/A</v>
      </c>
      <c r="G123" s="203">
        <v>46031</v>
      </c>
      <c r="H123" s="204">
        <v>1</v>
      </c>
      <c r="I123" s="241">
        <f t="shared" si="1"/>
        <v>5.2631578947368418E-2</v>
      </c>
      <c r="J123" s="217" t="s">
        <v>1036</v>
      </c>
      <c r="K123" s="204"/>
    </row>
    <row r="124" spans="1:11" s="197" customFormat="1" ht="48">
      <c r="A124" s="198" t="s">
        <v>1385</v>
      </c>
      <c r="B124" s="199" t="s">
        <v>16</v>
      </c>
      <c r="C124" s="199" t="s">
        <v>17</v>
      </c>
      <c r="D124" s="204" t="s">
        <v>635</v>
      </c>
      <c r="E124" s="201" t="s">
        <v>1623</v>
      </c>
      <c r="F124" s="202" t="str">
        <f>VLOOKUP(D124,CSR!$D$4:$E$1180,2,FALSE)</f>
        <v>CSR_10800</v>
      </c>
      <c r="G124" s="203">
        <v>46038</v>
      </c>
      <c r="H124" s="204">
        <v>2</v>
      </c>
      <c r="I124" s="241">
        <f t="shared" si="1"/>
        <v>0.10526315789473684</v>
      </c>
      <c r="J124" s="217" t="s">
        <v>1036</v>
      </c>
      <c r="K124" s="217"/>
    </row>
    <row r="125" spans="1:11" s="197" customFormat="1" ht="48">
      <c r="A125" s="198" t="s">
        <v>1385</v>
      </c>
      <c r="B125" s="199" t="s">
        <v>16</v>
      </c>
      <c r="C125" s="199" t="s">
        <v>17</v>
      </c>
      <c r="D125" s="204" t="s">
        <v>635</v>
      </c>
      <c r="E125" s="201" t="s">
        <v>1624</v>
      </c>
      <c r="F125" s="202" t="str">
        <f>VLOOKUP(D125,CSR!$D$4:$E$1180,2,FALSE)</f>
        <v>CSR_10800</v>
      </c>
      <c r="G125" s="203">
        <v>46038</v>
      </c>
      <c r="H125" s="204">
        <v>2</v>
      </c>
      <c r="I125" s="241">
        <f t="shared" si="1"/>
        <v>0.10526315789473684</v>
      </c>
      <c r="J125" s="217" t="s">
        <v>1036</v>
      </c>
      <c r="K125" s="204"/>
    </row>
    <row r="126" spans="1:11" s="197" customFormat="1" ht="32">
      <c r="A126" s="198" t="s">
        <v>1385</v>
      </c>
      <c r="B126" s="199" t="s">
        <v>758</v>
      </c>
      <c r="C126" s="198" t="s">
        <v>32</v>
      </c>
      <c r="D126" s="207" t="s">
        <v>762</v>
      </c>
      <c r="E126" s="218" t="s">
        <v>1625</v>
      </c>
      <c r="F126" s="202" t="str">
        <f>VLOOKUP(D126,CSR!$D$4:$E$1180,2,FALSE)</f>
        <v>CSR_30100</v>
      </c>
      <c r="G126" s="203">
        <v>46038</v>
      </c>
      <c r="H126" s="204">
        <v>1</v>
      </c>
      <c r="I126" s="240">
        <f t="shared" si="1"/>
        <v>5.2631578947368418E-2</v>
      </c>
      <c r="J126" s="217" t="s">
        <v>1036</v>
      </c>
      <c r="K126" s="204"/>
    </row>
    <row r="127" spans="1:11" s="197" customFormat="1" ht="64">
      <c r="A127" s="198" t="s">
        <v>1385</v>
      </c>
      <c r="B127" s="199" t="s">
        <v>758</v>
      </c>
      <c r="C127" s="198" t="s">
        <v>32</v>
      </c>
      <c r="D127" s="200" t="s">
        <v>33</v>
      </c>
      <c r="E127" s="210" t="s">
        <v>1626</v>
      </c>
      <c r="F127" s="202" t="str">
        <f>VLOOKUP(D127,CSR!$D$4:$E$1180,2,FALSE)</f>
        <v>CSR_30200</v>
      </c>
      <c r="G127" s="203" t="s">
        <v>1627</v>
      </c>
      <c r="H127" s="204">
        <v>2</v>
      </c>
      <c r="I127" s="240">
        <f t="shared" si="1"/>
        <v>0.10526315789473684</v>
      </c>
      <c r="J127" s="217" t="s">
        <v>1036</v>
      </c>
      <c r="K127" s="204"/>
    </row>
    <row r="128" spans="1:11" s="197" customFormat="1" ht="32">
      <c r="A128" s="216" t="s">
        <v>1546</v>
      </c>
      <c r="B128" s="213" t="s">
        <v>70</v>
      </c>
      <c r="C128" s="213" t="s">
        <v>245</v>
      </c>
      <c r="D128" s="214" t="s">
        <v>255</v>
      </c>
      <c r="E128" s="214" t="s">
        <v>1628</v>
      </c>
      <c r="F128" s="202" t="str">
        <f>VLOOKUP(D128,CSR!$D$4:$E$1180,2,FALSE)</f>
        <v>CSR_20100</v>
      </c>
      <c r="G128" s="225" t="s">
        <v>1629</v>
      </c>
      <c r="H128" s="212">
        <v>0.5</v>
      </c>
      <c r="I128" s="245">
        <f t="shared" si="1"/>
        <v>2.6315789473684209E-2</v>
      </c>
      <c r="J128" s="211" t="s">
        <v>852</v>
      </c>
      <c r="K128" s="204"/>
    </row>
    <row r="129" spans="1:11" s="197" customFormat="1" ht="64">
      <c r="A129" s="216" t="s">
        <v>1630</v>
      </c>
      <c r="B129" s="216" t="s">
        <v>70</v>
      </c>
      <c r="C129" s="216" t="s">
        <v>245</v>
      </c>
      <c r="D129" s="248" t="s">
        <v>1631</v>
      </c>
      <c r="E129" s="226" t="s">
        <v>1632</v>
      </c>
      <c r="F129" s="202" t="str">
        <f>VLOOKUP(D129,CSR!$D$4:$E$1180,2,FALSE)</f>
        <v>CSR_20002</v>
      </c>
      <c r="G129" s="225" t="s">
        <v>1633</v>
      </c>
      <c r="H129" s="212">
        <v>1</v>
      </c>
      <c r="I129" s="245">
        <f t="shared" si="1"/>
        <v>5.2631578947368418E-2</v>
      </c>
      <c r="J129" s="211" t="s">
        <v>852</v>
      </c>
      <c r="K129" s="204"/>
    </row>
    <row r="130" spans="1:11" s="197" customFormat="1" ht="32">
      <c r="A130" s="198" t="s">
        <v>1483</v>
      </c>
      <c r="B130" s="199" t="s">
        <v>70</v>
      </c>
      <c r="C130" s="199" t="s">
        <v>245</v>
      </c>
      <c r="D130" s="208" t="s">
        <v>255</v>
      </c>
      <c r="E130" s="210" t="s">
        <v>1634</v>
      </c>
      <c r="F130" s="202" t="str">
        <f>VLOOKUP(D130,CSR!$D$4:$E$1180,2,FALSE)</f>
        <v>CSR_20100</v>
      </c>
      <c r="G130" s="203" t="s">
        <v>1635</v>
      </c>
      <c r="H130" s="204">
        <v>0.5</v>
      </c>
      <c r="I130" s="205">
        <f t="shared" ref="I130:I193" si="2">H130*10/190</f>
        <v>2.6315789473684209E-2</v>
      </c>
      <c r="J130" s="211" t="s">
        <v>852</v>
      </c>
      <c r="K130" s="204"/>
    </row>
    <row r="131" spans="1:11" s="197" customFormat="1" ht="32">
      <c r="A131" s="216" t="s">
        <v>1385</v>
      </c>
      <c r="B131" s="213" t="s">
        <v>70</v>
      </c>
      <c r="C131" s="216" t="s">
        <v>71</v>
      </c>
      <c r="D131" s="248" t="s">
        <v>754</v>
      </c>
      <c r="E131" s="214" t="s">
        <v>1636</v>
      </c>
      <c r="F131" s="202" t="str">
        <f>VLOOKUP(D131,CSR!$D$4:$E$1180,2,FALSE)</f>
        <v>CSR_20200</v>
      </c>
      <c r="G131" s="225" t="s">
        <v>1635</v>
      </c>
      <c r="H131" s="212">
        <v>0.5</v>
      </c>
      <c r="I131" s="245">
        <f t="shared" si="2"/>
        <v>2.6315789473684209E-2</v>
      </c>
      <c r="J131" s="211" t="s">
        <v>852</v>
      </c>
      <c r="K131" s="204"/>
    </row>
    <row r="132" spans="1:11" s="197" customFormat="1" ht="64">
      <c r="A132" s="216" t="s">
        <v>1385</v>
      </c>
      <c r="B132" s="213" t="s">
        <v>16</v>
      </c>
      <c r="C132" s="213" t="s">
        <v>17</v>
      </c>
      <c r="D132" s="248" t="s">
        <v>262</v>
      </c>
      <c r="E132" s="226" t="s">
        <v>1637</v>
      </c>
      <c r="F132" s="202" t="str">
        <f>VLOOKUP(D132,CSR!$D$4:$E$1180,2,FALSE)</f>
        <v>CSR_11100</v>
      </c>
      <c r="G132" s="225" t="s">
        <v>1627</v>
      </c>
      <c r="H132" s="212">
        <v>2</v>
      </c>
      <c r="I132" s="245">
        <f t="shared" si="2"/>
        <v>0.10526315789473684</v>
      </c>
      <c r="J132" s="211" t="s">
        <v>852</v>
      </c>
      <c r="K132" s="204"/>
    </row>
    <row r="133" spans="1:11" s="197" customFormat="1" ht="64">
      <c r="A133" s="216" t="s">
        <v>1385</v>
      </c>
      <c r="B133" s="213" t="s">
        <v>70</v>
      </c>
      <c r="C133" s="213" t="s">
        <v>245</v>
      </c>
      <c r="D133" s="248" t="s">
        <v>1475</v>
      </c>
      <c r="E133" s="226" t="s">
        <v>1638</v>
      </c>
      <c r="F133" s="202" t="str">
        <f>VLOOKUP(D133,CSR!$D$4:$E$1180,2,FALSE)</f>
        <v>CSR_20003</v>
      </c>
      <c r="G133" s="225" t="s">
        <v>1627</v>
      </c>
      <c r="H133" s="212">
        <v>1</v>
      </c>
      <c r="I133" s="245">
        <f t="shared" si="2"/>
        <v>5.2631578947368418E-2</v>
      </c>
      <c r="J133" s="211" t="s">
        <v>852</v>
      </c>
      <c r="K133" s="204"/>
    </row>
    <row r="134" spans="1:11" s="197" customFormat="1" ht="96">
      <c r="A134" s="216" t="s">
        <v>1385</v>
      </c>
      <c r="B134" s="213" t="s">
        <v>70</v>
      </c>
      <c r="C134" s="213" t="s">
        <v>245</v>
      </c>
      <c r="D134" s="248" t="s">
        <v>743</v>
      </c>
      <c r="E134" s="226" t="s">
        <v>1639</v>
      </c>
      <c r="F134" s="202" t="str">
        <f>VLOOKUP(D134,CSR!$D$4:$E$1180,2,FALSE)</f>
        <v>CSR_20005</v>
      </c>
      <c r="G134" s="225" t="s">
        <v>1627</v>
      </c>
      <c r="H134" s="212">
        <v>2</v>
      </c>
      <c r="I134" s="245">
        <f t="shared" si="2"/>
        <v>0.10526315789473684</v>
      </c>
      <c r="J134" s="211" t="s">
        <v>852</v>
      </c>
      <c r="K134" s="218"/>
    </row>
    <row r="135" spans="1:11" s="197" customFormat="1" ht="48">
      <c r="A135" s="198" t="s">
        <v>1385</v>
      </c>
      <c r="B135" s="199" t="s">
        <v>70</v>
      </c>
      <c r="C135" s="199" t="s">
        <v>245</v>
      </c>
      <c r="D135" s="208" t="s">
        <v>255</v>
      </c>
      <c r="E135" s="210" t="s">
        <v>1640</v>
      </c>
      <c r="F135" s="202" t="str">
        <f>VLOOKUP(D135,CSR!$D$4:$E$1180,2,FALSE)</f>
        <v>CSR_20100</v>
      </c>
      <c r="G135" s="203" t="s">
        <v>1627</v>
      </c>
      <c r="H135" s="204">
        <v>1</v>
      </c>
      <c r="I135" s="205">
        <f t="shared" si="2"/>
        <v>5.2631578947368418E-2</v>
      </c>
      <c r="J135" s="211" t="s">
        <v>852</v>
      </c>
      <c r="K135" s="204"/>
    </row>
    <row r="136" spans="1:11" s="197" customFormat="1" ht="64">
      <c r="A136" s="216" t="s">
        <v>1385</v>
      </c>
      <c r="B136" s="213" t="s">
        <v>70</v>
      </c>
      <c r="C136" s="213" t="s">
        <v>71</v>
      </c>
      <c r="D136" s="248" t="s">
        <v>266</v>
      </c>
      <c r="E136" s="214" t="s">
        <v>1641</v>
      </c>
      <c r="F136" s="202" t="str">
        <f>VLOOKUP(D136,CSR!$D$4:$E$1180,2,FALSE)</f>
        <v>CSR_20200</v>
      </c>
      <c r="G136" s="225" t="s">
        <v>1627</v>
      </c>
      <c r="H136" s="212">
        <v>1.5</v>
      </c>
      <c r="I136" s="245">
        <f t="shared" si="2"/>
        <v>7.8947368421052627E-2</v>
      </c>
      <c r="J136" s="211" t="s">
        <v>852</v>
      </c>
      <c r="K136" s="204"/>
    </row>
    <row r="137" spans="1:11" s="197" customFormat="1" ht="64">
      <c r="A137" s="216" t="s">
        <v>1385</v>
      </c>
      <c r="B137" s="213" t="s">
        <v>70</v>
      </c>
      <c r="C137" s="213" t="s">
        <v>71</v>
      </c>
      <c r="D137" s="248" t="s">
        <v>252</v>
      </c>
      <c r="E137" s="249" t="s">
        <v>1642</v>
      </c>
      <c r="F137" s="202" t="str">
        <f>VLOOKUP(D137,CSR!$D$4:$E$1180,2,FALSE)</f>
        <v>CSR_20300</v>
      </c>
      <c r="G137" s="225" t="s">
        <v>1627</v>
      </c>
      <c r="H137" s="212">
        <v>1.5</v>
      </c>
      <c r="I137" s="245">
        <f t="shared" si="2"/>
        <v>7.8947368421052627E-2</v>
      </c>
      <c r="J137" s="211" t="s">
        <v>852</v>
      </c>
      <c r="K137" s="204"/>
    </row>
    <row r="138" spans="1:11" s="197" customFormat="1" ht="64">
      <c r="A138" s="216" t="s">
        <v>1385</v>
      </c>
      <c r="B138" s="213" t="s">
        <v>31</v>
      </c>
      <c r="C138" s="213" t="s">
        <v>32</v>
      </c>
      <c r="D138" s="248" t="s">
        <v>259</v>
      </c>
      <c r="E138" s="214" t="s">
        <v>1643</v>
      </c>
      <c r="F138" s="202" t="str">
        <f>VLOOKUP(D138,CSR!$D$4:$E$1180,2,FALSE)</f>
        <v>CSR_30100</v>
      </c>
      <c r="G138" s="225" t="s">
        <v>1627</v>
      </c>
      <c r="H138" s="212">
        <v>2</v>
      </c>
      <c r="I138" s="245">
        <f t="shared" si="2"/>
        <v>0.10526315789473684</v>
      </c>
      <c r="J138" s="211" t="s">
        <v>852</v>
      </c>
      <c r="K138" s="204"/>
    </row>
    <row r="139" spans="1:11" s="197" customFormat="1" ht="32">
      <c r="A139" s="216" t="s">
        <v>1385</v>
      </c>
      <c r="B139" s="213" t="s">
        <v>31</v>
      </c>
      <c r="C139" s="213" t="s">
        <v>32</v>
      </c>
      <c r="D139" s="248" t="s">
        <v>33</v>
      </c>
      <c r="E139" s="226" t="s">
        <v>1644</v>
      </c>
      <c r="F139" s="202" t="str">
        <f>VLOOKUP(D139,CSR!$D$4:$E$1180,2,FALSE)</f>
        <v>CSR_30200</v>
      </c>
      <c r="G139" s="225" t="s">
        <v>1645</v>
      </c>
      <c r="H139" s="212">
        <v>0.5</v>
      </c>
      <c r="I139" s="245">
        <f t="shared" si="2"/>
        <v>2.6315789473684209E-2</v>
      </c>
      <c r="J139" s="211" t="s">
        <v>852</v>
      </c>
      <c r="K139" s="204"/>
    </row>
    <row r="140" spans="1:11" s="197" customFormat="1" ht="32">
      <c r="A140" s="216" t="s">
        <v>1385</v>
      </c>
      <c r="B140" s="213" t="s">
        <v>31</v>
      </c>
      <c r="C140" s="213" t="s">
        <v>32</v>
      </c>
      <c r="D140" s="218" t="s">
        <v>33</v>
      </c>
      <c r="E140" s="218" t="s">
        <v>1646</v>
      </c>
      <c r="F140" s="202" t="str">
        <f>VLOOKUP(D140,CSR!$D$4:$E$1180,2,FALSE)</f>
        <v>CSR_30200</v>
      </c>
      <c r="G140" s="203" t="s">
        <v>1647</v>
      </c>
      <c r="H140" s="204">
        <v>0.5</v>
      </c>
      <c r="I140" s="205">
        <f t="shared" si="2"/>
        <v>2.6315789473684209E-2</v>
      </c>
      <c r="J140" s="211" t="s">
        <v>852</v>
      </c>
      <c r="K140" s="204"/>
    </row>
    <row r="141" spans="1:11" s="197" customFormat="1" ht="32">
      <c r="A141" s="216" t="s">
        <v>1385</v>
      </c>
      <c r="B141" s="213" t="s">
        <v>70</v>
      </c>
      <c r="C141" s="213" t="s">
        <v>245</v>
      </c>
      <c r="D141" s="215" t="s">
        <v>246</v>
      </c>
      <c r="E141" s="226" t="s">
        <v>1648</v>
      </c>
      <c r="F141" s="202" t="str">
        <f>VLOOKUP(D141,CSR!$D$4:$E$1180,2,FALSE)</f>
        <v>CSR_20000</v>
      </c>
      <c r="G141" s="225" t="s">
        <v>1649</v>
      </c>
      <c r="H141" s="212">
        <v>2</v>
      </c>
      <c r="I141" s="245">
        <f t="shared" si="2"/>
        <v>0.10526315789473684</v>
      </c>
      <c r="J141" s="211" t="s">
        <v>852</v>
      </c>
      <c r="K141" s="204"/>
    </row>
    <row r="142" spans="1:11" s="197" customFormat="1" ht="32">
      <c r="A142" s="216" t="s">
        <v>1385</v>
      </c>
      <c r="B142" s="213" t="s">
        <v>70</v>
      </c>
      <c r="C142" s="213" t="s">
        <v>245</v>
      </c>
      <c r="D142" s="248" t="s">
        <v>246</v>
      </c>
      <c r="E142" s="226" t="s">
        <v>1650</v>
      </c>
      <c r="F142" s="202" t="str">
        <f>VLOOKUP(D142,CSR!$D$4:$E$1180,2,FALSE)</f>
        <v>CSR_20000</v>
      </c>
      <c r="G142" s="225" t="s">
        <v>1649</v>
      </c>
      <c r="H142" s="212">
        <v>1.5</v>
      </c>
      <c r="I142" s="245">
        <f t="shared" si="2"/>
        <v>7.8947368421052627E-2</v>
      </c>
      <c r="J142" s="211" t="s">
        <v>852</v>
      </c>
      <c r="K142" s="204"/>
    </row>
    <row r="143" spans="1:11" s="197" customFormat="1" ht="32">
      <c r="A143" s="216" t="s">
        <v>1385</v>
      </c>
      <c r="B143" s="213" t="s">
        <v>31</v>
      </c>
      <c r="C143" s="213" t="s">
        <v>32</v>
      </c>
      <c r="D143" s="215" t="s">
        <v>33</v>
      </c>
      <c r="E143" s="226" t="s">
        <v>1651</v>
      </c>
      <c r="F143" s="202" t="str">
        <f>VLOOKUP(D143,CSR!$D$4:$E$1180,2,FALSE)</f>
        <v>CSR_30200</v>
      </c>
      <c r="G143" s="225" t="s">
        <v>1649</v>
      </c>
      <c r="H143" s="212">
        <v>1</v>
      </c>
      <c r="I143" s="245">
        <f t="shared" si="2"/>
        <v>5.2631578947368418E-2</v>
      </c>
      <c r="J143" s="211" t="s">
        <v>852</v>
      </c>
      <c r="K143" s="204"/>
    </row>
    <row r="144" spans="1:11" s="197" customFormat="1" ht="144">
      <c r="A144" s="198" t="s">
        <v>1385</v>
      </c>
      <c r="B144" s="199" t="s">
        <v>758</v>
      </c>
      <c r="C144" s="199" t="s">
        <v>759</v>
      </c>
      <c r="D144" s="200" t="s">
        <v>760</v>
      </c>
      <c r="E144" s="201" t="s">
        <v>1652</v>
      </c>
      <c r="F144" s="202" t="str">
        <f>VLOOKUP(D144,CSR!$D$4:$E$1180,2,FALSE)</f>
        <v>CSR_30000</v>
      </c>
      <c r="G144" s="203">
        <v>46042</v>
      </c>
      <c r="H144" s="204">
        <v>3</v>
      </c>
      <c r="I144" s="205">
        <f t="shared" si="2"/>
        <v>0.15789473684210525</v>
      </c>
      <c r="J144" s="198" t="s">
        <v>285</v>
      </c>
      <c r="K144" s="204"/>
    </row>
    <row r="145" spans="1:11" s="197" customFormat="1" ht="32">
      <c r="A145" s="198" t="s">
        <v>1385</v>
      </c>
      <c r="B145" s="199" t="s">
        <v>758</v>
      </c>
      <c r="C145" s="199" t="s">
        <v>759</v>
      </c>
      <c r="D145" s="200" t="s">
        <v>760</v>
      </c>
      <c r="E145" s="201" t="s">
        <v>1486</v>
      </c>
      <c r="F145" s="202" t="str">
        <f>VLOOKUP(D145,CSR!$D$4:$E$1180,2,FALSE)</f>
        <v>CSR_30000</v>
      </c>
      <c r="G145" s="203">
        <v>46042</v>
      </c>
      <c r="H145" s="204">
        <v>3</v>
      </c>
      <c r="I145" s="205">
        <f t="shared" si="2"/>
        <v>0.15789473684210525</v>
      </c>
      <c r="J145" s="198" t="s">
        <v>285</v>
      </c>
      <c r="K145" s="204"/>
    </row>
    <row r="146" spans="1:11" s="197" customFormat="1" ht="80">
      <c r="A146" s="198" t="s">
        <v>1385</v>
      </c>
      <c r="B146" s="199" t="s">
        <v>775</v>
      </c>
      <c r="C146" s="199" t="s">
        <v>792</v>
      </c>
      <c r="D146" s="204" t="s">
        <v>799</v>
      </c>
      <c r="E146" s="210" t="s">
        <v>1653</v>
      </c>
      <c r="F146" s="202" t="str">
        <f>VLOOKUP(D146,CSR!$D$4:$E$1180,2,FALSE)</f>
        <v>CSR_41101</v>
      </c>
      <c r="G146" s="203">
        <v>46042</v>
      </c>
      <c r="H146" s="204">
        <v>4</v>
      </c>
      <c r="I146" s="205">
        <f t="shared" si="2"/>
        <v>0.21052631578947367</v>
      </c>
      <c r="J146" s="198" t="s">
        <v>285</v>
      </c>
      <c r="K146" s="204"/>
    </row>
    <row r="147" spans="1:11" s="197" customFormat="1" ht="80">
      <c r="A147" s="198" t="s">
        <v>1385</v>
      </c>
      <c r="B147" s="199" t="s">
        <v>775</v>
      </c>
      <c r="C147" s="199" t="s">
        <v>792</v>
      </c>
      <c r="D147" s="204" t="s">
        <v>801</v>
      </c>
      <c r="E147" s="210" t="s">
        <v>1654</v>
      </c>
      <c r="F147" s="202" t="str">
        <f>VLOOKUP(D147,CSR!$D$4:$E$1180,2,FALSE)</f>
        <v>CSR_41102</v>
      </c>
      <c r="G147" s="203">
        <v>46042</v>
      </c>
      <c r="H147" s="204">
        <v>4</v>
      </c>
      <c r="I147" s="205">
        <f t="shared" si="2"/>
        <v>0.21052631578947367</v>
      </c>
      <c r="J147" s="198" t="s">
        <v>285</v>
      </c>
      <c r="K147" s="204"/>
    </row>
    <row r="148" spans="1:11" s="197" customFormat="1" ht="32">
      <c r="A148" s="198" t="s">
        <v>1546</v>
      </c>
      <c r="B148" s="211" t="s">
        <v>758</v>
      </c>
      <c r="C148" s="211" t="s">
        <v>759</v>
      </c>
      <c r="D148" s="207" t="s">
        <v>651</v>
      </c>
      <c r="E148" s="218" t="s">
        <v>1655</v>
      </c>
      <c r="F148" s="202" t="str">
        <f>VLOOKUP(D148,CSR!$D$4:$E$1180,2,FALSE)</f>
        <v>CSR_11302</v>
      </c>
      <c r="G148" s="203">
        <v>46387</v>
      </c>
      <c r="H148" s="204">
        <v>2</v>
      </c>
      <c r="I148" s="205">
        <f t="shared" si="2"/>
        <v>0.10526315789473684</v>
      </c>
      <c r="J148" s="198" t="s">
        <v>285</v>
      </c>
      <c r="K148" s="204"/>
    </row>
    <row r="149" spans="1:11" s="197" customFormat="1" ht="16">
      <c r="A149" s="216" t="s">
        <v>1546</v>
      </c>
      <c r="B149" s="199" t="s">
        <v>16</v>
      </c>
      <c r="C149" s="199" t="s">
        <v>17</v>
      </c>
      <c r="D149" s="200" t="s">
        <v>131</v>
      </c>
      <c r="E149" s="201" t="s">
        <v>1656</v>
      </c>
      <c r="F149" s="202" t="str">
        <f>VLOOKUP(D149,CSR!$D$4:$E$1180,2,FALSE)</f>
        <v>CSR_10400</v>
      </c>
      <c r="G149" s="225" t="s">
        <v>1657</v>
      </c>
      <c r="H149" s="212">
        <v>4</v>
      </c>
      <c r="I149" s="245">
        <f t="shared" si="2"/>
        <v>0.21052631578947367</v>
      </c>
      <c r="J149" s="211" t="s">
        <v>1081</v>
      </c>
      <c r="K149" s="204"/>
    </row>
    <row r="150" spans="1:11" s="197" customFormat="1" ht="16">
      <c r="A150" s="216" t="s">
        <v>1546</v>
      </c>
      <c r="B150" s="198" t="s">
        <v>16</v>
      </c>
      <c r="C150" s="198" t="s">
        <v>17</v>
      </c>
      <c r="D150" s="200" t="s">
        <v>65</v>
      </c>
      <c r="E150" s="201" t="s">
        <v>1492</v>
      </c>
      <c r="F150" s="202" t="str">
        <f>VLOOKUP(D150,CSR!$D$4:$E$1180,2,FALSE)</f>
        <v>CSR_10800</v>
      </c>
      <c r="G150" s="225" t="s">
        <v>1658</v>
      </c>
      <c r="H150" s="212">
        <v>4</v>
      </c>
      <c r="I150" s="245">
        <f t="shared" si="2"/>
        <v>0.21052631578947367</v>
      </c>
      <c r="J150" s="211" t="s">
        <v>1081</v>
      </c>
      <c r="K150" s="204"/>
    </row>
    <row r="151" spans="1:11" s="197" customFormat="1" ht="16">
      <c r="A151" s="250" t="s">
        <v>1385</v>
      </c>
      <c r="B151" s="251" t="s">
        <v>49</v>
      </c>
      <c r="C151" s="251" t="s">
        <v>50</v>
      </c>
      <c r="D151" s="252" t="s">
        <v>662</v>
      </c>
      <c r="E151" s="253" t="s">
        <v>1659</v>
      </c>
      <c r="F151" s="202" t="str">
        <f>VLOOKUP(D151,CSR!$D$4:$E$1180,2,FALSE)</f>
        <v>CSR_11306</v>
      </c>
      <c r="G151" s="225" t="s">
        <v>1635</v>
      </c>
      <c r="H151" s="212">
        <v>1</v>
      </c>
      <c r="I151" s="245">
        <f t="shared" si="2"/>
        <v>5.2631578947368418E-2</v>
      </c>
      <c r="J151" s="211" t="s">
        <v>1081</v>
      </c>
      <c r="K151" s="204"/>
    </row>
    <row r="152" spans="1:11" s="197" customFormat="1" ht="16">
      <c r="A152" s="250" t="s">
        <v>1385</v>
      </c>
      <c r="B152" s="199" t="s">
        <v>16</v>
      </c>
      <c r="C152" s="199" t="s">
        <v>17</v>
      </c>
      <c r="D152" s="200" t="s">
        <v>131</v>
      </c>
      <c r="E152" s="201" t="s">
        <v>1656</v>
      </c>
      <c r="F152" s="202" t="str">
        <f>VLOOKUP(D152,CSR!$D$4:$E$1180,2,FALSE)</f>
        <v>CSR_10400</v>
      </c>
      <c r="G152" s="225" t="s">
        <v>1660</v>
      </c>
      <c r="H152" s="212">
        <v>3</v>
      </c>
      <c r="I152" s="245">
        <f t="shared" si="2"/>
        <v>0.15789473684210525</v>
      </c>
      <c r="J152" s="211" t="s">
        <v>1081</v>
      </c>
      <c r="K152" s="204"/>
    </row>
    <row r="153" spans="1:11" s="197" customFormat="1" ht="16">
      <c r="A153" s="250" t="s">
        <v>1385</v>
      </c>
      <c r="B153" s="198" t="s">
        <v>16</v>
      </c>
      <c r="C153" s="198" t="s">
        <v>17</v>
      </c>
      <c r="D153" s="200" t="s">
        <v>65</v>
      </c>
      <c r="E153" s="201" t="s">
        <v>1661</v>
      </c>
      <c r="F153" s="202" t="str">
        <f>VLOOKUP(D153,CSR!$D$4:$E$1180,2,FALSE)</f>
        <v>CSR_10800</v>
      </c>
      <c r="G153" s="225" t="s">
        <v>1627</v>
      </c>
      <c r="H153" s="212">
        <v>4</v>
      </c>
      <c r="I153" s="245">
        <f t="shared" si="2"/>
        <v>0.21052631578947367</v>
      </c>
      <c r="J153" s="211" t="s">
        <v>1081</v>
      </c>
      <c r="K153" s="204"/>
    </row>
    <row r="154" spans="1:11" s="197" customFormat="1" ht="16">
      <c r="A154" s="250" t="s">
        <v>1385</v>
      </c>
      <c r="B154" s="251" t="s">
        <v>49</v>
      </c>
      <c r="C154" s="251" t="s">
        <v>50</v>
      </c>
      <c r="D154" s="252" t="s">
        <v>662</v>
      </c>
      <c r="E154" s="253" t="s">
        <v>1662</v>
      </c>
      <c r="F154" s="202" t="str">
        <f>VLOOKUP(D154,CSR!$D$4:$E$1180,2,FALSE)</f>
        <v>CSR_11306</v>
      </c>
      <c r="G154" s="225" t="s">
        <v>1645</v>
      </c>
      <c r="H154" s="212">
        <v>3</v>
      </c>
      <c r="I154" s="245">
        <f t="shared" si="2"/>
        <v>0.15789473684210525</v>
      </c>
      <c r="J154" s="211" t="s">
        <v>1081</v>
      </c>
      <c r="K154" s="204"/>
    </row>
    <row r="155" spans="1:11" s="197" customFormat="1" ht="32">
      <c r="A155" s="250" t="s">
        <v>1385</v>
      </c>
      <c r="B155" s="251" t="s">
        <v>70</v>
      </c>
      <c r="C155" s="251" t="s">
        <v>71</v>
      </c>
      <c r="D155" s="254" t="s">
        <v>266</v>
      </c>
      <c r="E155" s="255" t="s">
        <v>1663</v>
      </c>
      <c r="F155" s="202" t="str">
        <f>VLOOKUP(D155,CSR!$D$4:$E$1180,2,FALSE)</f>
        <v>CSR_20200</v>
      </c>
      <c r="G155" s="225" t="s">
        <v>1664</v>
      </c>
      <c r="H155" s="212">
        <v>3</v>
      </c>
      <c r="I155" s="245">
        <f t="shared" si="2"/>
        <v>0.15789473684210525</v>
      </c>
      <c r="J155" s="211" t="s">
        <v>1098</v>
      </c>
      <c r="K155" s="204"/>
    </row>
    <row r="156" spans="1:11" s="197" customFormat="1" ht="32">
      <c r="A156" s="250" t="s">
        <v>1385</v>
      </c>
      <c r="B156" s="251" t="s">
        <v>16</v>
      </c>
      <c r="C156" s="251" t="s">
        <v>17</v>
      </c>
      <c r="D156" s="254" t="s">
        <v>262</v>
      </c>
      <c r="E156" s="256" t="s">
        <v>1665</v>
      </c>
      <c r="F156" s="202" t="str">
        <f>VLOOKUP(D156,CSR!$D$4:$E$1180,2,FALSE)</f>
        <v>CSR_11100</v>
      </c>
      <c r="G156" s="225" t="s">
        <v>1660</v>
      </c>
      <c r="H156" s="212">
        <v>3</v>
      </c>
      <c r="I156" s="245">
        <f t="shared" si="2"/>
        <v>0.15789473684210525</v>
      </c>
      <c r="J156" s="211" t="s">
        <v>1098</v>
      </c>
      <c r="K156" s="204"/>
    </row>
    <row r="157" spans="1:11" s="197" customFormat="1" ht="32">
      <c r="A157" s="250" t="s">
        <v>1385</v>
      </c>
      <c r="B157" s="199" t="s">
        <v>31</v>
      </c>
      <c r="C157" s="199" t="s">
        <v>759</v>
      </c>
      <c r="D157" s="254" t="s">
        <v>764</v>
      </c>
      <c r="E157" s="256" t="s">
        <v>1666</v>
      </c>
      <c r="F157" s="202" t="str">
        <f>VLOOKUP(D157,CSR!$D$4:$E$1180,2,FALSE)</f>
        <v>CSR_30200</v>
      </c>
      <c r="G157" s="225" t="s">
        <v>1660</v>
      </c>
      <c r="H157" s="212">
        <v>0.5</v>
      </c>
      <c r="I157" s="205">
        <f t="shared" si="2"/>
        <v>2.6315789473684209E-2</v>
      </c>
      <c r="J157" s="211" t="s">
        <v>1098</v>
      </c>
      <c r="K157" s="204"/>
    </row>
    <row r="158" spans="1:11" s="197" customFormat="1" ht="32">
      <c r="A158" s="250" t="s">
        <v>1385</v>
      </c>
      <c r="B158" s="199" t="s">
        <v>31</v>
      </c>
      <c r="C158" s="199" t="s">
        <v>759</v>
      </c>
      <c r="D158" s="254" t="s">
        <v>764</v>
      </c>
      <c r="E158" s="255" t="s">
        <v>1667</v>
      </c>
      <c r="F158" s="202" t="str">
        <f>VLOOKUP(D158,CSR!$D$4:$E$1180,2,FALSE)</f>
        <v>CSR_30200</v>
      </c>
      <c r="G158" s="225" t="s">
        <v>1668</v>
      </c>
      <c r="H158" s="212">
        <v>1.5</v>
      </c>
      <c r="I158" s="205">
        <f t="shared" si="2"/>
        <v>7.8947368421052627E-2</v>
      </c>
      <c r="J158" s="211" t="s">
        <v>1098</v>
      </c>
      <c r="K158" s="204"/>
    </row>
    <row r="159" spans="1:11" s="197" customFormat="1" ht="16">
      <c r="A159" s="250" t="s">
        <v>1385</v>
      </c>
      <c r="B159" s="251" t="s">
        <v>70</v>
      </c>
      <c r="C159" s="251" t="s">
        <v>245</v>
      </c>
      <c r="D159" s="254" t="s">
        <v>743</v>
      </c>
      <c r="E159" s="256" t="s">
        <v>1669</v>
      </c>
      <c r="F159" s="202" t="str">
        <f>VLOOKUP(D159,CSR!$D$4:$E$1180,2,FALSE)</f>
        <v>CSR_20005</v>
      </c>
      <c r="G159" s="225" t="s">
        <v>1670</v>
      </c>
      <c r="H159" s="212">
        <v>3</v>
      </c>
      <c r="I159" s="245">
        <f t="shared" si="2"/>
        <v>0.15789473684210525</v>
      </c>
      <c r="J159" s="211" t="s">
        <v>1098</v>
      </c>
      <c r="K159" s="204"/>
    </row>
    <row r="160" spans="1:11" s="197" customFormat="1" ht="16">
      <c r="A160" s="250" t="s">
        <v>1385</v>
      </c>
      <c r="B160" s="251" t="s">
        <v>775</v>
      </c>
      <c r="C160" s="251" t="s">
        <v>175</v>
      </c>
      <c r="D160" s="257" t="s">
        <v>786</v>
      </c>
      <c r="E160" s="252" t="s">
        <v>1671</v>
      </c>
      <c r="F160" s="202" t="str">
        <f>VLOOKUP(D160,CSR!$D$4:$E$1180,2,FALSE)</f>
        <v>CSR_40500</v>
      </c>
      <c r="G160" s="225" t="s">
        <v>1645</v>
      </c>
      <c r="H160" s="212">
        <v>3</v>
      </c>
      <c r="I160" s="245">
        <f t="shared" si="2"/>
        <v>0.15789473684210525</v>
      </c>
      <c r="J160" s="211" t="s">
        <v>1098</v>
      </c>
      <c r="K160" s="204"/>
    </row>
    <row r="161" spans="1:11" s="197" customFormat="1" ht="16">
      <c r="A161" s="250" t="s">
        <v>1385</v>
      </c>
      <c r="B161" s="251" t="s">
        <v>70</v>
      </c>
      <c r="C161" s="251" t="s">
        <v>245</v>
      </c>
      <c r="D161" s="254" t="s">
        <v>743</v>
      </c>
      <c r="E161" s="256" t="s">
        <v>1672</v>
      </c>
      <c r="F161" s="202" t="str">
        <f>VLOOKUP(D161,CSR!$D$4:$E$1180,2,FALSE)</f>
        <v>CSR_20005</v>
      </c>
      <c r="G161" s="225" t="s">
        <v>1647</v>
      </c>
      <c r="H161" s="212">
        <v>2</v>
      </c>
      <c r="I161" s="245">
        <f t="shared" si="2"/>
        <v>0.10526315789473684</v>
      </c>
      <c r="J161" s="211" t="s">
        <v>1098</v>
      </c>
      <c r="K161" s="204"/>
    </row>
    <row r="162" spans="1:11" s="197" customFormat="1" ht="32">
      <c r="A162" s="250" t="s">
        <v>1385</v>
      </c>
      <c r="B162" s="251" t="s">
        <v>70</v>
      </c>
      <c r="C162" s="251" t="s">
        <v>245</v>
      </c>
      <c r="D162" s="254" t="s">
        <v>1475</v>
      </c>
      <c r="E162" s="256" t="s">
        <v>1673</v>
      </c>
      <c r="F162" s="202" t="str">
        <f>VLOOKUP(D162,CSR!$D$4:$E$1180,2,FALSE)</f>
        <v>CSR_20003</v>
      </c>
      <c r="G162" s="225" t="s">
        <v>1674</v>
      </c>
      <c r="H162" s="212">
        <v>2</v>
      </c>
      <c r="I162" s="205">
        <f t="shared" si="2"/>
        <v>0.10526315789473684</v>
      </c>
      <c r="J162" s="211" t="s">
        <v>1098</v>
      </c>
      <c r="K162" s="204"/>
    </row>
    <row r="163" spans="1:11" s="197" customFormat="1" ht="32">
      <c r="A163" s="198" t="s">
        <v>1385</v>
      </c>
      <c r="B163" s="199" t="s">
        <v>758</v>
      </c>
      <c r="C163" s="198" t="s">
        <v>32</v>
      </c>
      <c r="D163" s="208" t="s">
        <v>880</v>
      </c>
      <c r="E163" s="218" t="s">
        <v>842</v>
      </c>
      <c r="F163" s="202" t="str">
        <f>VLOOKUP(D163,CSR!$D$4:$E$1180,2,FALSE)</f>
        <v>CSR_30600</v>
      </c>
      <c r="G163" s="203">
        <v>46042</v>
      </c>
      <c r="H163" s="208">
        <v>5</v>
      </c>
      <c r="I163" s="205">
        <f t="shared" si="2"/>
        <v>0.26315789473684209</v>
      </c>
      <c r="J163" s="199" t="s">
        <v>881</v>
      </c>
      <c r="K163" s="204"/>
    </row>
    <row r="164" spans="1:11" s="197" customFormat="1" ht="32">
      <c r="A164" s="198" t="s">
        <v>1385</v>
      </c>
      <c r="B164" s="199" t="s">
        <v>16</v>
      </c>
      <c r="C164" s="199" t="s">
        <v>17</v>
      </c>
      <c r="D164" s="208" t="s">
        <v>131</v>
      </c>
      <c r="E164" s="210" t="s">
        <v>1675</v>
      </c>
      <c r="F164" s="202" t="str">
        <f>VLOOKUP(D164,CSR!$D$4:$E$1180,2,FALSE)</f>
        <v>CSR_10400</v>
      </c>
      <c r="G164" s="203">
        <v>46024</v>
      </c>
      <c r="H164" s="204">
        <v>2</v>
      </c>
      <c r="I164" s="205">
        <f t="shared" si="2"/>
        <v>0.10526315789473684</v>
      </c>
      <c r="J164" s="199" t="s">
        <v>324</v>
      </c>
      <c r="K164" s="204"/>
    </row>
    <row r="165" spans="1:11" s="197" customFormat="1" ht="48">
      <c r="A165" s="198" t="s">
        <v>1385</v>
      </c>
      <c r="B165" s="199" t="s">
        <v>49</v>
      </c>
      <c r="C165" s="199" t="s">
        <v>175</v>
      </c>
      <c r="D165" s="200" t="s">
        <v>191</v>
      </c>
      <c r="E165" s="210" t="s">
        <v>1676</v>
      </c>
      <c r="F165" s="202" t="str">
        <f>VLOOKUP(D165,CSR!$D$4:$E$1180,2,FALSE)</f>
        <v>CSR_40300</v>
      </c>
      <c r="G165" s="203">
        <v>46024</v>
      </c>
      <c r="H165" s="204">
        <v>2</v>
      </c>
      <c r="I165" s="205">
        <f t="shared" si="2"/>
        <v>0.10526315789473684</v>
      </c>
      <c r="J165" s="199" t="s">
        <v>324</v>
      </c>
      <c r="K165" s="204"/>
    </row>
    <row r="166" spans="1:11" s="197" customFormat="1" ht="32">
      <c r="A166" s="198" t="s">
        <v>1385</v>
      </c>
      <c r="B166" s="198" t="s">
        <v>70</v>
      </c>
      <c r="C166" s="199" t="s">
        <v>71</v>
      </c>
      <c r="D166" s="208" t="s">
        <v>266</v>
      </c>
      <c r="E166" s="210" t="s">
        <v>1677</v>
      </c>
      <c r="F166" s="202" t="str">
        <f>VLOOKUP(D166,CSR!$D$4:$E$1180,2,FALSE)</f>
        <v>CSR_20200</v>
      </c>
      <c r="G166" s="203">
        <v>46031</v>
      </c>
      <c r="H166" s="204">
        <v>2</v>
      </c>
      <c r="I166" s="205">
        <f t="shared" si="2"/>
        <v>0.10526315789473684</v>
      </c>
      <c r="J166" s="206" t="s">
        <v>324</v>
      </c>
      <c r="K166" s="212"/>
    </row>
    <row r="167" spans="1:11" s="197" customFormat="1" ht="48">
      <c r="A167" s="198" t="s">
        <v>1385</v>
      </c>
      <c r="B167" s="199" t="s">
        <v>49</v>
      </c>
      <c r="C167" s="199" t="s">
        <v>175</v>
      </c>
      <c r="D167" s="200" t="s">
        <v>191</v>
      </c>
      <c r="E167" s="210" t="s">
        <v>1676</v>
      </c>
      <c r="F167" s="202" t="str">
        <f>VLOOKUP(D167,CSR!$D$4:$E$1180,2,FALSE)</f>
        <v>CSR_40300</v>
      </c>
      <c r="G167" s="203">
        <v>46031</v>
      </c>
      <c r="H167" s="204">
        <v>2</v>
      </c>
      <c r="I167" s="205">
        <f t="shared" si="2"/>
        <v>0.10526315789473684</v>
      </c>
      <c r="J167" s="199" t="s">
        <v>324</v>
      </c>
      <c r="K167" s="204"/>
    </row>
    <row r="168" spans="1:11" s="197" customFormat="1" ht="32">
      <c r="A168" s="198" t="s">
        <v>1385</v>
      </c>
      <c r="B168" s="199" t="s">
        <v>16</v>
      </c>
      <c r="C168" s="199" t="s">
        <v>17</v>
      </c>
      <c r="D168" s="208" t="s">
        <v>131</v>
      </c>
      <c r="E168" s="210" t="s">
        <v>1678</v>
      </c>
      <c r="F168" s="202" t="str">
        <f>VLOOKUP(D168,CSR!$D$4:$E$1180,2,FALSE)</f>
        <v>CSR_10400</v>
      </c>
      <c r="G168" s="203">
        <v>46038</v>
      </c>
      <c r="H168" s="204">
        <v>2</v>
      </c>
      <c r="I168" s="205">
        <f t="shared" si="2"/>
        <v>0.10526315789473684</v>
      </c>
      <c r="J168" s="206" t="s">
        <v>324</v>
      </c>
      <c r="K168" s="204"/>
    </row>
    <row r="169" spans="1:11" s="197" customFormat="1" ht="32">
      <c r="A169" s="198" t="s">
        <v>1385</v>
      </c>
      <c r="B169" s="199" t="s">
        <v>16</v>
      </c>
      <c r="C169" s="199" t="s">
        <v>17</v>
      </c>
      <c r="D169" s="207" t="s">
        <v>18</v>
      </c>
      <c r="E169" s="201" t="s">
        <v>1679</v>
      </c>
      <c r="F169" s="202" t="str">
        <f>VLOOKUP(D169,CSR!$D$4:$E$1180,2,FALSE)</f>
        <v>CSR_11300</v>
      </c>
      <c r="G169" s="203">
        <v>46038</v>
      </c>
      <c r="H169" s="204">
        <v>2</v>
      </c>
      <c r="I169" s="205">
        <f t="shared" si="2"/>
        <v>0.10526315789473684</v>
      </c>
      <c r="J169" s="206" t="s">
        <v>324</v>
      </c>
      <c r="K169" s="204"/>
    </row>
    <row r="170" spans="1:11" s="197" customFormat="1" ht="32">
      <c r="A170" s="198" t="s">
        <v>1385</v>
      </c>
      <c r="B170" s="199" t="s">
        <v>70</v>
      </c>
      <c r="C170" s="199" t="s">
        <v>71</v>
      </c>
      <c r="D170" s="208" t="s">
        <v>266</v>
      </c>
      <c r="E170" s="208" t="s">
        <v>1680</v>
      </c>
      <c r="F170" s="202" t="str">
        <f>VLOOKUP(D170,CSR!$D$4:$E$1180,2,FALSE)</f>
        <v>CSR_20200</v>
      </c>
      <c r="G170" s="203">
        <v>46042</v>
      </c>
      <c r="H170" s="204">
        <v>2</v>
      </c>
      <c r="I170" s="205">
        <f t="shared" si="2"/>
        <v>0.10526315789473684</v>
      </c>
      <c r="J170" s="206" t="s">
        <v>324</v>
      </c>
      <c r="K170" s="204"/>
    </row>
    <row r="171" spans="1:11" s="197" customFormat="1" ht="32">
      <c r="A171" s="198" t="s">
        <v>1546</v>
      </c>
      <c r="B171" s="198" t="s">
        <v>16</v>
      </c>
      <c r="C171" s="198" t="s">
        <v>17</v>
      </c>
      <c r="D171" s="208" t="s">
        <v>1405</v>
      </c>
      <c r="E171" s="210" t="s">
        <v>1681</v>
      </c>
      <c r="F171" s="202" t="str">
        <f>VLOOKUP(D171,CSR!$D$4:$E$1180,2,FALSE)</f>
        <v>CSR_11302</v>
      </c>
      <c r="G171" s="203">
        <v>46382</v>
      </c>
      <c r="H171" s="204">
        <v>3</v>
      </c>
      <c r="I171" s="205">
        <f t="shared" si="2"/>
        <v>0.15789473684210525</v>
      </c>
      <c r="J171" s="217" t="s">
        <v>324</v>
      </c>
      <c r="K171" s="204"/>
    </row>
    <row r="172" spans="1:11" s="197" customFormat="1" ht="32">
      <c r="A172" s="198" t="s">
        <v>1546</v>
      </c>
      <c r="B172" s="198" t="s">
        <v>70</v>
      </c>
      <c r="C172" s="199" t="s">
        <v>71</v>
      </c>
      <c r="D172" s="208" t="s">
        <v>266</v>
      </c>
      <c r="E172" s="210" t="s">
        <v>1682</v>
      </c>
      <c r="F172" s="202" t="str">
        <f>VLOOKUP(D172,CSR!$D$4:$E$1180,2,FALSE)</f>
        <v>CSR_20200</v>
      </c>
      <c r="G172" s="203">
        <v>46382</v>
      </c>
      <c r="H172" s="204">
        <v>2</v>
      </c>
      <c r="I172" s="205">
        <f t="shared" si="2"/>
        <v>0.10526315789473684</v>
      </c>
      <c r="J172" s="206" t="s">
        <v>324</v>
      </c>
      <c r="K172" s="204"/>
    </row>
    <row r="173" spans="1:11" s="197" customFormat="1" ht="32">
      <c r="A173" s="198" t="s">
        <v>1385</v>
      </c>
      <c r="B173" s="199" t="s">
        <v>16</v>
      </c>
      <c r="C173" s="199" t="s">
        <v>17</v>
      </c>
      <c r="D173" s="208" t="s">
        <v>131</v>
      </c>
      <c r="E173" s="210" t="s">
        <v>1678</v>
      </c>
      <c r="F173" s="202" t="str">
        <f>VLOOKUP(D173,CSR!$D$4:$E$1180,2,FALSE)</f>
        <v>CSR_10400</v>
      </c>
      <c r="G173" s="203">
        <v>46024</v>
      </c>
      <c r="H173" s="204">
        <v>5</v>
      </c>
      <c r="I173" s="205">
        <f t="shared" si="2"/>
        <v>0.26315789473684209</v>
      </c>
      <c r="J173" s="199" t="s">
        <v>335</v>
      </c>
      <c r="K173" s="204"/>
    </row>
    <row r="174" spans="1:11" s="197" customFormat="1" ht="32">
      <c r="A174" s="198" t="s">
        <v>1385</v>
      </c>
      <c r="B174" s="198" t="s">
        <v>16</v>
      </c>
      <c r="C174" s="198" t="s">
        <v>17</v>
      </c>
      <c r="D174" s="200" t="s">
        <v>65</v>
      </c>
      <c r="E174" s="226" t="s">
        <v>1683</v>
      </c>
      <c r="F174" s="202" t="str">
        <f>VLOOKUP(D174,CSR!$D$4:$E$1180,2,FALSE)</f>
        <v>CSR_10800</v>
      </c>
      <c r="G174" s="203">
        <v>46031</v>
      </c>
      <c r="H174" s="204">
        <v>2</v>
      </c>
      <c r="I174" s="205">
        <f t="shared" si="2"/>
        <v>0.10526315789473684</v>
      </c>
      <c r="J174" s="206" t="s">
        <v>335</v>
      </c>
      <c r="K174" s="204"/>
    </row>
    <row r="175" spans="1:11" s="197" customFormat="1" ht="32">
      <c r="A175" s="198" t="s">
        <v>1385</v>
      </c>
      <c r="B175" s="198" t="s">
        <v>70</v>
      </c>
      <c r="C175" s="199" t="s">
        <v>71</v>
      </c>
      <c r="D175" s="208" t="s">
        <v>252</v>
      </c>
      <c r="E175" s="210" t="s">
        <v>1684</v>
      </c>
      <c r="F175" s="202" t="str">
        <f>VLOOKUP(D175,CSR!$D$4:$E$1180,2,FALSE)</f>
        <v>CSR_20300</v>
      </c>
      <c r="G175" s="203">
        <v>46031</v>
      </c>
      <c r="H175" s="204">
        <v>2</v>
      </c>
      <c r="I175" s="205">
        <f t="shared" si="2"/>
        <v>0.10526315789473684</v>
      </c>
      <c r="J175" s="206" t="s">
        <v>335</v>
      </c>
      <c r="K175" s="204"/>
    </row>
    <row r="176" spans="1:11" s="197" customFormat="1" ht="32">
      <c r="A176" s="198" t="s">
        <v>1385</v>
      </c>
      <c r="B176" s="198" t="s">
        <v>16</v>
      </c>
      <c r="C176" s="198" t="s">
        <v>17</v>
      </c>
      <c r="D176" s="200" t="s">
        <v>65</v>
      </c>
      <c r="E176" s="226" t="s">
        <v>1685</v>
      </c>
      <c r="F176" s="202" t="str">
        <f>VLOOKUP(D176,CSR!$D$4:$E$1180,2,FALSE)</f>
        <v>CSR_10800</v>
      </c>
      <c r="G176" s="203">
        <v>46038</v>
      </c>
      <c r="H176" s="204">
        <v>2</v>
      </c>
      <c r="I176" s="205">
        <f t="shared" si="2"/>
        <v>0.10526315789473684</v>
      </c>
      <c r="J176" s="206" t="s">
        <v>335</v>
      </c>
      <c r="K176" s="217"/>
    </row>
    <row r="177" spans="1:11" s="197" customFormat="1" ht="32">
      <c r="A177" s="198" t="s">
        <v>1385</v>
      </c>
      <c r="B177" s="199" t="s">
        <v>16</v>
      </c>
      <c r="C177" s="199" t="s">
        <v>17</v>
      </c>
      <c r="D177" s="204" t="s">
        <v>1562</v>
      </c>
      <c r="E177" s="210" t="s">
        <v>1686</v>
      </c>
      <c r="F177" s="202" t="str">
        <f>VLOOKUP(D177,CSR!$D$4:$E$1180,2,FALSE)</f>
        <v>CSR_11307</v>
      </c>
      <c r="G177" s="203">
        <v>46038</v>
      </c>
      <c r="H177" s="204">
        <v>2</v>
      </c>
      <c r="I177" s="205">
        <f t="shared" si="2"/>
        <v>0.10526315789473684</v>
      </c>
      <c r="J177" s="198" t="s">
        <v>335</v>
      </c>
      <c r="K177" s="204"/>
    </row>
    <row r="178" spans="1:11" s="197" customFormat="1" ht="16">
      <c r="A178" s="198" t="s">
        <v>1385</v>
      </c>
      <c r="B178" s="199" t="s">
        <v>16</v>
      </c>
      <c r="C178" s="199" t="s">
        <v>17</v>
      </c>
      <c r="D178" s="200" t="s">
        <v>1503</v>
      </c>
      <c r="E178" s="208" t="s">
        <v>1687</v>
      </c>
      <c r="F178" s="202" t="str">
        <f>VLOOKUP(D178,CSR!$D$4:$E$1180,2,FALSE)</f>
        <v>CSR_11304</v>
      </c>
      <c r="G178" s="203">
        <v>46042</v>
      </c>
      <c r="H178" s="204">
        <v>2</v>
      </c>
      <c r="I178" s="205">
        <f t="shared" si="2"/>
        <v>0.10526315789473684</v>
      </c>
      <c r="J178" s="206" t="s">
        <v>335</v>
      </c>
      <c r="K178" s="204"/>
    </row>
    <row r="179" spans="1:11" s="197" customFormat="1" ht="16">
      <c r="A179" s="198" t="s">
        <v>1546</v>
      </c>
      <c r="B179" s="199" t="s">
        <v>49</v>
      </c>
      <c r="C179" s="198" t="s">
        <v>50</v>
      </c>
      <c r="D179" s="208" t="s">
        <v>1309</v>
      </c>
      <c r="E179" s="210" t="s">
        <v>1688</v>
      </c>
      <c r="F179" s="202" t="str">
        <f>VLOOKUP(D179,CSR!$D$4:$E$1180,2,FALSE)</f>
        <v>CSR_41101</v>
      </c>
      <c r="G179" s="203">
        <v>46382</v>
      </c>
      <c r="H179" s="204">
        <v>2</v>
      </c>
      <c r="I179" s="205">
        <f t="shared" si="2"/>
        <v>0.10526315789473684</v>
      </c>
      <c r="J179" s="206" t="s">
        <v>335</v>
      </c>
      <c r="K179" s="204"/>
    </row>
    <row r="180" spans="1:11" s="197" customFormat="1" ht="16">
      <c r="A180" s="198" t="s">
        <v>1546</v>
      </c>
      <c r="B180" s="199" t="s">
        <v>49</v>
      </c>
      <c r="C180" s="198" t="s">
        <v>50</v>
      </c>
      <c r="D180" s="208" t="s">
        <v>1311</v>
      </c>
      <c r="E180" s="210" t="s">
        <v>1689</v>
      </c>
      <c r="F180" s="202" t="str">
        <f>VLOOKUP(D180,CSR!$D$4:$E$1180,2,FALSE)</f>
        <v>CSR_41102</v>
      </c>
      <c r="G180" s="203">
        <v>46382</v>
      </c>
      <c r="H180" s="204">
        <v>2</v>
      </c>
      <c r="I180" s="205">
        <f t="shared" si="2"/>
        <v>0.10526315789473684</v>
      </c>
      <c r="J180" s="206" t="s">
        <v>335</v>
      </c>
      <c r="K180" s="204"/>
    </row>
    <row r="181" spans="1:11" s="197" customFormat="1" ht="32">
      <c r="A181" s="198" t="s">
        <v>1385</v>
      </c>
      <c r="B181" s="198" t="s">
        <v>16</v>
      </c>
      <c r="C181" s="198" t="s">
        <v>17</v>
      </c>
      <c r="D181" s="208" t="s">
        <v>18</v>
      </c>
      <c r="E181" s="210" t="s">
        <v>1690</v>
      </c>
      <c r="F181" s="202" t="str">
        <f>VLOOKUP(D181,CSR!$D$4:$E$1180,2,FALSE)</f>
        <v>CSR_11300</v>
      </c>
      <c r="G181" s="203">
        <v>46024</v>
      </c>
      <c r="H181" s="204">
        <v>2</v>
      </c>
      <c r="I181" s="205">
        <f t="shared" si="2"/>
        <v>0.10526315789473684</v>
      </c>
      <c r="J181" s="199" t="s">
        <v>351</v>
      </c>
      <c r="K181" s="218"/>
    </row>
    <row r="182" spans="1:11" s="197" customFormat="1" ht="48">
      <c r="A182" s="198" t="s">
        <v>1385</v>
      </c>
      <c r="B182" s="199" t="s">
        <v>49</v>
      </c>
      <c r="C182" s="199" t="s">
        <v>175</v>
      </c>
      <c r="D182" s="200" t="s">
        <v>191</v>
      </c>
      <c r="E182" s="226" t="s">
        <v>1691</v>
      </c>
      <c r="F182" s="202" t="str">
        <f>VLOOKUP(D182,CSR!$D$4:$E$1180,2,FALSE)</f>
        <v>CSR_40300</v>
      </c>
      <c r="G182" s="203">
        <v>46024</v>
      </c>
      <c r="H182" s="204">
        <v>2</v>
      </c>
      <c r="I182" s="205">
        <f t="shared" si="2"/>
        <v>0.10526315789473684</v>
      </c>
      <c r="J182" s="199" t="s">
        <v>351</v>
      </c>
      <c r="K182" s="204"/>
    </row>
    <row r="183" spans="1:11" s="197" customFormat="1" ht="32">
      <c r="A183" s="198" t="s">
        <v>1385</v>
      </c>
      <c r="B183" s="198" t="s">
        <v>16</v>
      </c>
      <c r="C183" s="198" t="s">
        <v>17</v>
      </c>
      <c r="D183" s="208" t="s">
        <v>1519</v>
      </c>
      <c r="E183" s="210" t="s">
        <v>1692</v>
      </c>
      <c r="F183" s="202" t="str">
        <f>VLOOKUP(D183,CSR!$D$4:$E$1180,2,FALSE)</f>
        <v>CSR_11405</v>
      </c>
      <c r="G183" s="203">
        <v>46031</v>
      </c>
      <c r="H183" s="204">
        <v>1</v>
      </c>
      <c r="I183" s="205">
        <f t="shared" si="2"/>
        <v>5.2631578947368418E-2</v>
      </c>
      <c r="J183" s="206" t="s">
        <v>351</v>
      </c>
      <c r="K183" s="204"/>
    </row>
    <row r="184" spans="1:11" s="197" customFormat="1" ht="32">
      <c r="A184" s="198" t="s">
        <v>1385</v>
      </c>
      <c r="B184" s="199" t="s">
        <v>49</v>
      </c>
      <c r="C184" s="199" t="s">
        <v>175</v>
      </c>
      <c r="D184" s="200" t="s">
        <v>191</v>
      </c>
      <c r="E184" s="226" t="s">
        <v>1693</v>
      </c>
      <c r="F184" s="202" t="str">
        <f>VLOOKUP(D184,CSR!$D$4:$E$1180,2,FALSE)</f>
        <v>CSR_40300</v>
      </c>
      <c r="G184" s="203">
        <v>46031</v>
      </c>
      <c r="H184" s="204">
        <v>2</v>
      </c>
      <c r="I184" s="205">
        <f t="shared" si="2"/>
        <v>0.10526315789473684</v>
      </c>
      <c r="J184" s="199" t="s">
        <v>351</v>
      </c>
      <c r="K184" s="204"/>
    </row>
    <row r="185" spans="1:11" s="197" customFormat="1" ht="32">
      <c r="A185" s="198" t="s">
        <v>1385</v>
      </c>
      <c r="B185" s="198" t="s">
        <v>16</v>
      </c>
      <c r="C185" s="198" t="s">
        <v>17</v>
      </c>
      <c r="D185" s="208" t="s">
        <v>1519</v>
      </c>
      <c r="E185" s="210" t="s">
        <v>1692</v>
      </c>
      <c r="F185" s="202" t="str">
        <f>VLOOKUP(D185,CSR!$D$4:$E$1180,2,FALSE)</f>
        <v>CSR_11405</v>
      </c>
      <c r="G185" s="203">
        <v>46038</v>
      </c>
      <c r="H185" s="204">
        <v>2</v>
      </c>
      <c r="I185" s="205">
        <f t="shared" si="2"/>
        <v>0.10526315789473684</v>
      </c>
      <c r="J185" s="206" t="s">
        <v>351</v>
      </c>
      <c r="K185" s="204"/>
    </row>
    <row r="186" spans="1:11" s="197" customFormat="1" ht="16">
      <c r="A186" s="198" t="s">
        <v>1385</v>
      </c>
      <c r="B186" s="199" t="s">
        <v>49</v>
      </c>
      <c r="C186" s="199" t="s">
        <v>175</v>
      </c>
      <c r="D186" s="200" t="s">
        <v>191</v>
      </c>
      <c r="E186" s="201" t="s">
        <v>1550</v>
      </c>
      <c r="F186" s="202" t="str">
        <f>VLOOKUP(D186,CSR!$D$4:$E$1180,2,FALSE)</f>
        <v>CSR_40300</v>
      </c>
      <c r="G186" s="203">
        <v>46038</v>
      </c>
      <c r="H186" s="204">
        <v>1</v>
      </c>
      <c r="I186" s="205">
        <f t="shared" si="2"/>
        <v>5.2631578947368418E-2</v>
      </c>
      <c r="J186" s="217" t="s">
        <v>351</v>
      </c>
      <c r="K186" s="204"/>
    </row>
    <row r="187" spans="1:11" s="197" customFormat="1" ht="32">
      <c r="A187" s="198" t="s">
        <v>1385</v>
      </c>
      <c r="B187" s="199" t="s">
        <v>49</v>
      </c>
      <c r="C187" s="199" t="s">
        <v>175</v>
      </c>
      <c r="D187" s="200" t="s">
        <v>191</v>
      </c>
      <c r="E187" s="210" t="s">
        <v>1694</v>
      </c>
      <c r="F187" s="202" t="str">
        <f>VLOOKUP(D187,CSR!$D$4:$E$1180,2,FALSE)</f>
        <v>CSR_40300</v>
      </c>
      <c r="G187" s="203">
        <v>46038</v>
      </c>
      <c r="H187" s="204">
        <v>2</v>
      </c>
      <c r="I187" s="205">
        <f t="shared" si="2"/>
        <v>0.10526315789473684</v>
      </c>
      <c r="J187" s="198" t="s">
        <v>351</v>
      </c>
      <c r="K187" s="204"/>
    </row>
    <row r="188" spans="1:11" s="197" customFormat="1" ht="48">
      <c r="A188" s="198" t="s">
        <v>1385</v>
      </c>
      <c r="B188" s="198" t="s">
        <v>16</v>
      </c>
      <c r="C188" s="198" t="s">
        <v>17</v>
      </c>
      <c r="D188" s="208" t="s">
        <v>1519</v>
      </c>
      <c r="E188" s="210" t="s">
        <v>1695</v>
      </c>
      <c r="F188" s="202" t="str">
        <f>VLOOKUP(D188,CSR!$D$4:$E$1180,2,FALSE)</f>
        <v>CSR_11405</v>
      </c>
      <c r="G188" s="203">
        <v>46042</v>
      </c>
      <c r="H188" s="204">
        <v>2</v>
      </c>
      <c r="I188" s="205">
        <f t="shared" si="2"/>
        <v>0.10526315789473684</v>
      </c>
      <c r="J188" s="206" t="s">
        <v>351</v>
      </c>
      <c r="K188" s="204"/>
    </row>
    <row r="189" spans="1:11" s="197" customFormat="1" ht="32">
      <c r="A189" s="198" t="s">
        <v>1546</v>
      </c>
      <c r="B189" s="199" t="s">
        <v>16</v>
      </c>
      <c r="C189" s="199" t="s">
        <v>17</v>
      </c>
      <c r="D189" s="208" t="s">
        <v>131</v>
      </c>
      <c r="E189" s="210" t="s">
        <v>1675</v>
      </c>
      <c r="F189" s="202" t="str">
        <f>VLOOKUP(D189,CSR!$D$4:$E$1180,2,FALSE)</f>
        <v>CSR_10400</v>
      </c>
      <c r="G189" s="203">
        <v>46382</v>
      </c>
      <c r="H189" s="204">
        <v>2</v>
      </c>
      <c r="I189" s="205">
        <f t="shared" si="2"/>
        <v>0.10526315789473684</v>
      </c>
      <c r="J189" s="199" t="s">
        <v>351</v>
      </c>
      <c r="K189" s="204"/>
    </row>
    <row r="190" spans="1:11" s="197" customFormat="1" ht="32">
      <c r="A190" s="198" t="s">
        <v>1546</v>
      </c>
      <c r="B190" s="198" t="s">
        <v>16</v>
      </c>
      <c r="C190" s="198" t="s">
        <v>17</v>
      </c>
      <c r="D190" s="208" t="s">
        <v>18</v>
      </c>
      <c r="E190" s="210" t="s">
        <v>1696</v>
      </c>
      <c r="F190" s="202" t="str">
        <f>VLOOKUP(D190,CSR!$D$4:$E$1180,2,FALSE)</f>
        <v>CSR_11300</v>
      </c>
      <c r="G190" s="203">
        <v>46382</v>
      </c>
      <c r="H190" s="204">
        <v>3</v>
      </c>
      <c r="I190" s="205">
        <f t="shared" si="2"/>
        <v>0.15789473684210525</v>
      </c>
      <c r="J190" s="199" t="s">
        <v>351</v>
      </c>
      <c r="K190" s="204"/>
    </row>
    <row r="191" spans="1:11" s="197" customFormat="1" ht="48">
      <c r="A191" s="198" t="s">
        <v>1385</v>
      </c>
      <c r="B191" s="198" t="s">
        <v>16</v>
      </c>
      <c r="C191" s="198" t="s">
        <v>17</v>
      </c>
      <c r="D191" s="208" t="s">
        <v>1519</v>
      </c>
      <c r="E191" s="210" t="s">
        <v>1697</v>
      </c>
      <c r="F191" s="202" t="str">
        <f>VLOOKUP(D191,CSR!$D$4:$E$1180,2,FALSE)</f>
        <v>CSR_11405</v>
      </c>
      <c r="G191" s="203">
        <v>46024</v>
      </c>
      <c r="H191" s="204">
        <v>4</v>
      </c>
      <c r="I191" s="205">
        <f t="shared" si="2"/>
        <v>0.21052631578947367</v>
      </c>
      <c r="J191" s="199" t="s">
        <v>364</v>
      </c>
      <c r="K191" s="204"/>
    </row>
    <row r="192" spans="1:11" s="197" customFormat="1" ht="32">
      <c r="A192" s="198" t="s">
        <v>1385</v>
      </c>
      <c r="B192" s="198" t="s">
        <v>16</v>
      </c>
      <c r="C192" s="198" t="s">
        <v>17</v>
      </c>
      <c r="D192" s="200" t="s">
        <v>1519</v>
      </c>
      <c r="E192" s="210" t="s">
        <v>1698</v>
      </c>
      <c r="F192" s="202" t="str">
        <f>VLOOKUP(D192,CSR!$D$4:$E$1180,2,FALSE)</f>
        <v>CSR_11405</v>
      </c>
      <c r="G192" s="203">
        <v>46031</v>
      </c>
      <c r="H192" s="204">
        <v>4</v>
      </c>
      <c r="I192" s="205">
        <f t="shared" si="2"/>
        <v>0.21052631578947367</v>
      </c>
      <c r="J192" s="199" t="s">
        <v>364</v>
      </c>
      <c r="K192" s="204"/>
    </row>
    <row r="193" spans="1:11" s="197" customFormat="1" ht="16">
      <c r="A193" s="198" t="s">
        <v>1385</v>
      </c>
      <c r="B193" s="198" t="s">
        <v>70</v>
      </c>
      <c r="C193" s="198" t="s">
        <v>71</v>
      </c>
      <c r="D193" s="200" t="s">
        <v>252</v>
      </c>
      <c r="E193" s="210" t="s">
        <v>1526</v>
      </c>
      <c r="F193" s="202" t="str">
        <f>VLOOKUP(D193,CSR!$D$4:$E$1180,2,FALSE)</f>
        <v>CSR_20300</v>
      </c>
      <c r="G193" s="203">
        <v>46031</v>
      </c>
      <c r="H193" s="204">
        <v>1</v>
      </c>
      <c r="I193" s="205">
        <f t="shared" si="2"/>
        <v>5.2631578947368418E-2</v>
      </c>
      <c r="J193" s="199" t="s">
        <v>364</v>
      </c>
      <c r="K193" s="204"/>
    </row>
    <row r="194" spans="1:11" s="197" customFormat="1" ht="32">
      <c r="A194" s="198" t="s">
        <v>1385</v>
      </c>
      <c r="B194" s="198" t="s">
        <v>16</v>
      </c>
      <c r="C194" s="198" t="s">
        <v>17</v>
      </c>
      <c r="D194" s="208" t="s">
        <v>1519</v>
      </c>
      <c r="E194" s="210" t="s">
        <v>1699</v>
      </c>
      <c r="F194" s="202" t="str">
        <f>VLOOKUP(D194,CSR!$D$4:$E$1180,2,FALSE)</f>
        <v>CSR_11405</v>
      </c>
      <c r="G194" s="203">
        <v>46038</v>
      </c>
      <c r="H194" s="204">
        <v>4</v>
      </c>
      <c r="I194" s="205">
        <f t="shared" ref="I194:I228" si="3">H194*10/190</f>
        <v>0.21052631578947367</v>
      </c>
      <c r="J194" s="199" t="s">
        <v>364</v>
      </c>
      <c r="K194" s="204"/>
    </row>
    <row r="195" spans="1:11" s="197" customFormat="1" ht="32">
      <c r="A195" s="198" t="s">
        <v>1385</v>
      </c>
      <c r="B195" s="198" t="s">
        <v>16</v>
      </c>
      <c r="C195" s="198" t="s">
        <v>17</v>
      </c>
      <c r="D195" s="208" t="s">
        <v>1519</v>
      </c>
      <c r="E195" s="210" t="s">
        <v>1699</v>
      </c>
      <c r="F195" s="202" t="str">
        <f>VLOOKUP(D195,CSR!$D$4:$E$1180,2,FALSE)</f>
        <v>CSR_11405</v>
      </c>
      <c r="G195" s="203">
        <v>46042</v>
      </c>
      <c r="H195" s="204">
        <v>2</v>
      </c>
      <c r="I195" s="205">
        <f t="shared" si="3"/>
        <v>0.10526315789473684</v>
      </c>
      <c r="J195" s="199" t="s">
        <v>364</v>
      </c>
      <c r="K195" s="204"/>
    </row>
    <row r="196" spans="1:11" ht="48">
      <c r="A196" s="198" t="s">
        <v>1546</v>
      </c>
      <c r="B196" s="198" t="s">
        <v>16</v>
      </c>
      <c r="C196" s="198" t="s">
        <v>17</v>
      </c>
      <c r="D196" s="208" t="s">
        <v>1519</v>
      </c>
      <c r="E196" s="210" t="s">
        <v>1697</v>
      </c>
      <c r="F196" s="202" t="str">
        <f>VLOOKUP(D196,CSR!$D$4:$E$1180,2,FALSE)</f>
        <v>CSR_11405</v>
      </c>
      <c r="G196" s="203">
        <v>46382</v>
      </c>
      <c r="H196" s="204">
        <v>4</v>
      </c>
      <c r="I196" s="205">
        <f t="shared" si="3"/>
        <v>0.21052631578947367</v>
      </c>
      <c r="J196" s="199" t="s">
        <v>364</v>
      </c>
      <c r="K196" s="208"/>
    </row>
    <row r="197" spans="1:11" ht="16">
      <c r="A197" s="198" t="s">
        <v>1385</v>
      </c>
      <c r="B197" s="198" t="s">
        <v>16</v>
      </c>
      <c r="C197" s="198" t="s">
        <v>17</v>
      </c>
      <c r="D197" s="208" t="s">
        <v>18</v>
      </c>
      <c r="E197" s="226" t="s">
        <v>1700</v>
      </c>
      <c r="F197" s="202" t="str">
        <f>VLOOKUP(D197,CSR!$D$4:$E$1180,2,FALSE)</f>
        <v>CSR_11300</v>
      </c>
      <c r="G197" s="203">
        <v>46024</v>
      </c>
      <c r="H197" s="204">
        <v>3</v>
      </c>
      <c r="I197" s="205">
        <f t="shared" si="3"/>
        <v>0.15789473684210525</v>
      </c>
      <c r="J197" s="199" t="s">
        <v>375</v>
      </c>
      <c r="K197" s="204"/>
    </row>
    <row r="198" spans="1:11" ht="16">
      <c r="A198" s="198" t="s">
        <v>1385</v>
      </c>
      <c r="B198" s="198" t="s">
        <v>70</v>
      </c>
      <c r="C198" s="198" t="s">
        <v>245</v>
      </c>
      <c r="D198" s="208" t="s">
        <v>255</v>
      </c>
      <c r="E198" s="218" t="s">
        <v>1701</v>
      </c>
      <c r="F198" s="202" t="str">
        <f>VLOOKUP(D198,CSR!$D$4:$E$1180,2,FALSE)</f>
        <v>CSR_20100</v>
      </c>
      <c r="G198" s="203">
        <v>46024</v>
      </c>
      <c r="H198" s="204">
        <v>1</v>
      </c>
      <c r="I198" s="205">
        <f t="shared" si="3"/>
        <v>5.2631578947368418E-2</v>
      </c>
      <c r="J198" s="199" t="s">
        <v>375</v>
      </c>
      <c r="K198" s="204"/>
    </row>
    <row r="199" spans="1:11" ht="16">
      <c r="A199" s="198" t="s">
        <v>1385</v>
      </c>
      <c r="B199" s="198" t="s">
        <v>16</v>
      </c>
      <c r="C199" s="198" t="s">
        <v>17</v>
      </c>
      <c r="D199" s="208" t="s">
        <v>18</v>
      </c>
      <c r="E199" s="226" t="s">
        <v>1700</v>
      </c>
      <c r="F199" s="202" t="str">
        <f>VLOOKUP(D199,CSR!$D$4:$E$1180,2,FALSE)</f>
        <v>CSR_11300</v>
      </c>
      <c r="G199" s="203">
        <v>46031</v>
      </c>
      <c r="H199" s="204">
        <v>1</v>
      </c>
      <c r="I199" s="205">
        <f t="shared" si="3"/>
        <v>5.2631578947368418E-2</v>
      </c>
      <c r="J199" s="199" t="s">
        <v>375</v>
      </c>
      <c r="K199" s="204"/>
    </row>
    <row r="200" spans="1:11" ht="32">
      <c r="A200" s="198" t="s">
        <v>1385</v>
      </c>
      <c r="B200" s="198" t="s">
        <v>16</v>
      </c>
      <c r="C200" s="198" t="s">
        <v>17</v>
      </c>
      <c r="D200" s="208" t="s">
        <v>1519</v>
      </c>
      <c r="E200" s="210" t="s">
        <v>1692</v>
      </c>
      <c r="F200" s="202" t="str">
        <f>VLOOKUP(D200,CSR!$D$4:$E$1180,2,FALSE)</f>
        <v>CSR_11405</v>
      </c>
      <c r="G200" s="203">
        <v>46031</v>
      </c>
      <c r="H200" s="204">
        <v>2</v>
      </c>
      <c r="I200" s="205">
        <f t="shared" si="3"/>
        <v>0.10526315789473684</v>
      </c>
      <c r="J200" s="206" t="s">
        <v>375</v>
      </c>
      <c r="K200" s="204"/>
    </row>
    <row r="201" spans="1:11" ht="32">
      <c r="A201" s="198" t="s">
        <v>1385</v>
      </c>
      <c r="B201" s="198" t="s">
        <v>70</v>
      </c>
      <c r="C201" s="199" t="s">
        <v>246</v>
      </c>
      <c r="D201" s="208" t="s">
        <v>1300</v>
      </c>
      <c r="E201" s="210" t="s">
        <v>1702</v>
      </c>
      <c r="F201" s="202" t="str">
        <f>VLOOKUP(D201,CSR!$D$4:$E$1180,2,FALSE)</f>
        <v>CSR_20005</v>
      </c>
      <c r="G201" s="203">
        <v>46031</v>
      </c>
      <c r="H201" s="204">
        <v>2</v>
      </c>
      <c r="I201" s="205">
        <f t="shared" si="3"/>
        <v>0.10526315789473684</v>
      </c>
      <c r="J201" s="206" t="s">
        <v>375</v>
      </c>
      <c r="K201" s="208"/>
    </row>
    <row r="202" spans="1:11" ht="32">
      <c r="A202" s="198" t="s">
        <v>1385</v>
      </c>
      <c r="B202" s="199" t="s">
        <v>16</v>
      </c>
      <c r="C202" s="199" t="s">
        <v>17</v>
      </c>
      <c r="D202" s="208" t="s">
        <v>131</v>
      </c>
      <c r="E202" s="210" t="s">
        <v>1675</v>
      </c>
      <c r="F202" s="202" t="str">
        <f>VLOOKUP(D202,CSR!$D$4:$E$1180,2,FALSE)</f>
        <v>CSR_10400</v>
      </c>
      <c r="G202" s="203">
        <v>46038</v>
      </c>
      <c r="H202" s="204">
        <v>3</v>
      </c>
      <c r="I202" s="205">
        <f t="shared" si="3"/>
        <v>0.15789473684210525</v>
      </c>
      <c r="J202" s="206" t="s">
        <v>375</v>
      </c>
      <c r="K202" s="204"/>
    </row>
    <row r="203" spans="1:11" ht="32">
      <c r="A203" s="198" t="s">
        <v>1385</v>
      </c>
      <c r="B203" s="198" t="s">
        <v>16</v>
      </c>
      <c r="C203" s="198" t="s">
        <v>17</v>
      </c>
      <c r="D203" s="208" t="s">
        <v>1519</v>
      </c>
      <c r="E203" s="210" t="s">
        <v>1692</v>
      </c>
      <c r="F203" s="202" t="str">
        <f>VLOOKUP(D203,CSR!$D$4:$E$1180,2,FALSE)</f>
        <v>CSR_11405</v>
      </c>
      <c r="G203" s="203">
        <v>46038</v>
      </c>
      <c r="H203" s="204">
        <v>1.5</v>
      </c>
      <c r="I203" s="205">
        <f t="shared" si="3"/>
        <v>7.8947368421052627E-2</v>
      </c>
      <c r="J203" s="206" t="s">
        <v>375</v>
      </c>
      <c r="K203" s="204"/>
    </row>
    <row r="204" spans="1:11" ht="48">
      <c r="A204" s="198" t="s">
        <v>1385</v>
      </c>
      <c r="B204" s="198" t="s">
        <v>16</v>
      </c>
      <c r="C204" s="198" t="s">
        <v>17</v>
      </c>
      <c r="D204" s="208" t="s">
        <v>1519</v>
      </c>
      <c r="E204" s="210" t="s">
        <v>1695</v>
      </c>
      <c r="F204" s="202" t="str">
        <f>VLOOKUP(D204,CSR!$D$4:$E$1180,2,FALSE)</f>
        <v>CSR_11405</v>
      </c>
      <c r="G204" s="203">
        <v>46042</v>
      </c>
      <c r="H204" s="204">
        <v>2</v>
      </c>
      <c r="I204" s="205">
        <f t="shared" si="3"/>
        <v>0.10526315789473684</v>
      </c>
      <c r="J204" s="206" t="s">
        <v>375</v>
      </c>
      <c r="K204" s="204"/>
    </row>
    <row r="205" spans="1:11" ht="32">
      <c r="A205" s="198" t="s">
        <v>1546</v>
      </c>
      <c r="B205" s="198" t="s">
        <v>70</v>
      </c>
      <c r="C205" s="198" t="s">
        <v>245</v>
      </c>
      <c r="D205" s="208" t="s">
        <v>1631</v>
      </c>
      <c r="E205" s="226" t="s">
        <v>1703</v>
      </c>
      <c r="F205" s="202" t="str">
        <f>VLOOKUP(D205,CSR!$D$4:$E$1180,2,FALSE)</f>
        <v>CSR_20002</v>
      </c>
      <c r="G205" s="203">
        <v>46382</v>
      </c>
      <c r="H205" s="204">
        <v>2</v>
      </c>
      <c r="I205" s="205">
        <f t="shared" si="3"/>
        <v>0.10526315789473684</v>
      </c>
      <c r="J205" s="199" t="s">
        <v>375</v>
      </c>
      <c r="K205" s="204"/>
    </row>
    <row r="206" spans="1:11" ht="16">
      <c r="A206" s="198" t="s">
        <v>1546</v>
      </c>
      <c r="B206" s="198" t="s">
        <v>70</v>
      </c>
      <c r="C206" s="198" t="s">
        <v>245</v>
      </c>
      <c r="D206" s="208" t="s">
        <v>1631</v>
      </c>
      <c r="E206" s="226" t="s">
        <v>1704</v>
      </c>
      <c r="F206" s="202" t="str">
        <f>VLOOKUP(D206,CSR!$D$4:$E$1180,2,FALSE)</f>
        <v>CSR_20002</v>
      </c>
      <c r="G206" s="203">
        <v>46382</v>
      </c>
      <c r="H206" s="204">
        <v>0.5</v>
      </c>
      <c r="I206" s="205">
        <f t="shared" si="3"/>
        <v>2.6315789473684209E-2</v>
      </c>
      <c r="J206" s="206" t="s">
        <v>375</v>
      </c>
      <c r="K206" s="204"/>
    </row>
    <row r="207" spans="1:11" ht="32">
      <c r="A207" s="198" t="s">
        <v>1546</v>
      </c>
      <c r="B207" s="199" t="s">
        <v>31</v>
      </c>
      <c r="C207" s="199" t="s">
        <v>336</v>
      </c>
      <c r="D207" s="208" t="s">
        <v>337</v>
      </c>
      <c r="E207" s="210" t="s">
        <v>1705</v>
      </c>
      <c r="F207" s="202" t="str">
        <f>VLOOKUP(D207,CSR!$D$4:$E$1180,2,FALSE)</f>
        <v>CSR_30800</v>
      </c>
      <c r="G207" s="203">
        <v>46382</v>
      </c>
      <c r="H207" s="204">
        <v>1</v>
      </c>
      <c r="I207" s="205">
        <f t="shared" si="3"/>
        <v>5.2631578947368418E-2</v>
      </c>
      <c r="J207" s="206" t="s">
        <v>375</v>
      </c>
      <c r="K207" s="204"/>
    </row>
    <row r="208" spans="1:11" ht="32">
      <c r="A208" s="198" t="s">
        <v>1385</v>
      </c>
      <c r="B208" s="199" t="s">
        <v>16</v>
      </c>
      <c r="C208" s="199" t="s">
        <v>17</v>
      </c>
      <c r="D208" s="208" t="s">
        <v>131</v>
      </c>
      <c r="E208" s="210" t="s">
        <v>1706</v>
      </c>
      <c r="F208" s="202" t="str">
        <f>VLOOKUP(D208,CSR!$D$4:$E$1180,2,FALSE)</f>
        <v>CSR_10400</v>
      </c>
      <c r="G208" s="203">
        <v>46024</v>
      </c>
      <c r="H208" s="204">
        <v>1</v>
      </c>
      <c r="I208" s="205">
        <f t="shared" si="3"/>
        <v>5.2631578947368418E-2</v>
      </c>
      <c r="J208" s="199" t="s">
        <v>386</v>
      </c>
      <c r="K208" s="204"/>
    </row>
    <row r="209" spans="1:11" ht="32">
      <c r="A209" s="198" t="s">
        <v>1385</v>
      </c>
      <c r="B209" s="198" t="s">
        <v>16</v>
      </c>
      <c r="C209" s="198" t="s">
        <v>17</v>
      </c>
      <c r="D209" s="208" t="s">
        <v>18</v>
      </c>
      <c r="E209" s="210" t="s">
        <v>1690</v>
      </c>
      <c r="F209" s="202" t="str">
        <f>VLOOKUP(D209,CSR!$D$4:$E$1180,2,FALSE)</f>
        <v>CSR_11300</v>
      </c>
      <c r="G209" s="203">
        <v>46024</v>
      </c>
      <c r="H209" s="204">
        <v>3</v>
      </c>
      <c r="I209" s="205">
        <f t="shared" si="3"/>
        <v>0.15789473684210525</v>
      </c>
      <c r="J209" s="199" t="s">
        <v>386</v>
      </c>
      <c r="K209" s="204"/>
    </row>
    <row r="210" spans="1:11" ht="32">
      <c r="A210" s="198" t="s">
        <v>1385</v>
      </c>
      <c r="B210" s="198" t="s">
        <v>16</v>
      </c>
      <c r="C210" s="198" t="s">
        <v>17</v>
      </c>
      <c r="D210" s="208" t="s">
        <v>1519</v>
      </c>
      <c r="E210" s="210" t="s">
        <v>1692</v>
      </c>
      <c r="F210" s="202" t="str">
        <f>VLOOKUP(D210,CSR!$D$4:$E$1180,2,FALSE)</f>
        <v>CSR_11405</v>
      </c>
      <c r="G210" s="203">
        <v>46031</v>
      </c>
      <c r="H210" s="204">
        <v>2</v>
      </c>
      <c r="I210" s="205">
        <f t="shared" si="3"/>
        <v>0.10526315789473684</v>
      </c>
      <c r="J210" s="206" t="s">
        <v>386</v>
      </c>
      <c r="K210" s="204"/>
    </row>
    <row r="211" spans="1:11" ht="32">
      <c r="A211" s="198" t="s">
        <v>1385</v>
      </c>
      <c r="B211" s="199" t="s">
        <v>49</v>
      </c>
      <c r="C211" s="198" t="s">
        <v>50</v>
      </c>
      <c r="D211" s="200" t="s">
        <v>1181</v>
      </c>
      <c r="E211" s="210" t="s">
        <v>1707</v>
      </c>
      <c r="F211" s="202" t="e">
        <f>VLOOKUP(D211,CSR!$D$4:$E$1180,2,FALSE)</f>
        <v>#N/A</v>
      </c>
      <c r="G211" s="203">
        <v>46031</v>
      </c>
      <c r="H211" s="204">
        <v>3</v>
      </c>
      <c r="I211" s="205">
        <f t="shared" si="3"/>
        <v>0.15789473684210525</v>
      </c>
      <c r="J211" s="199" t="s">
        <v>386</v>
      </c>
      <c r="K211" s="204"/>
    </row>
    <row r="212" spans="1:11" ht="16">
      <c r="A212" s="198" t="s">
        <v>1385</v>
      </c>
      <c r="B212" s="199" t="s">
        <v>16</v>
      </c>
      <c r="C212" s="199" t="s">
        <v>17</v>
      </c>
      <c r="D212" s="207" t="s">
        <v>18</v>
      </c>
      <c r="E212" s="201" t="s">
        <v>1708</v>
      </c>
      <c r="F212" s="202" t="str">
        <f>VLOOKUP(D212,CSR!$D$4:$E$1180,2,FALSE)</f>
        <v>CSR_11300</v>
      </c>
      <c r="G212" s="203">
        <v>46038</v>
      </c>
      <c r="H212" s="204">
        <v>1</v>
      </c>
      <c r="I212" s="205">
        <f t="shared" si="3"/>
        <v>5.2631578947368418E-2</v>
      </c>
      <c r="J212" s="206" t="s">
        <v>386</v>
      </c>
      <c r="K212" s="204"/>
    </row>
    <row r="213" spans="1:11" ht="32">
      <c r="A213" s="198" t="s">
        <v>1385</v>
      </c>
      <c r="B213" s="198" t="s">
        <v>16</v>
      </c>
      <c r="C213" s="198" t="s">
        <v>17</v>
      </c>
      <c r="D213" s="208" t="s">
        <v>1519</v>
      </c>
      <c r="E213" s="210" t="s">
        <v>1692</v>
      </c>
      <c r="F213" s="202" t="str">
        <f>VLOOKUP(D213,CSR!$D$4:$E$1180,2,FALSE)</f>
        <v>CSR_11405</v>
      </c>
      <c r="G213" s="203">
        <v>46038</v>
      </c>
      <c r="H213" s="204">
        <v>2</v>
      </c>
      <c r="I213" s="205">
        <f t="shared" si="3"/>
        <v>0.10526315789473684</v>
      </c>
      <c r="J213" s="206" t="s">
        <v>386</v>
      </c>
      <c r="K213" s="204"/>
    </row>
    <row r="214" spans="1:11" ht="32">
      <c r="A214" s="198" t="s">
        <v>1385</v>
      </c>
      <c r="B214" s="199" t="s">
        <v>49</v>
      </c>
      <c r="C214" s="198" t="s">
        <v>50</v>
      </c>
      <c r="D214" s="208" t="s">
        <v>1309</v>
      </c>
      <c r="E214" s="210" t="s">
        <v>1709</v>
      </c>
      <c r="F214" s="202" t="str">
        <f>VLOOKUP(D214,CSR!$D$4:$E$1180,2,FALSE)</f>
        <v>CSR_41101</v>
      </c>
      <c r="G214" s="203">
        <v>46038</v>
      </c>
      <c r="H214" s="204">
        <v>1</v>
      </c>
      <c r="I214" s="205">
        <f t="shared" si="3"/>
        <v>5.2631578947368418E-2</v>
      </c>
      <c r="J214" s="206" t="s">
        <v>386</v>
      </c>
      <c r="K214" s="204"/>
    </row>
    <row r="215" spans="1:11" ht="16">
      <c r="A215" s="198" t="s">
        <v>1385</v>
      </c>
      <c r="B215" s="199" t="s">
        <v>16</v>
      </c>
      <c r="C215" s="199" t="s">
        <v>17</v>
      </c>
      <c r="D215" s="207" t="s">
        <v>18</v>
      </c>
      <c r="E215" s="201" t="s">
        <v>1710</v>
      </c>
      <c r="F215" s="202" t="str">
        <f>VLOOKUP(D215,CSR!$D$4:$E$1180,2,FALSE)</f>
        <v>CSR_11300</v>
      </c>
      <c r="G215" s="203">
        <v>46042</v>
      </c>
      <c r="H215" s="204">
        <v>2</v>
      </c>
      <c r="I215" s="205">
        <f t="shared" si="3"/>
        <v>0.10526315789473684</v>
      </c>
      <c r="J215" s="206" t="s">
        <v>386</v>
      </c>
      <c r="K215" s="208"/>
    </row>
    <row r="216" spans="1:11" ht="32">
      <c r="A216" s="198" t="s">
        <v>1546</v>
      </c>
      <c r="B216" s="198" t="s">
        <v>16</v>
      </c>
      <c r="C216" s="198" t="s">
        <v>17</v>
      </c>
      <c r="D216" s="208" t="s">
        <v>131</v>
      </c>
      <c r="E216" s="210" t="s">
        <v>1706</v>
      </c>
      <c r="F216" s="202" t="str">
        <f>VLOOKUP(D216,CSR!$D$4:$E$1180,2,FALSE)</f>
        <v>CSR_10400</v>
      </c>
      <c r="G216" s="203">
        <v>46382</v>
      </c>
      <c r="H216" s="204">
        <v>2</v>
      </c>
      <c r="I216" s="205">
        <f t="shared" si="3"/>
        <v>0.10526315789473684</v>
      </c>
      <c r="J216" s="199" t="s">
        <v>386</v>
      </c>
      <c r="K216" s="208"/>
    </row>
    <row r="217" spans="1:11" ht="32">
      <c r="A217" s="198" t="s">
        <v>1546</v>
      </c>
      <c r="B217" s="198" t="s">
        <v>16</v>
      </c>
      <c r="C217" s="198" t="s">
        <v>17</v>
      </c>
      <c r="D217" s="208" t="s">
        <v>18</v>
      </c>
      <c r="E217" s="210" t="s">
        <v>1696</v>
      </c>
      <c r="F217" s="202" t="str">
        <f>VLOOKUP(D217,CSR!$D$4:$E$1180,2,FALSE)</f>
        <v>CSR_11300</v>
      </c>
      <c r="G217" s="203">
        <v>46382</v>
      </c>
      <c r="H217" s="204">
        <v>2</v>
      </c>
      <c r="I217" s="205">
        <f t="shared" si="3"/>
        <v>0.10526315789473684</v>
      </c>
      <c r="J217" s="199" t="s">
        <v>386</v>
      </c>
      <c r="K217" s="204"/>
    </row>
    <row r="218" spans="1:11" ht="32">
      <c r="A218" s="198" t="s">
        <v>1385</v>
      </c>
      <c r="B218" s="198" t="s">
        <v>70</v>
      </c>
      <c r="C218" s="198" t="s">
        <v>245</v>
      </c>
      <c r="D218" s="208" t="s">
        <v>1631</v>
      </c>
      <c r="E218" s="210" t="s">
        <v>1711</v>
      </c>
      <c r="F218" s="202" t="str">
        <f>VLOOKUP(D218,CSR!$D$4:$E$1180,2,FALSE)</f>
        <v>CSR_20002</v>
      </c>
      <c r="G218" s="203">
        <v>46024</v>
      </c>
      <c r="H218" s="204">
        <v>3</v>
      </c>
      <c r="I218" s="205">
        <f t="shared" si="3"/>
        <v>0.15789473684210525</v>
      </c>
      <c r="J218" s="199" t="s">
        <v>395</v>
      </c>
      <c r="K218" s="208"/>
    </row>
    <row r="219" spans="1:11" ht="16">
      <c r="A219" s="198" t="s">
        <v>1385</v>
      </c>
      <c r="B219" s="198" t="s">
        <v>70</v>
      </c>
      <c r="C219" s="198" t="s">
        <v>245</v>
      </c>
      <c r="D219" s="200" t="s">
        <v>1475</v>
      </c>
      <c r="E219" s="210" t="s">
        <v>1712</v>
      </c>
      <c r="F219" s="202" t="str">
        <f>VLOOKUP(D219,CSR!$D$4:$E$1180,2,FALSE)</f>
        <v>CSR_20003</v>
      </c>
      <c r="G219" s="203">
        <v>46024</v>
      </c>
      <c r="H219" s="204">
        <v>1</v>
      </c>
      <c r="I219" s="205">
        <f t="shared" si="3"/>
        <v>5.2631578947368418E-2</v>
      </c>
      <c r="J219" s="206" t="s">
        <v>395</v>
      </c>
      <c r="K219" s="204"/>
    </row>
    <row r="220" spans="1:11" ht="32">
      <c r="A220" s="198" t="s">
        <v>1385</v>
      </c>
      <c r="B220" s="198" t="s">
        <v>70</v>
      </c>
      <c r="C220" s="199" t="s">
        <v>246</v>
      </c>
      <c r="D220" s="208" t="s">
        <v>246</v>
      </c>
      <c r="E220" s="210" t="s">
        <v>1713</v>
      </c>
      <c r="F220" s="202" t="str">
        <f>VLOOKUP(D220,CSR!$D$4:$E$1180,2,FALSE)</f>
        <v>CSR_20000</v>
      </c>
      <c r="G220" s="203">
        <v>46031</v>
      </c>
      <c r="H220" s="204">
        <v>2</v>
      </c>
      <c r="I220" s="205">
        <f t="shared" si="3"/>
        <v>0.10526315789473684</v>
      </c>
      <c r="J220" s="206" t="s">
        <v>395</v>
      </c>
      <c r="K220" s="204"/>
    </row>
    <row r="221" spans="1:11" ht="32">
      <c r="A221" s="198" t="s">
        <v>1385</v>
      </c>
      <c r="B221" s="199" t="s">
        <v>31</v>
      </c>
      <c r="C221" s="199" t="s">
        <v>32</v>
      </c>
      <c r="D221" s="208" t="s">
        <v>259</v>
      </c>
      <c r="E221" s="210" t="s">
        <v>1714</v>
      </c>
      <c r="F221" s="202" t="str">
        <f>VLOOKUP(D221,CSR!$D$4:$E$1180,2,FALSE)</f>
        <v>CSR_30100</v>
      </c>
      <c r="G221" s="203">
        <v>46031</v>
      </c>
      <c r="H221" s="204">
        <v>2</v>
      </c>
      <c r="I221" s="205">
        <f t="shared" si="3"/>
        <v>0.10526315789473684</v>
      </c>
      <c r="J221" s="206" t="s">
        <v>395</v>
      </c>
      <c r="K221" s="204"/>
    </row>
    <row r="222" spans="1:11" ht="32">
      <c r="A222" s="198" t="s">
        <v>1385</v>
      </c>
      <c r="B222" s="198" t="s">
        <v>70</v>
      </c>
      <c r="C222" s="199" t="s">
        <v>246</v>
      </c>
      <c r="D222" s="208" t="s">
        <v>1300</v>
      </c>
      <c r="E222" s="227" t="s">
        <v>1715</v>
      </c>
      <c r="F222" s="202" t="str">
        <f>VLOOKUP(D222,CSR!$D$4:$E$1180,2,FALSE)</f>
        <v>CSR_20005</v>
      </c>
      <c r="G222" s="203">
        <v>46038</v>
      </c>
      <c r="H222" s="204">
        <v>2</v>
      </c>
      <c r="I222" s="205">
        <f t="shared" si="3"/>
        <v>0.10526315789473684</v>
      </c>
      <c r="J222" s="206" t="s">
        <v>395</v>
      </c>
      <c r="K222" s="204"/>
    </row>
    <row r="223" spans="1:11" ht="32">
      <c r="A223" s="198" t="s">
        <v>1385</v>
      </c>
      <c r="B223" s="199" t="s">
        <v>49</v>
      </c>
      <c r="C223" s="198" t="s">
        <v>50</v>
      </c>
      <c r="D223" s="208" t="s">
        <v>1311</v>
      </c>
      <c r="E223" s="210" t="s">
        <v>1716</v>
      </c>
      <c r="F223" s="202" t="str">
        <f>VLOOKUP(D223,CSR!$D$4:$E$1180,2,FALSE)</f>
        <v>CSR_41102</v>
      </c>
      <c r="G223" s="203">
        <v>46038</v>
      </c>
      <c r="H223" s="204">
        <v>2</v>
      </c>
      <c r="I223" s="205">
        <f t="shared" si="3"/>
        <v>0.10526315789473684</v>
      </c>
      <c r="J223" s="206" t="s">
        <v>395</v>
      </c>
      <c r="K223" s="204"/>
    </row>
    <row r="224" spans="1:11" ht="32">
      <c r="A224" s="198" t="s">
        <v>1385</v>
      </c>
      <c r="B224" s="199" t="s">
        <v>70</v>
      </c>
      <c r="C224" s="199" t="s">
        <v>245</v>
      </c>
      <c r="D224" s="200" t="s">
        <v>1475</v>
      </c>
      <c r="E224" s="226" t="s">
        <v>1717</v>
      </c>
      <c r="F224" s="202" t="str">
        <f>VLOOKUP(D224,CSR!$D$4:$E$1180,2,FALSE)</f>
        <v>CSR_20003</v>
      </c>
      <c r="G224" s="203">
        <v>46042</v>
      </c>
      <c r="H224" s="204">
        <v>2</v>
      </c>
      <c r="I224" s="205">
        <f t="shared" si="3"/>
        <v>0.10526315789473684</v>
      </c>
      <c r="J224" s="199" t="s">
        <v>395</v>
      </c>
      <c r="K224" s="204"/>
    </row>
    <row r="225" spans="1:11" ht="32">
      <c r="A225" s="198" t="s">
        <v>1546</v>
      </c>
      <c r="B225" s="198" t="s">
        <v>16</v>
      </c>
      <c r="C225" s="198" t="s">
        <v>17</v>
      </c>
      <c r="D225" s="208" t="s">
        <v>18</v>
      </c>
      <c r="E225" s="226" t="s">
        <v>1718</v>
      </c>
      <c r="F225" s="202" t="str">
        <f>VLOOKUP(D225,CSR!$D$4:$E$1180,2,FALSE)</f>
        <v>CSR_11300</v>
      </c>
      <c r="G225" s="203">
        <v>46382</v>
      </c>
      <c r="H225" s="204">
        <v>3</v>
      </c>
      <c r="I225" s="205">
        <f t="shared" si="3"/>
        <v>0.15789473684210525</v>
      </c>
      <c r="J225" s="199" t="s">
        <v>395</v>
      </c>
      <c r="K225" s="204"/>
    </row>
    <row r="226" spans="1:11" ht="32">
      <c r="A226" s="198" t="s">
        <v>1546</v>
      </c>
      <c r="B226" s="198" t="s">
        <v>16</v>
      </c>
      <c r="C226" s="198" t="s">
        <v>17</v>
      </c>
      <c r="D226" s="208" t="s">
        <v>18</v>
      </c>
      <c r="E226" s="226" t="s">
        <v>1719</v>
      </c>
      <c r="F226" s="202" t="str">
        <f>VLOOKUP(D226,CSR!$D$4:$E$1180,2,FALSE)</f>
        <v>CSR_11300</v>
      </c>
      <c r="G226" s="203">
        <v>46382</v>
      </c>
      <c r="H226" s="204">
        <v>2</v>
      </c>
      <c r="I226" s="205">
        <f t="shared" si="3"/>
        <v>0.10526315789473684</v>
      </c>
      <c r="J226" s="199" t="s">
        <v>395</v>
      </c>
      <c r="K226" s="208"/>
    </row>
    <row r="227" spans="1:11" ht="16">
      <c r="A227" s="198" t="s">
        <v>1483</v>
      </c>
      <c r="B227" s="251" t="s">
        <v>70</v>
      </c>
      <c r="C227" s="251" t="s">
        <v>245</v>
      </c>
      <c r="D227" s="254" t="s">
        <v>743</v>
      </c>
      <c r="E227" s="256" t="s">
        <v>1720</v>
      </c>
      <c r="F227" s="202" t="str">
        <f>VLOOKUP(D227,CSR!$D$4:$E$1180,2,FALSE)</f>
        <v>CSR_20005</v>
      </c>
      <c r="G227" s="225">
        <v>46030</v>
      </c>
      <c r="H227" s="212">
        <v>3.5</v>
      </c>
      <c r="I227" s="245">
        <f t="shared" si="3"/>
        <v>0.18421052631578946</v>
      </c>
      <c r="J227" s="211" t="s">
        <v>914</v>
      </c>
      <c r="K227" s="204"/>
    </row>
    <row r="228" spans="1:11" ht="32">
      <c r="A228" s="198" t="s">
        <v>1385</v>
      </c>
      <c r="B228" s="251" t="s">
        <v>70</v>
      </c>
      <c r="C228" s="251" t="s">
        <v>245</v>
      </c>
      <c r="D228" s="254" t="s">
        <v>739</v>
      </c>
      <c r="E228" s="256" t="s">
        <v>1721</v>
      </c>
      <c r="F228" s="202" t="str">
        <f>VLOOKUP(D228,CSR!$D$4:$E$1180,2,FALSE)</f>
        <v>CSR_20003</v>
      </c>
      <c r="G228" s="225">
        <v>46035</v>
      </c>
      <c r="H228" s="212">
        <v>3.5</v>
      </c>
      <c r="I228" s="245">
        <f t="shared" si="3"/>
        <v>0.18421052631578946</v>
      </c>
      <c r="J228" s="211" t="s">
        <v>914</v>
      </c>
      <c r="K228" s="204"/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13"/>
  <sheetViews>
    <sheetView zoomScaleNormal="100" workbookViewId="0">
      <pane ySplit="1" topLeftCell="A113" activePane="bottomLeft" state="frozen"/>
      <selection activeCell="W106" sqref="W106"/>
      <selection pane="bottomLeft" activeCell="E122" sqref="E122"/>
    </sheetView>
  </sheetViews>
  <sheetFormatPr baseColWidth="10" defaultColWidth="9" defaultRowHeight="15"/>
  <cols>
    <col min="1" max="1" width="6.6640625" style="262" bestFit="1" customWidth="1"/>
    <col min="2" max="2" width="12.83203125" style="263" bestFit="1" customWidth="1"/>
    <col min="3" max="3" width="20.33203125" style="263" customWidth="1"/>
    <col min="4" max="4" width="39.6640625" style="263" bestFit="1" customWidth="1"/>
    <col min="5" max="5" width="43.83203125" style="263" customWidth="1"/>
    <col min="6" max="6" width="9.6640625" style="263" customWidth="1"/>
    <col min="7" max="7" width="9.6640625" style="21" customWidth="1"/>
    <col min="8" max="8" width="9.6640625" style="19" customWidth="1"/>
    <col min="9" max="9" width="9.6640625" style="222" customWidth="1"/>
    <col min="10" max="10" width="17.83203125" style="21" customWidth="1"/>
    <col min="11" max="11" width="9.6640625" style="263" customWidth="1"/>
    <col min="12" max="16384" width="9" style="247"/>
  </cols>
  <sheetData>
    <row r="1" spans="1:11" ht="16">
      <c r="A1" s="258" t="s">
        <v>815</v>
      </c>
      <c r="B1" s="258" t="s">
        <v>589</v>
      </c>
      <c r="C1" s="258" t="s">
        <v>590</v>
      </c>
      <c r="D1" s="258" t="s">
        <v>591</v>
      </c>
      <c r="E1" s="258" t="s">
        <v>816</v>
      </c>
      <c r="F1" s="258" t="s">
        <v>817</v>
      </c>
      <c r="G1" s="258" t="s">
        <v>8</v>
      </c>
      <c r="H1" s="258" t="s">
        <v>818</v>
      </c>
      <c r="I1" s="259" t="s">
        <v>819</v>
      </c>
      <c r="J1" s="258" t="s">
        <v>820</v>
      </c>
      <c r="K1" s="258" t="s">
        <v>588</v>
      </c>
    </row>
    <row r="2" spans="1:11" s="197" customFormat="1" ht="48">
      <c r="A2" s="198" t="s">
        <v>1722</v>
      </c>
      <c r="B2" s="199" t="s">
        <v>615</v>
      </c>
      <c r="C2" s="199" t="s">
        <v>616</v>
      </c>
      <c r="D2" s="208" t="s">
        <v>694</v>
      </c>
      <c r="E2" s="210" t="s">
        <v>1723</v>
      </c>
      <c r="F2" s="202" t="str">
        <f>VLOOKUP(D2,CSR!$D$4:$E$1180,2,FALSE)</f>
        <v>CSR_11402</v>
      </c>
      <c r="G2" s="203">
        <v>45989</v>
      </c>
      <c r="H2" s="204">
        <v>3</v>
      </c>
      <c r="I2" s="205">
        <f t="shared" ref="I2:I65" si="0">H2*10/190</f>
        <v>0.15789473684210525</v>
      </c>
      <c r="J2" s="206" t="s">
        <v>1724</v>
      </c>
      <c r="K2" s="204"/>
    </row>
    <row r="3" spans="1:11" s="197" customFormat="1" ht="32">
      <c r="A3" s="198" t="s">
        <v>1722</v>
      </c>
      <c r="B3" s="199" t="s">
        <v>758</v>
      </c>
      <c r="C3" s="199" t="s">
        <v>759</v>
      </c>
      <c r="D3" s="208" t="s">
        <v>764</v>
      </c>
      <c r="E3" s="210" t="s">
        <v>1725</v>
      </c>
      <c r="F3" s="202" t="str">
        <f>VLOOKUP(D3,CSR!$D$4:$E$1180,2,FALSE)</f>
        <v>CSR_30200</v>
      </c>
      <c r="G3" s="203">
        <v>45989</v>
      </c>
      <c r="H3" s="204">
        <v>2</v>
      </c>
      <c r="I3" s="205">
        <f t="shared" si="0"/>
        <v>0.10526315789473684</v>
      </c>
      <c r="J3" s="206" t="s">
        <v>22</v>
      </c>
      <c r="K3" s="204"/>
    </row>
    <row r="4" spans="1:11" s="197" customFormat="1" ht="32">
      <c r="A4" s="198" t="s">
        <v>1546</v>
      </c>
      <c r="B4" s="199" t="s">
        <v>615</v>
      </c>
      <c r="C4" s="199" t="s">
        <v>616</v>
      </c>
      <c r="D4" s="200" t="s">
        <v>627</v>
      </c>
      <c r="E4" s="226" t="s">
        <v>1726</v>
      </c>
      <c r="F4" s="202" t="str">
        <f>VLOOKUP(D4,CSR!$D$4:$E$1180,2,FALSE)</f>
        <v>CSR_10400</v>
      </c>
      <c r="G4" s="203">
        <v>45996</v>
      </c>
      <c r="H4" s="208">
        <v>3</v>
      </c>
      <c r="I4" s="205">
        <f t="shared" si="0"/>
        <v>0.15789473684210525</v>
      </c>
      <c r="J4" s="199" t="s">
        <v>22</v>
      </c>
      <c r="K4" s="204"/>
    </row>
    <row r="5" spans="1:11" s="197" customFormat="1" ht="32">
      <c r="A5" s="198" t="s">
        <v>1546</v>
      </c>
      <c r="B5" s="198" t="s">
        <v>615</v>
      </c>
      <c r="C5" s="198" t="s">
        <v>616</v>
      </c>
      <c r="D5" s="208" t="s">
        <v>647</v>
      </c>
      <c r="E5" s="218" t="s">
        <v>1727</v>
      </c>
      <c r="F5" s="202" t="str">
        <f>VLOOKUP(D5,CSR!$D$4:$E$1180,2,FALSE)</f>
        <v>CSR_11300</v>
      </c>
      <c r="G5" s="203">
        <v>45996</v>
      </c>
      <c r="H5" s="218">
        <v>2</v>
      </c>
      <c r="I5" s="205">
        <f t="shared" si="0"/>
        <v>0.10526315789473684</v>
      </c>
      <c r="J5" s="199" t="s">
        <v>22</v>
      </c>
      <c r="K5" s="208"/>
    </row>
    <row r="6" spans="1:11" s="197" customFormat="1" ht="32">
      <c r="A6" s="198" t="s">
        <v>1546</v>
      </c>
      <c r="B6" s="199" t="s">
        <v>615</v>
      </c>
      <c r="C6" s="199" t="s">
        <v>616</v>
      </c>
      <c r="D6" s="200" t="s">
        <v>627</v>
      </c>
      <c r="E6" s="226" t="s">
        <v>1728</v>
      </c>
      <c r="F6" s="202" t="str">
        <f>VLOOKUP(D6,CSR!$D$4:$E$1180,2,FALSE)</f>
        <v>CSR_10400</v>
      </c>
      <c r="G6" s="203">
        <v>46003</v>
      </c>
      <c r="H6" s="208">
        <v>3</v>
      </c>
      <c r="I6" s="205">
        <f t="shared" si="0"/>
        <v>0.15789473684210525</v>
      </c>
      <c r="J6" s="199" t="s">
        <v>22</v>
      </c>
      <c r="K6" s="204"/>
    </row>
    <row r="7" spans="1:11" s="197" customFormat="1" ht="32">
      <c r="A7" s="198" t="s">
        <v>1546</v>
      </c>
      <c r="B7" s="198" t="s">
        <v>615</v>
      </c>
      <c r="C7" s="198" t="s">
        <v>616</v>
      </c>
      <c r="D7" s="208" t="s">
        <v>647</v>
      </c>
      <c r="E7" s="218" t="s">
        <v>1727</v>
      </c>
      <c r="F7" s="202" t="str">
        <f>VLOOKUP(D7,CSR!$D$4:$E$1180,2,FALSE)</f>
        <v>CSR_11300</v>
      </c>
      <c r="G7" s="203">
        <v>46003</v>
      </c>
      <c r="H7" s="208">
        <v>2</v>
      </c>
      <c r="I7" s="205">
        <f t="shared" si="0"/>
        <v>0.10526315789473684</v>
      </c>
      <c r="J7" s="199" t="s">
        <v>22</v>
      </c>
      <c r="K7" s="204"/>
    </row>
    <row r="8" spans="1:11" s="197" customFormat="1" ht="32">
      <c r="A8" s="198" t="s">
        <v>1546</v>
      </c>
      <c r="B8" s="199" t="s">
        <v>615</v>
      </c>
      <c r="C8" s="199" t="s">
        <v>616</v>
      </c>
      <c r="D8" s="200" t="s">
        <v>627</v>
      </c>
      <c r="E8" s="226" t="s">
        <v>1729</v>
      </c>
      <c r="F8" s="202" t="str">
        <f>VLOOKUP(D8,CSR!$D$4:$E$1180,2,FALSE)</f>
        <v>CSR_10400</v>
      </c>
      <c r="G8" s="203">
        <v>46010</v>
      </c>
      <c r="H8" s="208">
        <v>2</v>
      </c>
      <c r="I8" s="205">
        <f t="shared" si="0"/>
        <v>0.10526315789473684</v>
      </c>
      <c r="J8" s="199" t="s">
        <v>22</v>
      </c>
      <c r="K8" s="204"/>
    </row>
    <row r="9" spans="1:11" s="197" customFormat="1" ht="32">
      <c r="A9" s="198" t="s">
        <v>1546</v>
      </c>
      <c r="B9" s="199" t="s">
        <v>758</v>
      </c>
      <c r="C9" s="199" t="s">
        <v>759</v>
      </c>
      <c r="D9" s="208" t="s">
        <v>764</v>
      </c>
      <c r="E9" s="218" t="s">
        <v>1730</v>
      </c>
      <c r="F9" s="202" t="str">
        <f>VLOOKUP(D9,CSR!$D$4:$E$1180,2,FALSE)</f>
        <v>CSR_30200</v>
      </c>
      <c r="G9" s="203">
        <v>46010</v>
      </c>
      <c r="H9" s="208">
        <v>2</v>
      </c>
      <c r="I9" s="205">
        <f t="shared" si="0"/>
        <v>0.10526315789473684</v>
      </c>
      <c r="J9" s="199" t="s">
        <v>22</v>
      </c>
      <c r="K9" s="218"/>
    </row>
    <row r="10" spans="1:11" s="197" customFormat="1" ht="48">
      <c r="A10" s="198" t="s">
        <v>1722</v>
      </c>
      <c r="B10" s="198" t="s">
        <v>615</v>
      </c>
      <c r="C10" s="198" t="s">
        <v>616</v>
      </c>
      <c r="D10" s="208" t="s">
        <v>647</v>
      </c>
      <c r="E10" s="210" t="s">
        <v>1731</v>
      </c>
      <c r="F10" s="202" t="str">
        <f>VLOOKUP(D10,CSR!$D$4:$E$1180,2,FALSE)</f>
        <v>CSR_11300</v>
      </c>
      <c r="G10" s="203">
        <v>45989</v>
      </c>
      <c r="H10" s="204">
        <v>2</v>
      </c>
      <c r="I10" s="205">
        <f t="shared" si="0"/>
        <v>0.10526315789473684</v>
      </c>
      <c r="J10" s="206" t="s">
        <v>54</v>
      </c>
      <c r="K10" s="204"/>
    </row>
    <row r="11" spans="1:11" s="197" customFormat="1" ht="48">
      <c r="A11" s="198" t="s">
        <v>1722</v>
      </c>
      <c r="B11" s="199" t="s">
        <v>615</v>
      </c>
      <c r="C11" s="199" t="s">
        <v>616</v>
      </c>
      <c r="D11" s="208" t="s">
        <v>694</v>
      </c>
      <c r="E11" s="210" t="s">
        <v>1723</v>
      </c>
      <c r="F11" s="202" t="str">
        <f>VLOOKUP(D11,CSR!$D$4:$E$1180,2,FALSE)</f>
        <v>CSR_11402</v>
      </c>
      <c r="G11" s="203">
        <v>45989</v>
      </c>
      <c r="H11" s="204">
        <v>3</v>
      </c>
      <c r="I11" s="205">
        <f t="shared" si="0"/>
        <v>0.15789473684210525</v>
      </c>
      <c r="J11" s="206" t="s">
        <v>54</v>
      </c>
      <c r="K11" s="204"/>
    </row>
    <row r="12" spans="1:11" s="197" customFormat="1" ht="32">
      <c r="A12" s="198" t="s">
        <v>1546</v>
      </c>
      <c r="B12" s="199" t="s">
        <v>615</v>
      </c>
      <c r="C12" s="199" t="s">
        <v>616</v>
      </c>
      <c r="D12" s="200" t="s">
        <v>627</v>
      </c>
      <c r="E12" s="226" t="s">
        <v>1726</v>
      </c>
      <c r="F12" s="202" t="str">
        <f>VLOOKUP(D12,CSR!$D$4:$E$1180,2,FALSE)</f>
        <v>CSR_10400</v>
      </c>
      <c r="G12" s="203">
        <v>45996</v>
      </c>
      <c r="H12" s="204">
        <v>3</v>
      </c>
      <c r="I12" s="205">
        <f t="shared" si="0"/>
        <v>0.15789473684210525</v>
      </c>
      <c r="J12" s="199" t="s">
        <v>54</v>
      </c>
      <c r="K12" s="204"/>
    </row>
    <row r="13" spans="1:11" s="197" customFormat="1" ht="32">
      <c r="A13" s="198" t="s">
        <v>1546</v>
      </c>
      <c r="B13" s="198" t="s">
        <v>615</v>
      </c>
      <c r="C13" s="198" t="s">
        <v>616</v>
      </c>
      <c r="D13" s="208" t="s">
        <v>647</v>
      </c>
      <c r="E13" s="218" t="s">
        <v>1727</v>
      </c>
      <c r="F13" s="202" t="str">
        <f>VLOOKUP(D13,CSR!$D$4:$E$1180,2,FALSE)</f>
        <v>CSR_11300</v>
      </c>
      <c r="G13" s="203">
        <v>45996</v>
      </c>
      <c r="H13" s="208">
        <v>2</v>
      </c>
      <c r="I13" s="205">
        <f t="shared" si="0"/>
        <v>0.10526315789473684</v>
      </c>
      <c r="J13" s="199" t="s">
        <v>54</v>
      </c>
      <c r="K13" s="204"/>
    </row>
    <row r="14" spans="1:11" s="197" customFormat="1" ht="32">
      <c r="A14" s="198" t="s">
        <v>1546</v>
      </c>
      <c r="B14" s="199" t="s">
        <v>615</v>
      </c>
      <c r="C14" s="199" t="s">
        <v>616</v>
      </c>
      <c r="D14" s="200" t="s">
        <v>627</v>
      </c>
      <c r="E14" s="226" t="s">
        <v>1728</v>
      </c>
      <c r="F14" s="202" t="str">
        <f>VLOOKUP(D14,CSR!$D$4:$E$1180,2,FALSE)</f>
        <v>CSR_10400</v>
      </c>
      <c r="G14" s="203">
        <v>46003</v>
      </c>
      <c r="H14" s="204">
        <v>3</v>
      </c>
      <c r="I14" s="205">
        <f t="shared" si="0"/>
        <v>0.15789473684210525</v>
      </c>
      <c r="J14" s="199" t="s">
        <v>54</v>
      </c>
      <c r="K14" s="204"/>
    </row>
    <row r="15" spans="1:11" s="197" customFormat="1" ht="32">
      <c r="A15" s="198" t="s">
        <v>1546</v>
      </c>
      <c r="B15" s="198" t="s">
        <v>615</v>
      </c>
      <c r="C15" s="198" t="s">
        <v>616</v>
      </c>
      <c r="D15" s="208" t="s">
        <v>634</v>
      </c>
      <c r="E15" s="210" t="s">
        <v>1732</v>
      </c>
      <c r="F15" s="202" t="str">
        <f>VLOOKUP(D15,CSR!$D$4:$E$1180,2,FALSE)</f>
        <v>CSR_10700</v>
      </c>
      <c r="G15" s="203">
        <v>46003</v>
      </c>
      <c r="H15" s="208">
        <v>2</v>
      </c>
      <c r="I15" s="205">
        <f t="shared" si="0"/>
        <v>0.10526315789473684</v>
      </c>
      <c r="J15" s="199" t="s">
        <v>54</v>
      </c>
      <c r="K15" s="204"/>
    </row>
    <row r="16" spans="1:11" s="197" customFormat="1" ht="32">
      <c r="A16" s="198" t="s">
        <v>1546</v>
      </c>
      <c r="B16" s="199" t="s">
        <v>615</v>
      </c>
      <c r="C16" s="199" t="s">
        <v>616</v>
      </c>
      <c r="D16" s="200" t="s">
        <v>627</v>
      </c>
      <c r="E16" s="226" t="s">
        <v>1729</v>
      </c>
      <c r="F16" s="202" t="str">
        <f>VLOOKUP(D16,CSR!$D$4:$E$1180,2,FALSE)</f>
        <v>CSR_10400</v>
      </c>
      <c r="G16" s="203">
        <v>46010</v>
      </c>
      <c r="H16" s="204">
        <v>4</v>
      </c>
      <c r="I16" s="205">
        <f t="shared" si="0"/>
        <v>0.21052631578947367</v>
      </c>
      <c r="J16" s="199" t="s">
        <v>54</v>
      </c>
      <c r="K16" s="208"/>
    </row>
    <row r="17" spans="1:11" s="197" customFormat="1" ht="32">
      <c r="A17" s="198" t="s">
        <v>1722</v>
      </c>
      <c r="B17" s="198" t="s">
        <v>615</v>
      </c>
      <c r="C17" s="198" t="s">
        <v>616</v>
      </c>
      <c r="D17" s="208" t="s">
        <v>634</v>
      </c>
      <c r="E17" s="210" t="s">
        <v>1732</v>
      </c>
      <c r="F17" s="202" t="str">
        <f>VLOOKUP(D17,CSR!$D$4:$E$1180,2,FALSE)</f>
        <v>CSR_10700</v>
      </c>
      <c r="G17" s="203">
        <v>45989</v>
      </c>
      <c r="H17" s="208">
        <v>2</v>
      </c>
      <c r="I17" s="205">
        <f t="shared" si="0"/>
        <v>0.10526315789473684</v>
      </c>
      <c r="J17" s="199" t="s">
        <v>68</v>
      </c>
      <c r="K17" s="204"/>
    </row>
    <row r="18" spans="1:11" s="197" customFormat="1" ht="32">
      <c r="A18" s="198" t="s">
        <v>1722</v>
      </c>
      <c r="B18" s="199" t="s">
        <v>758</v>
      </c>
      <c r="C18" s="199" t="s">
        <v>759</v>
      </c>
      <c r="D18" s="208" t="s">
        <v>764</v>
      </c>
      <c r="E18" s="210" t="s">
        <v>1725</v>
      </c>
      <c r="F18" s="202" t="str">
        <f>VLOOKUP(D18,CSR!$D$4:$E$1180,2,FALSE)</f>
        <v>CSR_30200</v>
      </c>
      <c r="G18" s="203">
        <v>45989</v>
      </c>
      <c r="H18" s="204">
        <v>3</v>
      </c>
      <c r="I18" s="205">
        <f t="shared" si="0"/>
        <v>0.15789473684210525</v>
      </c>
      <c r="J18" s="206" t="s">
        <v>68</v>
      </c>
      <c r="K18" s="204"/>
    </row>
    <row r="19" spans="1:11" s="197" customFormat="1" ht="32">
      <c r="A19" s="198" t="s">
        <v>1546</v>
      </c>
      <c r="B19" s="198" t="s">
        <v>615</v>
      </c>
      <c r="C19" s="198" t="s">
        <v>616</v>
      </c>
      <c r="D19" s="208" t="s">
        <v>647</v>
      </c>
      <c r="E19" s="218" t="s">
        <v>1727</v>
      </c>
      <c r="F19" s="202" t="str">
        <f>VLOOKUP(D19,CSR!$D$4:$E$1180,2,FALSE)</f>
        <v>CSR_11300</v>
      </c>
      <c r="G19" s="203">
        <v>45996</v>
      </c>
      <c r="H19" s="204">
        <v>2</v>
      </c>
      <c r="I19" s="205">
        <f t="shared" si="0"/>
        <v>0.10526315789473684</v>
      </c>
      <c r="J19" s="206" t="s">
        <v>68</v>
      </c>
      <c r="K19" s="204"/>
    </row>
    <row r="20" spans="1:11" s="197" customFormat="1" ht="48">
      <c r="A20" s="198" t="s">
        <v>1546</v>
      </c>
      <c r="B20" s="199" t="s">
        <v>615</v>
      </c>
      <c r="C20" s="199" t="s">
        <v>616</v>
      </c>
      <c r="D20" s="208" t="s">
        <v>694</v>
      </c>
      <c r="E20" s="210" t="s">
        <v>1733</v>
      </c>
      <c r="F20" s="202" t="str">
        <f>VLOOKUP(D20,CSR!$D$4:$E$1180,2,FALSE)</f>
        <v>CSR_11402</v>
      </c>
      <c r="G20" s="203">
        <v>45996</v>
      </c>
      <c r="H20" s="204">
        <v>3</v>
      </c>
      <c r="I20" s="205">
        <f t="shared" si="0"/>
        <v>0.15789473684210525</v>
      </c>
      <c r="J20" s="206" t="s">
        <v>68</v>
      </c>
      <c r="K20" s="204"/>
    </row>
    <row r="21" spans="1:11" s="197" customFormat="1" ht="64">
      <c r="A21" s="198" t="s">
        <v>1546</v>
      </c>
      <c r="B21" s="199" t="s">
        <v>615</v>
      </c>
      <c r="C21" s="199" t="s">
        <v>616</v>
      </c>
      <c r="D21" s="210" t="s">
        <v>698</v>
      </c>
      <c r="E21" s="210" t="s">
        <v>1734</v>
      </c>
      <c r="F21" s="202" t="str">
        <f>VLOOKUP(D21,CSR!$D$4:$E$1180,2,FALSE)</f>
        <v>CSR_11404</v>
      </c>
      <c r="G21" s="203">
        <v>46003</v>
      </c>
      <c r="H21" s="204">
        <v>4</v>
      </c>
      <c r="I21" s="205">
        <f t="shared" si="0"/>
        <v>0.21052631578947367</v>
      </c>
      <c r="J21" s="199" t="s">
        <v>68</v>
      </c>
      <c r="K21" s="204"/>
    </row>
    <row r="22" spans="1:11" s="197" customFormat="1" ht="32">
      <c r="A22" s="198" t="s">
        <v>1546</v>
      </c>
      <c r="B22" s="198" t="s">
        <v>615</v>
      </c>
      <c r="C22" s="198" t="s">
        <v>616</v>
      </c>
      <c r="D22" s="200" t="s">
        <v>659</v>
      </c>
      <c r="E22" s="249" t="s">
        <v>1735</v>
      </c>
      <c r="F22" s="202" t="str">
        <f>VLOOKUP(D22,CSR!$D$4:$E$1180,2,FALSE)</f>
        <v>CSR_11305</v>
      </c>
      <c r="G22" s="203">
        <v>46010</v>
      </c>
      <c r="H22" s="204">
        <v>3</v>
      </c>
      <c r="I22" s="205">
        <f t="shared" si="0"/>
        <v>0.15789473684210525</v>
      </c>
      <c r="J22" s="217" t="s">
        <v>68</v>
      </c>
      <c r="K22" s="204"/>
    </row>
    <row r="23" spans="1:11" s="197" customFormat="1" ht="48">
      <c r="A23" s="198" t="s">
        <v>1546</v>
      </c>
      <c r="B23" s="199" t="s">
        <v>615</v>
      </c>
      <c r="C23" s="199" t="s">
        <v>616</v>
      </c>
      <c r="D23" s="208" t="s">
        <v>698</v>
      </c>
      <c r="E23" s="210" t="s">
        <v>1736</v>
      </c>
      <c r="F23" s="202" t="str">
        <f>VLOOKUP(D23,CSR!$D$4:$E$1180,2,FALSE)</f>
        <v>CSR_11404</v>
      </c>
      <c r="G23" s="203">
        <v>46010</v>
      </c>
      <c r="H23" s="204">
        <v>2</v>
      </c>
      <c r="I23" s="205">
        <f t="shared" si="0"/>
        <v>0.10526315789473684</v>
      </c>
      <c r="J23" s="199" t="s">
        <v>68</v>
      </c>
      <c r="K23" s="208"/>
    </row>
    <row r="24" spans="1:11" s="197" customFormat="1" ht="48">
      <c r="A24" s="198" t="s">
        <v>1722</v>
      </c>
      <c r="B24" s="199" t="s">
        <v>615</v>
      </c>
      <c r="C24" s="199" t="s">
        <v>616</v>
      </c>
      <c r="D24" s="208" t="s">
        <v>694</v>
      </c>
      <c r="E24" s="210" t="s">
        <v>1723</v>
      </c>
      <c r="F24" s="202" t="str">
        <f>VLOOKUP(D24,CSR!$D$4:$E$1180,2,FALSE)</f>
        <v>CSR_11402</v>
      </c>
      <c r="G24" s="203">
        <v>45989</v>
      </c>
      <c r="H24" s="204">
        <v>3</v>
      </c>
      <c r="I24" s="205">
        <f t="shared" si="0"/>
        <v>0.15789473684210525</v>
      </c>
      <c r="J24" s="206" t="s">
        <v>83</v>
      </c>
      <c r="K24" s="204"/>
    </row>
    <row r="25" spans="1:11" s="197" customFormat="1" ht="48">
      <c r="A25" s="198" t="s">
        <v>1722</v>
      </c>
      <c r="B25" s="199" t="s">
        <v>758</v>
      </c>
      <c r="C25" s="199" t="s">
        <v>759</v>
      </c>
      <c r="D25" s="208" t="s">
        <v>760</v>
      </c>
      <c r="E25" s="210" t="s">
        <v>1737</v>
      </c>
      <c r="F25" s="202" t="str">
        <f>VLOOKUP(D25,CSR!$D$4:$E$1180,2,FALSE)</f>
        <v>CSR_30000</v>
      </c>
      <c r="G25" s="203">
        <v>45989</v>
      </c>
      <c r="H25" s="204">
        <v>1</v>
      </c>
      <c r="I25" s="205">
        <f t="shared" si="0"/>
        <v>5.2631578947368418E-2</v>
      </c>
      <c r="J25" s="206" t="s">
        <v>83</v>
      </c>
      <c r="K25" s="204"/>
    </row>
    <row r="26" spans="1:11" s="197" customFormat="1" ht="32">
      <c r="A26" s="198" t="s">
        <v>1722</v>
      </c>
      <c r="B26" s="199" t="s">
        <v>775</v>
      </c>
      <c r="C26" s="199" t="s">
        <v>780</v>
      </c>
      <c r="D26" s="208" t="s">
        <v>785</v>
      </c>
      <c r="E26" s="210" t="s">
        <v>1738</v>
      </c>
      <c r="F26" s="202" t="str">
        <f>VLOOKUP(D26,CSR!$D$4:$E$1180,2,FALSE)</f>
        <v>CSR_40400</v>
      </c>
      <c r="G26" s="203">
        <v>45989</v>
      </c>
      <c r="H26" s="204">
        <v>1</v>
      </c>
      <c r="I26" s="205">
        <f t="shared" si="0"/>
        <v>5.2631578947368418E-2</v>
      </c>
      <c r="J26" s="206" t="s">
        <v>83</v>
      </c>
      <c r="K26" s="204"/>
    </row>
    <row r="27" spans="1:11" s="197" customFormat="1" ht="32">
      <c r="A27" s="198" t="s">
        <v>1546</v>
      </c>
      <c r="B27" s="198" t="s">
        <v>615</v>
      </c>
      <c r="C27" s="198" t="s">
        <v>616</v>
      </c>
      <c r="D27" s="208" t="s">
        <v>647</v>
      </c>
      <c r="E27" s="218" t="s">
        <v>1727</v>
      </c>
      <c r="F27" s="202" t="str">
        <f>VLOOKUP(D27,CSR!$D$4:$E$1180,2,FALSE)</f>
        <v>CSR_11300</v>
      </c>
      <c r="G27" s="203">
        <v>45996</v>
      </c>
      <c r="H27" s="204">
        <v>3</v>
      </c>
      <c r="I27" s="205">
        <f t="shared" si="0"/>
        <v>0.15789473684210525</v>
      </c>
      <c r="J27" s="206" t="s">
        <v>83</v>
      </c>
      <c r="K27" s="204"/>
    </row>
    <row r="28" spans="1:11" s="197" customFormat="1" ht="32">
      <c r="A28" s="198" t="s">
        <v>1546</v>
      </c>
      <c r="B28" s="199" t="s">
        <v>775</v>
      </c>
      <c r="C28" s="199" t="s">
        <v>780</v>
      </c>
      <c r="D28" s="208" t="s">
        <v>785</v>
      </c>
      <c r="E28" s="210" t="s">
        <v>1738</v>
      </c>
      <c r="F28" s="202" t="str">
        <f>VLOOKUP(D28,CSR!$D$4:$E$1180,2,FALSE)</f>
        <v>CSR_40400</v>
      </c>
      <c r="G28" s="203">
        <v>45996</v>
      </c>
      <c r="H28" s="204">
        <v>2</v>
      </c>
      <c r="I28" s="205">
        <f t="shared" si="0"/>
        <v>0.10526315789473684</v>
      </c>
      <c r="J28" s="206" t="s">
        <v>83</v>
      </c>
      <c r="K28" s="204"/>
    </row>
    <row r="29" spans="1:11" s="197" customFormat="1" ht="64">
      <c r="A29" s="198" t="s">
        <v>1546</v>
      </c>
      <c r="B29" s="199" t="s">
        <v>615</v>
      </c>
      <c r="C29" s="199" t="s">
        <v>616</v>
      </c>
      <c r="D29" s="200" t="s">
        <v>698</v>
      </c>
      <c r="E29" s="210" t="s">
        <v>1734</v>
      </c>
      <c r="F29" s="202" t="str">
        <f>VLOOKUP(D29,CSR!$D$4:$E$1180,2,FALSE)</f>
        <v>CSR_11404</v>
      </c>
      <c r="G29" s="203">
        <v>46003</v>
      </c>
      <c r="H29" s="204">
        <v>4</v>
      </c>
      <c r="I29" s="205">
        <f t="shared" si="0"/>
        <v>0.21052631578947367</v>
      </c>
      <c r="J29" s="199" t="s">
        <v>83</v>
      </c>
      <c r="K29" s="208"/>
    </row>
    <row r="30" spans="1:11" s="197" customFormat="1" ht="32">
      <c r="A30" s="198" t="s">
        <v>1546</v>
      </c>
      <c r="B30" s="198" t="s">
        <v>615</v>
      </c>
      <c r="C30" s="198" t="s">
        <v>616</v>
      </c>
      <c r="D30" s="208" t="s">
        <v>647</v>
      </c>
      <c r="E30" s="218" t="s">
        <v>1727</v>
      </c>
      <c r="F30" s="202" t="str">
        <f>VLOOKUP(D30,CSR!$D$4:$E$1180,2,FALSE)</f>
        <v>CSR_11300</v>
      </c>
      <c r="G30" s="203">
        <v>46010</v>
      </c>
      <c r="H30" s="208">
        <v>2</v>
      </c>
      <c r="I30" s="205">
        <f t="shared" si="0"/>
        <v>0.10526315789473684</v>
      </c>
      <c r="J30" s="199" t="s">
        <v>83</v>
      </c>
      <c r="K30" s="218"/>
    </row>
    <row r="31" spans="1:11" s="197" customFormat="1" ht="48">
      <c r="A31" s="198" t="s">
        <v>1546</v>
      </c>
      <c r="B31" s="199" t="s">
        <v>615</v>
      </c>
      <c r="C31" s="199" t="s">
        <v>616</v>
      </c>
      <c r="D31" s="208" t="s">
        <v>698</v>
      </c>
      <c r="E31" s="210" t="s">
        <v>1736</v>
      </c>
      <c r="F31" s="202" t="str">
        <f>VLOOKUP(D31,CSR!$D$4:$E$1180,2,FALSE)</f>
        <v>CSR_11404</v>
      </c>
      <c r="G31" s="203">
        <v>46010</v>
      </c>
      <c r="H31" s="204">
        <v>3</v>
      </c>
      <c r="I31" s="205">
        <f t="shared" si="0"/>
        <v>0.15789473684210525</v>
      </c>
      <c r="J31" s="199" t="s">
        <v>83</v>
      </c>
      <c r="K31" s="204"/>
    </row>
    <row r="32" spans="1:11" s="197" customFormat="1" ht="48">
      <c r="A32" s="198" t="s">
        <v>1722</v>
      </c>
      <c r="B32" s="199" t="s">
        <v>615</v>
      </c>
      <c r="C32" s="199" t="s">
        <v>616</v>
      </c>
      <c r="D32" s="208" t="s">
        <v>694</v>
      </c>
      <c r="E32" s="210" t="s">
        <v>1723</v>
      </c>
      <c r="F32" s="202" t="str">
        <f>VLOOKUP(D32,CSR!$D$4:$E$1180,2,FALSE)</f>
        <v>CSR_11402</v>
      </c>
      <c r="G32" s="203">
        <v>45989</v>
      </c>
      <c r="H32" s="208">
        <v>2</v>
      </c>
      <c r="I32" s="205">
        <f t="shared" si="0"/>
        <v>0.10526315789473684</v>
      </c>
      <c r="J32" s="206" t="s">
        <v>90</v>
      </c>
      <c r="K32" s="204"/>
    </row>
    <row r="33" spans="1:11" s="197" customFormat="1" ht="32">
      <c r="A33" s="198" t="s">
        <v>1722</v>
      </c>
      <c r="B33" s="199" t="s">
        <v>758</v>
      </c>
      <c r="C33" s="199" t="s">
        <v>759</v>
      </c>
      <c r="D33" s="208" t="s">
        <v>764</v>
      </c>
      <c r="E33" s="210" t="s">
        <v>1725</v>
      </c>
      <c r="F33" s="202" t="str">
        <f>VLOOKUP(D33,CSR!$D$4:$E$1180,2,FALSE)</f>
        <v>CSR_30200</v>
      </c>
      <c r="G33" s="203">
        <v>45989</v>
      </c>
      <c r="H33" s="204">
        <v>3</v>
      </c>
      <c r="I33" s="205">
        <f t="shared" si="0"/>
        <v>0.15789473684210525</v>
      </c>
      <c r="J33" s="206" t="s">
        <v>90</v>
      </c>
      <c r="K33" s="204"/>
    </row>
    <row r="34" spans="1:11" s="197" customFormat="1" ht="48">
      <c r="A34" s="198" t="s">
        <v>1546</v>
      </c>
      <c r="B34" s="199" t="s">
        <v>615</v>
      </c>
      <c r="C34" s="199" t="s">
        <v>616</v>
      </c>
      <c r="D34" s="208" t="s">
        <v>694</v>
      </c>
      <c r="E34" s="210" t="s">
        <v>1733</v>
      </c>
      <c r="F34" s="202" t="str">
        <f>VLOOKUP(D34,CSR!$D$4:$E$1180,2,FALSE)</f>
        <v>CSR_11402</v>
      </c>
      <c r="G34" s="203">
        <v>45996</v>
      </c>
      <c r="H34" s="204">
        <v>4</v>
      </c>
      <c r="I34" s="205">
        <f t="shared" si="0"/>
        <v>0.21052631578947367</v>
      </c>
      <c r="J34" s="206" t="s">
        <v>90</v>
      </c>
      <c r="K34" s="204"/>
    </row>
    <row r="35" spans="1:11" s="197" customFormat="1" ht="32">
      <c r="A35" s="198" t="s">
        <v>1546</v>
      </c>
      <c r="B35" s="198" t="s">
        <v>615</v>
      </c>
      <c r="C35" s="198" t="s">
        <v>616</v>
      </c>
      <c r="D35" s="208" t="s">
        <v>647</v>
      </c>
      <c r="E35" s="218" t="s">
        <v>1727</v>
      </c>
      <c r="F35" s="202" t="str">
        <f>VLOOKUP(D35,CSR!$D$4:$E$1180,2,FALSE)</f>
        <v>CSR_11300</v>
      </c>
      <c r="G35" s="203">
        <v>46003</v>
      </c>
      <c r="H35" s="208">
        <v>2</v>
      </c>
      <c r="I35" s="205">
        <f t="shared" si="0"/>
        <v>0.10526315789473684</v>
      </c>
      <c r="J35" s="199" t="s">
        <v>90</v>
      </c>
      <c r="K35" s="204"/>
    </row>
    <row r="36" spans="1:11" s="197" customFormat="1" ht="32">
      <c r="A36" s="198" t="s">
        <v>1546</v>
      </c>
      <c r="B36" s="198" t="s">
        <v>615</v>
      </c>
      <c r="C36" s="198" t="s">
        <v>616</v>
      </c>
      <c r="D36" s="208" t="s">
        <v>653</v>
      </c>
      <c r="E36" s="210" t="s">
        <v>1739</v>
      </c>
      <c r="F36" s="202" t="str">
        <f>VLOOKUP(D36,CSR!$D$4:$E$1180,2,FALSE)</f>
        <v>CSR_11303</v>
      </c>
      <c r="G36" s="203">
        <v>46003</v>
      </c>
      <c r="H36" s="208">
        <v>3</v>
      </c>
      <c r="I36" s="205">
        <f t="shared" si="0"/>
        <v>0.15789473684210525</v>
      </c>
      <c r="J36" s="199" t="s">
        <v>90</v>
      </c>
      <c r="K36" s="204"/>
    </row>
    <row r="37" spans="1:11" s="197" customFormat="1" ht="32">
      <c r="A37" s="198" t="s">
        <v>1546</v>
      </c>
      <c r="B37" s="198" t="s">
        <v>615</v>
      </c>
      <c r="C37" s="198" t="s">
        <v>616</v>
      </c>
      <c r="D37" s="208" t="s">
        <v>647</v>
      </c>
      <c r="E37" s="210" t="s">
        <v>1740</v>
      </c>
      <c r="F37" s="202" t="str">
        <f>VLOOKUP(D37,CSR!$D$4:$E$1180,2,FALSE)</f>
        <v>CSR_11300</v>
      </c>
      <c r="G37" s="203">
        <v>46010</v>
      </c>
      <c r="H37" s="204">
        <v>2</v>
      </c>
      <c r="I37" s="205">
        <f t="shared" si="0"/>
        <v>0.10526315789473684</v>
      </c>
      <c r="J37" s="217" t="s">
        <v>90</v>
      </c>
      <c r="K37" s="204"/>
    </row>
    <row r="38" spans="1:11" s="197" customFormat="1" ht="32">
      <c r="A38" s="198" t="s">
        <v>1546</v>
      </c>
      <c r="B38" s="198" t="s">
        <v>615</v>
      </c>
      <c r="C38" s="198" t="s">
        <v>616</v>
      </c>
      <c r="D38" s="208" t="s">
        <v>647</v>
      </c>
      <c r="E38" s="218" t="s">
        <v>1727</v>
      </c>
      <c r="F38" s="202" t="str">
        <f>VLOOKUP(D38,CSR!$D$4:$E$1180,2,FALSE)</f>
        <v>CSR_11300</v>
      </c>
      <c r="G38" s="203">
        <v>46010</v>
      </c>
      <c r="H38" s="208">
        <v>1</v>
      </c>
      <c r="I38" s="205">
        <f t="shared" si="0"/>
        <v>5.2631578947368418E-2</v>
      </c>
      <c r="J38" s="199" t="s">
        <v>90</v>
      </c>
      <c r="K38" s="218"/>
    </row>
    <row r="39" spans="1:11" s="197" customFormat="1" ht="32">
      <c r="A39" s="198" t="s">
        <v>1546</v>
      </c>
      <c r="B39" s="198" t="s">
        <v>615</v>
      </c>
      <c r="C39" s="198" t="s">
        <v>616</v>
      </c>
      <c r="D39" s="208" t="s">
        <v>653</v>
      </c>
      <c r="E39" s="210" t="s">
        <v>1741</v>
      </c>
      <c r="F39" s="202" t="str">
        <f>VLOOKUP(D39,CSR!$D$4:$E$1180,2,FALSE)</f>
        <v>CSR_11303</v>
      </c>
      <c r="G39" s="203">
        <v>46010</v>
      </c>
      <c r="H39" s="208">
        <v>2</v>
      </c>
      <c r="I39" s="205">
        <f t="shared" si="0"/>
        <v>0.10526315789473684</v>
      </c>
      <c r="J39" s="199" t="s">
        <v>90</v>
      </c>
      <c r="K39" s="218"/>
    </row>
    <row r="40" spans="1:11" s="197" customFormat="1" ht="32">
      <c r="A40" s="198" t="s">
        <v>1546</v>
      </c>
      <c r="B40" s="199" t="s">
        <v>758</v>
      </c>
      <c r="C40" s="198" t="s">
        <v>32</v>
      </c>
      <c r="D40" s="208" t="s">
        <v>97</v>
      </c>
      <c r="E40" s="218" t="s">
        <v>823</v>
      </c>
      <c r="F40" s="202" t="str">
        <f>VLOOKUP(D40,CSR!$D$4:$E$1180,2,FALSE)</f>
        <v>CSR_30300</v>
      </c>
      <c r="G40" s="203">
        <v>46010</v>
      </c>
      <c r="H40" s="204">
        <v>2</v>
      </c>
      <c r="I40" s="205">
        <f t="shared" si="0"/>
        <v>0.10526315789473684</v>
      </c>
      <c r="J40" s="199" t="s">
        <v>824</v>
      </c>
      <c r="K40" s="204"/>
    </row>
    <row r="41" spans="1:11" s="197" customFormat="1" ht="32">
      <c r="A41" s="198" t="s">
        <v>1546</v>
      </c>
      <c r="B41" s="199" t="s">
        <v>758</v>
      </c>
      <c r="C41" s="198" t="s">
        <v>32</v>
      </c>
      <c r="D41" s="208" t="s">
        <v>97</v>
      </c>
      <c r="E41" s="218" t="s">
        <v>823</v>
      </c>
      <c r="F41" s="202" t="str">
        <f>VLOOKUP(D41,CSR!$D$4:$E$1180,2,FALSE)</f>
        <v>CSR_30300</v>
      </c>
      <c r="G41" s="203">
        <v>46010</v>
      </c>
      <c r="H41" s="204">
        <v>2</v>
      </c>
      <c r="I41" s="205">
        <f t="shared" si="0"/>
        <v>0.10526315789473684</v>
      </c>
      <c r="J41" s="199" t="s">
        <v>101</v>
      </c>
      <c r="K41" s="204"/>
    </row>
    <row r="42" spans="1:11" s="197" customFormat="1" ht="32">
      <c r="A42" s="198" t="s">
        <v>1546</v>
      </c>
      <c r="B42" s="199" t="s">
        <v>758</v>
      </c>
      <c r="C42" s="198" t="s">
        <v>32</v>
      </c>
      <c r="D42" s="208" t="s">
        <v>97</v>
      </c>
      <c r="E42" s="218" t="s">
        <v>823</v>
      </c>
      <c r="F42" s="202" t="str">
        <f>VLOOKUP(D42,CSR!$D$4:$E$1180,2,FALSE)</f>
        <v>CSR_30300</v>
      </c>
      <c r="G42" s="203">
        <v>46010</v>
      </c>
      <c r="H42" s="204">
        <v>2</v>
      </c>
      <c r="I42" s="205">
        <f t="shared" si="0"/>
        <v>0.10526315789473684</v>
      </c>
      <c r="J42" s="199" t="s">
        <v>102</v>
      </c>
      <c r="K42" s="204"/>
    </row>
    <row r="43" spans="1:11" s="197" customFormat="1" ht="48">
      <c r="A43" s="198" t="s">
        <v>1722</v>
      </c>
      <c r="B43" s="199" t="s">
        <v>615</v>
      </c>
      <c r="C43" s="199" t="s">
        <v>616</v>
      </c>
      <c r="D43" s="208" t="s">
        <v>694</v>
      </c>
      <c r="E43" s="210" t="s">
        <v>1723</v>
      </c>
      <c r="F43" s="202" t="str">
        <f>VLOOKUP(D43,CSR!$D$4:$E$1180,2,FALSE)</f>
        <v>CSR_11402</v>
      </c>
      <c r="G43" s="203">
        <v>45989</v>
      </c>
      <c r="H43" s="204">
        <v>3</v>
      </c>
      <c r="I43" s="205">
        <f t="shared" si="0"/>
        <v>0.15789473684210525</v>
      </c>
      <c r="J43" s="199" t="s">
        <v>104</v>
      </c>
      <c r="K43" s="204"/>
    </row>
    <row r="44" spans="1:11" s="197" customFormat="1" ht="32">
      <c r="A44" s="198" t="s">
        <v>1722</v>
      </c>
      <c r="B44" s="199" t="s">
        <v>758</v>
      </c>
      <c r="C44" s="199" t="s">
        <v>759</v>
      </c>
      <c r="D44" s="208" t="s">
        <v>764</v>
      </c>
      <c r="E44" s="210" t="s">
        <v>1742</v>
      </c>
      <c r="F44" s="202" t="str">
        <f>VLOOKUP(D44,CSR!$D$4:$E$1180,2,FALSE)</f>
        <v>CSR_30200</v>
      </c>
      <c r="G44" s="203">
        <v>45989</v>
      </c>
      <c r="H44" s="204">
        <v>2</v>
      </c>
      <c r="I44" s="205">
        <f t="shared" si="0"/>
        <v>0.10526315789473684</v>
      </c>
      <c r="J44" s="199" t="s">
        <v>104</v>
      </c>
      <c r="K44" s="208"/>
    </row>
    <row r="45" spans="1:11" s="197" customFormat="1" ht="32">
      <c r="A45" s="198" t="s">
        <v>1546</v>
      </c>
      <c r="B45" s="199" t="s">
        <v>615</v>
      </c>
      <c r="C45" s="199" t="s">
        <v>616</v>
      </c>
      <c r="D45" s="200" t="s">
        <v>627</v>
      </c>
      <c r="E45" s="226" t="s">
        <v>1743</v>
      </c>
      <c r="F45" s="202" t="str">
        <f>VLOOKUP(D45,CSR!$D$4:$E$1180,2,FALSE)</f>
        <v>CSR_10400</v>
      </c>
      <c r="G45" s="203">
        <v>45996</v>
      </c>
      <c r="H45" s="218">
        <v>3</v>
      </c>
      <c r="I45" s="205">
        <f t="shared" si="0"/>
        <v>0.15789473684210525</v>
      </c>
      <c r="J45" s="199" t="s">
        <v>104</v>
      </c>
      <c r="K45" s="204"/>
    </row>
    <row r="46" spans="1:11" s="197" customFormat="1" ht="32">
      <c r="A46" s="198" t="s">
        <v>1546</v>
      </c>
      <c r="B46" s="198" t="s">
        <v>615</v>
      </c>
      <c r="C46" s="198" t="s">
        <v>616</v>
      </c>
      <c r="D46" s="208" t="s">
        <v>647</v>
      </c>
      <c r="E46" s="218" t="s">
        <v>1727</v>
      </c>
      <c r="F46" s="202" t="str">
        <f>VLOOKUP(D46,CSR!$D$4:$E$1180,2,FALSE)</f>
        <v>CSR_11300</v>
      </c>
      <c r="G46" s="203">
        <v>45996</v>
      </c>
      <c r="H46" s="208">
        <v>2</v>
      </c>
      <c r="I46" s="205">
        <f t="shared" si="0"/>
        <v>0.10526315789473684</v>
      </c>
      <c r="J46" s="199" t="s">
        <v>104</v>
      </c>
      <c r="K46" s="204"/>
    </row>
    <row r="47" spans="1:11" s="197" customFormat="1" ht="32">
      <c r="A47" s="198" t="s">
        <v>1546</v>
      </c>
      <c r="B47" s="199" t="s">
        <v>615</v>
      </c>
      <c r="C47" s="199" t="s">
        <v>616</v>
      </c>
      <c r="D47" s="200" t="s">
        <v>627</v>
      </c>
      <c r="E47" s="226" t="s">
        <v>1744</v>
      </c>
      <c r="F47" s="202" t="str">
        <f>VLOOKUP(D47,CSR!$D$4:$E$1180,2,FALSE)</f>
        <v>CSR_10400</v>
      </c>
      <c r="G47" s="203">
        <v>46003</v>
      </c>
      <c r="H47" s="218">
        <v>2</v>
      </c>
      <c r="I47" s="205">
        <f t="shared" si="0"/>
        <v>0.10526315789473684</v>
      </c>
      <c r="J47" s="199" t="s">
        <v>104</v>
      </c>
      <c r="K47" s="204"/>
    </row>
    <row r="48" spans="1:11" s="197" customFormat="1" ht="32">
      <c r="A48" s="198" t="s">
        <v>1546</v>
      </c>
      <c r="B48" s="198" t="s">
        <v>615</v>
      </c>
      <c r="C48" s="198" t="s">
        <v>616</v>
      </c>
      <c r="D48" s="208" t="s">
        <v>653</v>
      </c>
      <c r="E48" s="210" t="s">
        <v>1745</v>
      </c>
      <c r="F48" s="202" t="str">
        <f>VLOOKUP(D48,CSR!$D$4:$E$1180,2,FALSE)</f>
        <v>CSR_11303</v>
      </c>
      <c r="G48" s="203">
        <v>46003</v>
      </c>
      <c r="H48" s="208">
        <v>2</v>
      </c>
      <c r="I48" s="205">
        <f t="shared" si="0"/>
        <v>0.10526315789473684</v>
      </c>
      <c r="J48" s="206" t="s">
        <v>104</v>
      </c>
      <c r="K48" s="204"/>
    </row>
    <row r="49" spans="1:11" s="197" customFormat="1" ht="32">
      <c r="A49" s="198" t="s">
        <v>1546</v>
      </c>
      <c r="B49" s="199" t="s">
        <v>615</v>
      </c>
      <c r="C49" s="199" t="s">
        <v>616</v>
      </c>
      <c r="D49" s="200" t="s">
        <v>627</v>
      </c>
      <c r="E49" s="226" t="s">
        <v>1746</v>
      </c>
      <c r="F49" s="202" t="str">
        <f>VLOOKUP(D49,CSR!$D$4:$E$1180,2,FALSE)</f>
        <v>CSR_10400</v>
      </c>
      <c r="G49" s="203">
        <v>46010</v>
      </c>
      <c r="H49" s="218">
        <v>3</v>
      </c>
      <c r="I49" s="205">
        <f t="shared" si="0"/>
        <v>0.15789473684210525</v>
      </c>
      <c r="J49" s="199" t="s">
        <v>104</v>
      </c>
      <c r="K49" s="204"/>
    </row>
    <row r="50" spans="1:11" s="197" customFormat="1" ht="32">
      <c r="A50" s="198" t="s">
        <v>1546</v>
      </c>
      <c r="B50" s="198" t="s">
        <v>615</v>
      </c>
      <c r="C50" s="198" t="s">
        <v>616</v>
      </c>
      <c r="D50" s="208" t="s">
        <v>653</v>
      </c>
      <c r="E50" s="210" t="s">
        <v>1747</v>
      </c>
      <c r="F50" s="202" t="str">
        <f>VLOOKUP(D50,CSR!$D$4:$E$1180,2,FALSE)</f>
        <v>CSR_11303</v>
      </c>
      <c r="G50" s="203">
        <v>46010</v>
      </c>
      <c r="H50" s="208">
        <v>2</v>
      </c>
      <c r="I50" s="205">
        <f t="shared" si="0"/>
        <v>0.10526315789473684</v>
      </c>
      <c r="J50" s="206" t="s">
        <v>104</v>
      </c>
      <c r="K50" s="218"/>
    </row>
    <row r="51" spans="1:11" s="197" customFormat="1" ht="48">
      <c r="A51" s="198" t="s">
        <v>1722</v>
      </c>
      <c r="B51" s="199" t="s">
        <v>615</v>
      </c>
      <c r="C51" s="199" t="s">
        <v>616</v>
      </c>
      <c r="D51" s="208" t="s">
        <v>694</v>
      </c>
      <c r="E51" s="210" t="s">
        <v>1723</v>
      </c>
      <c r="F51" s="202" t="str">
        <f>VLOOKUP(D51,CSR!$D$4:$E$1180,2,FALSE)</f>
        <v>CSR_11402</v>
      </c>
      <c r="G51" s="203">
        <v>45989</v>
      </c>
      <c r="H51" s="204">
        <v>3</v>
      </c>
      <c r="I51" s="205">
        <f t="shared" si="0"/>
        <v>0.15789473684210525</v>
      </c>
      <c r="J51" s="199" t="s">
        <v>114</v>
      </c>
      <c r="K51" s="204"/>
    </row>
    <row r="52" spans="1:11" s="197" customFormat="1" ht="32">
      <c r="A52" s="198" t="s">
        <v>1722</v>
      </c>
      <c r="B52" s="199" t="s">
        <v>758</v>
      </c>
      <c r="C52" s="199" t="s">
        <v>759</v>
      </c>
      <c r="D52" s="208" t="s">
        <v>764</v>
      </c>
      <c r="E52" s="210" t="s">
        <v>1742</v>
      </c>
      <c r="F52" s="202" t="str">
        <f>VLOOKUP(D52,CSR!$D$4:$E$1180,2,FALSE)</f>
        <v>CSR_30200</v>
      </c>
      <c r="G52" s="203">
        <v>45989</v>
      </c>
      <c r="H52" s="208">
        <v>2</v>
      </c>
      <c r="I52" s="205">
        <f t="shared" si="0"/>
        <v>0.10526315789473684</v>
      </c>
      <c r="J52" s="199" t="s">
        <v>114</v>
      </c>
      <c r="K52" s="204"/>
    </row>
    <row r="53" spans="1:11" s="197" customFormat="1" ht="48">
      <c r="A53" s="198" t="s">
        <v>1546</v>
      </c>
      <c r="B53" s="199" t="s">
        <v>615</v>
      </c>
      <c r="C53" s="199" t="s">
        <v>616</v>
      </c>
      <c r="D53" s="208" t="s">
        <v>694</v>
      </c>
      <c r="E53" s="210" t="s">
        <v>1733</v>
      </c>
      <c r="F53" s="202" t="str">
        <f>VLOOKUP(D53,CSR!$D$4:$E$1180,2,FALSE)</f>
        <v>CSR_11402</v>
      </c>
      <c r="G53" s="203">
        <v>45996</v>
      </c>
      <c r="H53" s="204">
        <v>3</v>
      </c>
      <c r="I53" s="205">
        <f t="shared" si="0"/>
        <v>0.15789473684210525</v>
      </c>
      <c r="J53" s="206" t="s">
        <v>114</v>
      </c>
      <c r="K53" s="204"/>
    </row>
    <row r="54" spans="1:11" s="197" customFormat="1" ht="64">
      <c r="A54" s="198" t="s">
        <v>1546</v>
      </c>
      <c r="B54" s="199" t="s">
        <v>758</v>
      </c>
      <c r="C54" s="199" t="s">
        <v>759</v>
      </c>
      <c r="D54" s="208" t="s">
        <v>760</v>
      </c>
      <c r="E54" s="210" t="s">
        <v>1748</v>
      </c>
      <c r="F54" s="202" t="str">
        <f>VLOOKUP(D54,CSR!$D$4:$E$1180,2,FALSE)</f>
        <v>CSR_30000</v>
      </c>
      <c r="G54" s="203">
        <v>45996</v>
      </c>
      <c r="H54" s="208">
        <v>2</v>
      </c>
      <c r="I54" s="205">
        <f t="shared" si="0"/>
        <v>0.10526315789473684</v>
      </c>
      <c r="J54" s="199" t="s">
        <v>114</v>
      </c>
      <c r="K54" s="204"/>
    </row>
    <row r="55" spans="1:11" s="197" customFormat="1" ht="64">
      <c r="A55" s="198" t="s">
        <v>1546</v>
      </c>
      <c r="B55" s="199" t="s">
        <v>615</v>
      </c>
      <c r="C55" s="199" t="s">
        <v>616</v>
      </c>
      <c r="D55" s="200" t="s">
        <v>698</v>
      </c>
      <c r="E55" s="210" t="s">
        <v>1734</v>
      </c>
      <c r="F55" s="202" t="str">
        <f>VLOOKUP(D55,CSR!$D$4:$E$1180,2,FALSE)</f>
        <v>CSR_11404</v>
      </c>
      <c r="G55" s="203">
        <v>46003</v>
      </c>
      <c r="H55" s="208">
        <v>4</v>
      </c>
      <c r="I55" s="205">
        <f t="shared" si="0"/>
        <v>0.21052631578947367</v>
      </c>
      <c r="J55" s="206" t="s">
        <v>114</v>
      </c>
      <c r="K55" s="204"/>
    </row>
    <row r="56" spans="1:11" s="197" customFormat="1" ht="32">
      <c r="A56" s="198" t="s">
        <v>1546</v>
      </c>
      <c r="B56" s="198" t="s">
        <v>615</v>
      </c>
      <c r="C56" s="198" t="s">
        <v>616</v>
      </c>
      <c r="D56" s="200" t="s">
        <v>659</v>
      </c>
      <c r="E56" s="249" t="s">
        <v>1749</v>
      </c>
      <c r="F56" s="202" t="str">
        <f>VLOOKUP(D56,CSR!$D$4:$E$1180,2,FALSE)</f>
        <v>CSR_11305</v>
      </c>
      <c r="G56" s="203">
        <v>46010</v>
      </c>
      <c r="H56" s="208">
        <v>3</v>
      </c>
      <c r="I56" s="205">
        <f t="shared" si="0"/>
        <v>0.15789473684210525</v>
      </c>
      <c r="J56" s="217" t="s">
        <v>114</v>
      </c>
      <c r="K56" s="204"/>
    </row>
    <row r="57" spans="1:11" s="197" customFormat="1" ht="48">
      <c r="A57" s="198" t="s">
        <v>1546</v>
      </c>
      <c r="B57" s="199" t="s">
        <v>615</v>
      </c>
      <c r="C57" s="199" t="s">
        <v>616</v>
      </c>
      <c r="D57" s="208" t="s">
        <v>698</v>
      </c>
      <c r="E57" s="210" t="s">
        <v>1736</v>
      </c>
      <c r="F57" s="202" t="str">
        <f>VLOOKUP(D57,CSR!$D$4:$E$1180,2,FALSE)</f>
        <v>CSR_11404</v>
      </c>
      <c r="G57" s="203">
        <v>46010</v>
      </c>
      <c r="H57" s="208">
        <v>2</v>
      </c>
      <c r="I57" s="205">
        <f t="shared" si="0"/>
        <v>0.10526315789473684</v>
      </c>
      <c r="J57" s="206" t="s">
        <v>114</v>
      </c>
      <c r="K57" s="204"/>
    </row>
    <row r="58" spans="1:11" s="197" customFormat="1" ht="48">
      <c r="A58" s="198" t="s">
        <v>1722</v>
      </c>
      <c r="B58" s="199" t="s">
        <v>615</v>
      </c>
      <c r="C58" s="199" t="s">
        <v>616</v>
      </c>
      <c r="D58" s="208" t="s">
        <v>694</v>
      </c>
      <c r="E58" s="210" t="s">
        <v>1723</v>
      </c>
      <c r="F58" s="202" t="str">
        <f>VLOOKUP(D58,CSR!$D$4:$E$1180,2,FALSE)</f>
        <v>CSR_11402</v>
      </c>
      <c r="G58" s="203">
        <v>45989</v>
      </c>
      <c r="H58" s="208">
        <v>4</v>
      </c>
      <c r="I58" s="205">
        <f t="shared" si="0"/>
        <v>0.21052631578947367</v>
      </c>
      <c r="J58" s="199" t="s">
        <v>125</v>
      </c>
      <c r="K58" s="204"/>
    </row>
    <row r="59" spans="1:11" s="197" customFormat="1" ht="32">
      <c r="A59" s="198" t="s">
        <v>1722</v>
      </c>
      <c r="B59" s="199" t="s">
        <v>775</v>
      </c>
      <c r="C59" s="199" t="s">
        <v>780</v>
      </c>
      <c r="D59" s="208" t="s">
        <v>785</v>
      </c>
      <c r="E59" s="210" t="s">
        <v>1750</v>
      </c>
      <c r="F59" s="202" t="str">
        <f>VLOOKUP(D59,CSR!$D$4:$E$1180,2,FALSE)</f>
        <v>CSR_40400</v>
      </c>
      <c r="G59" s="203">
        <v>45989</v>
      </c>
      <c r="H59" s="208">
        <v>1</v>
      </c>
      <c r="I59" s="205">
        <f t="shared" si="0"/>
        <v>5.2631578947368418E-2</v>
      </c>
      <c r="J59" s="199" t="s">
        <v>125</v>
      </c>
      <c r="K59" s="204"/>
    </row>
    <row r="60" spans="1:11" s="197" customFormat="1" ht="48">
      <c r="A60" s="198" t="s">
        <v>1546</v>
      </c>
      <c r="B60" s="199" t="s">
        <v>615</v>
      </c>
      <c r="C60" s="199" t="s">
        <v>616</v>
      </c>
      <c r="D60" s="208" t="s">
        <v>694</v>
      </c>
      <c r="E60" s="210" t="s">
        <v>1733</v>
      </c>
      <c r="F60" s="202" t="str">
        <f>VLOOKUP(D60,CSR!$D$4:$E$1180,2,FALSE)</f>
        <v>CSR_11402</v>
      </c>
      <c r="G60" s="203">
        <v>45996</v>
      </c>
      <c r="H60" s="204">
        <v>3</v>
      </c>
      <c r="I60" s="205">
        <f t="shared" si="0"/>
        <v>0.15789473684210525</v>
      </c>
      <c r="J60" s="206" t="s">
        <v>125</v>
      </c>
      <c r="K60" s="204"/>
    </row>
    <row r="61" spans="1:11" s="197" customFormat="1" ht="32">
      <c r="A61" s="198" t="s">
        <v>1546</v>
      </c>
      <c r="B61" s="199" t="s">
        <v>775</v>
      </c>
      <c r="C61" s="199" t="s">
        <v>780</v>
      </c>
      <c r="D61" s="208" t="s">
        <v>785</v>
      </c>
      <c r="E61" s="210" t="s">
        <v>1750</v>
      </c>
      <c r="F61" s="202" t="str">
        <f>VLOOKUP(D61,CSR!$D$4:$E$1180,2,FALSE)</f>
        <v>CSR_40400</v>
      </c>
      <c r="G61" s="203">
        <v>45996</v>
      </c>
      <c r="H61" s="208">
        <v>2</v>
      </c>
      <c r="I61" s="205">
        <f t="shared" si="0"/>
        <v>0.10526315789473684</v>
      </c>
      <c r="J61" s="199" t="s">
        <v>125</v>
      </c>
      <c r="K61" s="204"/>
    </row>
    <row r="62" spans="1:11" s="197" customFormat="1" ht="64">
      <c r="A62" s="198" t="s">
        <v>1546</v>
      </c>
      <c r="B62" s="199" t="s">
        <v>615</v>
      </c>
      <c r="C62" s="199" t="s">
        <v>616</v>
      </c>
      <c r="D62" s="208" t="s">
        <v>698</v>
      </c>
      <c r="E62" s="210" t="s">
        <v>1734</v>
      </c>
      <c r="F62" s="202" t="str">
        <f>VLOOKUP(D62,CSR!$D$4:$E$1180,2,FALSE)</f>
        <v>CSR_11404</v>
      </c>
      <c r="G62" s="203">
        <v>46003</v>
      </c>
      <c r="H62" s="218">
        <v>4</v>
      </c>
      <c r="I62" s="205">
        <f t="shared" si="0"/>
        <v>0.21052631578947367</v>
      </c>
      <c r="J62" s="206" t="s">
        <v>125</v>
      </c>
      <c r="K62" s="204"/>
    </row>
    <row r="63" spans="1:11" s="197" customFormat="1" ht="48">
      <c r="A63" s="198" t="s">
        <v>1546</v>
      </c>
      <c r="B63" s="199" t="s">
        <v>615</v>
      </c>
      <c r="C63" s="199" t="s">
        <v>616</v>
      </c>
      <c r="D63" s="208" t="s">
        <v>698</v>
      </c>
      <c r="E63" s="210" t="s">
        <v>1736</v>
      </c>
      <c r="F63" s="202" t="str">
        <f>VLOOKUP(D63,CSR!$D$4:$E$1180,2,FALSE)</f>
        <v>CSR_11404</v>
      </c>
      <c r="G63" s="203">
        <v>46010</v>
      </c>
      <c r="H63" s="218">
        <v>2</v>
      </c>
      <c r="I63" s="205">
        <f t="shared" si="0"/>
        <v>0.10526315789473684</v>
      </c>
      <c r="J63" s="206" t="s">
        <v>125</v>
      </c>
      <c r="K63" s="204"/>
    </row>
    <row r="64" spans="1:11" s="197" customFormat="1" ht="32">
      <c r="A64" s="198" t="s">
        <v>1546</v>
      </c>
      <c r="B64" s="199" t="s">
        <v>758</v>
      </c>
      <c r="C64" s="199" t="s">
        <v>759</v>
      </c>
      <c r="D64" s="208" t="s">
        <v>764</v>
      </c>
      <c r="E64" s="218" t="s">
        <v>1730</v>
      </c>
      <c r="F64" s="202" t="str">
        <f>VLOOKUP(D64,CSR!$D$4:$E$1180,2,FALSE)</f>
        <v>CSR_30200</v>
      </c>
      <c r="G64" s="203">
        <v>46010</v>
      </c>
      <c r="H64" s="208">
        <v>3</v>
      </c>
      <c r="I64" s="205">
        <f t="shared" si="0"/>
        <v>0.15789473684210525</v>
      </c>
      <c r="J64" s="199" t="s">
        <v>125</v>
      </c>
      <c r="K64" s="218"/>
    </row>
    <row r="65" spans="1:11" s="197" customFormat="1" ht="32">
      <c r="A65" s="198" t="s">
        <v>1722</v>
      </c>
      <c r="B65" s="198" t="s">
        <v>615</v>
      </c>
      <c r="C65" s="198" t="s">
        <v>616</v>
      </c>
      <c r="D65" s="208" t="s">
        <v>634</v>
      </c>
      <c r="E65" s="210" t="s">
        <v>1751</v>
      </c>
      <c r="F65" s="202" t="str">
        <f>VLOOKUP(D65,CSR!$D$4:$E$1180,2,FALSE)</f>
        <v>CSR_10700</v>
      </c>
      <c r="G65" s="203">
        <v>45989</v>
      </c>
      <c r="H65" s="208">
        <v>2</v>
      </c>
      <c r="I65" s="205">
        <f t="shared" si="0"/>
        <v>0.10526315789473684</v>
      </c>
      <c r="J65" s="206" t="s">
        <v>134</v>
      </c>
      <c r="K65" s="204"/>
    </row>
    <row r="66" spans="1:11" s="197" customFormat="1" ht="48">
      <c r="A66" s="198" t="s">
        <v>1722</v>
      </c>
      <c r="B66" s="198" t="s">
        <v>615</v>
      </c>
      <c r="C66" s="198" t="s">
        <v>616</v>
      </c>
      <c r="D66" s="208" t="s">
        <v>647</v>
      </c>
      <c r="E66" s="210" t="s">
        <v>1752</v>
      </c>
      <c r="F66" s="202" t="str">
        <f>VLOOKUP(D66,CSR!$D$4:$E$1180,2,FALSE)</f>
        <v>CSR_11300</v>
      </c>
      <c r="G66" s="203">
        <v>45989</v>
      </c>
      <c r="H66" s="208">
        <v>2</v>
      </c>
      <c r="I66" s="205">
        <f t="shared" ref="I66:I82" si="1">H66*10/190</f>
        <v>0.10526315789473684</v>
      </c>
      <c r="J66" s="199" t="s">
        <v>134</v>
      </c>
      <c r="K66" s="204"/>
    </row>
    <row r="67" spans="1:11" s="197" customFormat="1" ht="48">
      <c r="A67" s="198" t="s">
        <v>1722</v>
      </c>
      <c r="B67" s="199" t="s">
        <v>615</v>
      </c>
      <c r="C67" s="199" t="s">
        <v>616</v>
      </c>
      <c r="D67" s="208" t="s">
        <v>694</v>
      </c>
      <c r="E67" s="210" t="s">
        <v>1723</v>
      </c>
      <c r="F67" s="202" t="str">
        <f>VLOOKUP(D67,CSR!$D$4:$E$1180,2,FALSE)</f>
        <v>CSR_11402</v>
      </c>
      <c r="G67" s="203">
        <v>45989</v>
      </c>
      <c r="H67" s="204">
        <v>1</v>
      </c>
      <c r="I67" s="205">
        <f t="shared" si="1"/>
        <v>5.2631578947368418E-2</v>
      </c>
      <c r="J67" s="206" t="s">
        <v>134</v>
      </c>
      <c r="K67" s="204"/>
    </row>
    <row r="68" spans="1:11" s="197" customFormat="1" ht="32">
      <c r="A68" s="198" t="s">
        <v>1546</v>
      </c>
      <c r="B68" s="199" t="s">
        <v>615</v>
      </c>
      <c r="C68" s="199" t="s">
        <v>616</v>
      </c>
      <c r="D68" s="200" t="s">
        <v>627</v>
      </c>
      <c r="E68" s="226" t="s">
        <v>1743</v>
      </c>
      <c r="F68" s="202" t="str">
        <f>VLOOKUP(D68,CSR!$D$4:$E$1180,2,FALSE)</f>
        <v>CSR_10400</v>
      </c>
      <c r="G68" s="203">
        <v>45996</v>
      </c>
      <c r="H68" s="204">
        <v>3</v>
      </c>
      <c r="I68" s="205">
        <f t="shared" si="1"/>
        <v>0.15789473684210525</v>
      </c>
      <c r="J68" s="206" t="s">
        <v>134</v>
      </c>
      <c r="K68" s="204"/>
    </row>
    <row r="69" spans="1:11" s="197" customFormat="1" ht="32">
      <c r="A69" s="198" t="s">
        <v>1546</v>
      </c>
      <c r="B69" s="198" t="s">
        <v>615</v>
      </c>
      <c r="C69" s="198" t="s">
        <v>616</v>
      </c>
      <c r="D69" s="208" t="s">
        <v>647</v>
      </c>
      <c r="E69" s="218" t="s">
        <v>1753</v>
      </c>
      <c r="F69" s="202" t="str">
        <f>VLOOKUP(D69,CSR!$D$4:$E$1180,2,FALSE)</f>
        <v>CSR_11300</v>
      </c>
      <c r="G69" s="203">
        <v>45996</v>
      </c>
      <c r="H69" s="204">
        <v>1</v>
      </c>
      <c r="I69" s="205">
        <f t="shared" si="1"/>
        <v>5.2631578947368418E-2</v>
      </c>
      <c r="J69" s="206" t="s">
        <v>134</v>
      </c>
      <c r="K69" s="204"/>
    </row>
    <row r="70" spans="1:11" s="197" customFormat="1" ht="32">
      <c r="A70" s="198" t="s">
        <v>1546</v>
      </c>
      <c r="B70" s="199" t="s">
        <v>615</v>
      </c>
      <c r="C70" s="199" t="s">
        <v>616</v>
      </c>
      <c r="D70" s="200" t="s">
        <v>627</v>
      </c>
      <c r="E70" s="226" t="s">
        <v>1744</v>
      </c>
      <c r="F70" s="202" t="str">
        <f>VLOOKUP(D70,CSR!$D$4:$E$1180,2,FALSE)</f>
        <v>CSR_10400</v>
      </c>
      <c r="G70" s="203">
        <v>46003</v>
      </c>
      <c r="H70" s="204">
        <v>3</v>
      </c>
      <c r="I70" s="205">
        <f t="shared" si="1"/>
        <v>0.15789473684210525</v>
      </c>
      <c r="J70" s="206" t="s">
        <v>134</v>
      </c>
      <c r="K70" s="204"/>
    </row>
    <row r="71" spans="1:11" s="197" customFormat="1" ht="32">
      <c r="A71" s="198" t="s">
        <v>1546</v>
      </c>
      <c r="B71" s="198" t="s">
        <v>615</v>
      </c>
      <c r="C71" s="198" t="s">
        <v>616</v>
      </c>
      <c r="D71" s="208" t="s">
        <v>634</v>
      </c>
      <c r="E71" s="210" t="s">
        <v>1751</v>
      </c>
      <c r="F71" s="202" t="str">
        <f>VLOOKUP(D71,CSR!$D$4:$E$1180,2,FALSE)</f>
        <v>CSR_10700</v>
      </c>
      <c r="G71" s="203">
        <v>46003</v>
      </c>
      <c r="H71" s="208">
        <v>2</v>
      </c>
      <c r="I71" s="205">
        <f t="shared" si="1"/>
        <v>0.10526315789473684</v>
      </c>
      <c r="J71" s="206" t="s">
        <v>134</v>
      </c>
      <c r="K71" s="204"/>
    </row>
    <row r="72" spans="1:11" s="197" customFormat="1" ht="32">
      <c r="A72" s="198" t="s">
        <v>1546</v>
      </c>
      <c r="B72" s="199" t="s">
        <v>615</v>
      </c>
      <c r="C72" s="199" t="s">
        <v>616</v>
      </c>
      <c r="D72" s="200" t="s">
        <v>627</v>
      </c>
      <c r="E72" s="226" t="s">
        <v>1746</v>
      </c>
      <c r="F72" s="202" t="str">
        <f>VLOOKUP(D72,CSR!$D$4:$E$1180,2,FALSE)</f>
        <v>CSR_10400</v>
      </c>
      <c r="G72" s="203">
        <v>46010</v>
      </c>
      <c r="H72" s="204">
        <v>3</v>
      </c>
      <c r="I72" s="205">
        <f t="shared" si="1"/>
        <v>0.15789473684210525</v>
      </c>
      <c r="J72" s="206" t="s">
        <v>134</v>
      </c>
      <c r="K72" s="204"/>
    </row>
    <row r="73" spans="1:11" s="197" customFormat="1" ht="32">
      <c r="A73" s="198" t="s">
        <v>1546</v>
      </c>
      <c r="B73" s="198" t="s">
        <v>615</v>
      </c>
      <c r="C73" s="198" t="s">
        <v>616</v>
      </c>
      <c r="D73" s="208" t="s">
        <v>647</v>
      </c>
      <c r="E73" s="210" t="s">
        <v>1754</v>
      </c>
      <c r="F73" s="202" t="str">
        <f>VLOOKUP(D73,CSR!$D$4:$E$1180,2,FALSE)</f>
        <v>CSR_11300</v>
      </c>
      <c r="G73" s="203">
        <v>46010</v>
      </c>
      <c r="H73" s="218">
        <v>2</v>
      </c>
      <c r="I73" s="205">
        <f t="shared" si="1"/>
        <v>0.10526315789473684</v>
      </c>
      <c r="J73" s="217" t="s">
        <v>134</v>
      </c>
      <c r="K73" s="212"/>
    </row>
    <row r="74" spans="1:11" s="197" customFormat="1" ht="48">
      <c r="A74" s="198" t="s">
        <v>1722</v>
      </c>
      <c r="B74" s="199" t="s">
        <v>16</v>
      </c>
      <c r="C74" s="199" t="s">
        <v>17</v>
      </c>
      <c r="D74" s="208" t="s">
        <v>1755</v>
      </c>
      <c r="E74" s="210" t="s">
        <v>1756</v>
      </c>
      <c r="F74" s="202" t="str">
        <f>VLOOKUP(D74,CSR!$D$4:$E$1180,2,FALSE)</f>
        <v>CSR_11402</v>
      </c>
      <c r="G74" s="203">
        <v>45988</v>
      </c>
      <c r="H74" s="208">
        <v>3</v>
      </c>
      <c r="I74" s="205">
        <f t="shared" si="1"/>
        <v>0.15789473684210525</v>
      </c>
      <c r="J74" s="206" t="s">
        <v>142</v>
      </c>
      <c r="K74" s="218"/>
    </row>
    <row r="75" spans="1:11" s="197" customFormat="1" ht="48">
      <c r="A75" s="198" t="s">
        <v>1546</v>
      </c>
      <c r="B75" s="199" t="s">
        <v>16</v>
      </c>
      <c r="C75" s="199" t="s">
        <v>17</v>
      </c>
      <c r="D75" s="208" t="s">
        <v>1755</v>
      </c>
      <c r="E75" s="210" t="s">
        <v>1757</v>
      </c>
      <c r="F75" s="202" t="str">
        <f>VLOOKUP(D75,CSR!$D$4:$E$1180,2,FALSE)</f>
        <v>CSR_11402</v>
      </c>
      <c r="G75" s="203">
        <v>45992</v>
      </c>
      <c r="H75" s="208">
        <v>2</v>
      </c>
      <c r="I75" s="205">
        <f t="shared" si="1"/>
        <v>0.10526315789473684</v>
      </c>
      <c r="J75" s="206" t="s">
        <v>142</v>
      </c>
      <c r="K75" s="204"/>
    </row>
    <row r="76" spans="1:11" s="197" customFormat="1" ht="32">
      <c r="A76" s="198" t="s">
        <v>1546</v>
      </c>
      <c r="B76" s="199" t="s">
        <v>16</v>
      </c>
      <c r="C76" s="199" t="s">
        <v>17</v>
      </c>
      <c r="D76" s="208" t="s">
        <v>698</v>
      </c>
      <c r="E76" s="210" t="s">
        <v>1758</v>
      </c>
      <c r="F76" s="202" t="str">
        <f>VLOOKUP(D76,CSR!$D$4:$E$1180,2,FALSE)</f>
        <v>CSR_11404</v>
      </c>
      <c r="G76" s="203">
        <v>45996</v>
      </c>
      <c r="H76" s="208">
        <v>1</v>
      </c>
      <c r="I76" s="205">
        <f t="shared" si="1"/>
        <v>5.2631578947368418E-2</v>
      </c>
      <c r="J76" s="206" t="s">
        <v>142</v>
      </c>
      <c r="K76" s="204"/>
    </row>
    <row r="77" spans="1:11" s="197" customFormat="1" ht="32">
      <c r="A77" s="198" t="s">
        <v>1546</v>
      </c>
      <c r="B77" s="199" t="s">
        <v>16</v>
      </c>
      <c r="C77" s="199" t="s">
        <v>17</v>
      </c>
      <c r="D77" s="208" t="s">
        <v>698</v>
      </c>
      <c r="E77" s="210" t="s">
        <v>1759</v>
      </c>
      <c r="F77" s="202" t="str">
        <f>VLOOKUP(D77,CSR!$D$4:$E$1180,2,FALSE)</f>
        <v>CSR_11404</v>
      </c>
      <c r="G77" s="203">
        <v>46000</v>
      </c>
      <c r="H77" s="208">
        <v>4</v>
      </c>
      <c r="I77" s="205">
        <f t="shared" si="1"/>
        <v>0.21052631578947367</v>
      </c>
      <c r="J77" s="206" t="s">
        <v>142</v>
      </c>
      <c r="K77" s="204"/>
    </row>
    <row r="78" spans="1:11" s="197" customFormat="1" ht="48">
      <c r="A78" s="198" t="s">
        <v>1546</v>
      </c>
      <c r="B78" s="199" t="s">
        <v>16</v>
      </c>
      <c r="C78" s="199" t="s">
        <v>17</v>
      </c>
      <c r="D78" s="208" t="s">
        <v>698</v>
      </c>
      <c r="E78" s="210" t="s">
        <v>1760</v>
      </c>
      <c r="F78" s="202" t="str">
        <f>VLOOKUP(D78,CSR!$D$4:$E$1180,2,FALSE)</f>
        <v>CSR_11404</v>
      </c>
      <c r="G78" s="203">
        <v>46000</v>
      </c>
      <c r="H78" s="208">
        <v>2</v>
      </c>
      <c r="I78" s="205">
        <f t="shared" si="1"/>
        <v>0.10526315789473684</v>
      </c>
      <c r="J78" s="206" t="s">
        <v>142</v>
      </c>
      <c r="K78" s="204"/>
    </row>
    <row r="79" spans="1:11" s="197" customFormat="1" ht="32">
      <c r="A79" s="198" t="s">
        <v>1546</v>
      </c>
      <c r="B79" s="199" t="s">
        <v>16</v>
      </c>
      <c r="C79" s="199" t="s">
        <v>17</v>
      </c>
      <c r="D79" s="208" t="s">
        <v>698</v>
      </c>
      <c r="E79" s="210" t="s">
        <v>1761</v>
      </c>
      <c r="F79" s="202" t="str">
        <f>VLOOKUP(D79,CSR!$D$4:$E$1180,2,FALSE)</f>
        <v>CSR_11404</v>
      </c>
      <c r="G79" s="203">
        <v>46001</v>
      </c>
      <c r="H79" s="208">
        <v>1</v>
      </c>
      <c r="I79" s="205">
        <f t="shared" si="1"/>
        <v>5.2631578947368418E-2</v>
      </c>
      <c r="J79" s="206" t="s">
        <v>142</v>
      </c>
      <c r="K79" s="204"/>
    </row>
    <row r="80" spans="1:11" s="197" customFormat="1" ht="48">
      <c r="A80" s="198" t="s">
        <v>1546</v>
      </c>
      <c r="B80" s="199" t="s">
        <v>16</v>
      </c>
      <c r="C80" s="199" t="s">
        <v>17</v>
      </c>
      <c r="D80" s="208" t="s">
        <v>698</v>
      </c>
      <c r="E80" s="210" t="s">
        <v>1762</v>
      </c>
      <c r="F80" s="202" t="str">
        <f>VLOOKUP(D80,CSR!$D$4:$E$1180,2,FALSE)</f>
        <v>CSR_11404</v>
      </c>
      <c r="G80" s="203">
        <v>46003</v>
      </c>
      <c r="H80" s="208">
        <v>2</v>
      </c>
      <c r="I80" s="205">
        <f t="shared" si="1"/>
        <v>0.10526315789473684</v>
      </c>
      <c r="J80" s="206" t="s">
        <v>142</v>
      </c>
      <c r="K80" s="204"/>
    </row>
    <row r="81" spans="1:11" s="197" customFormat="1" ht="48">
      <c r="A81" s="198" t="s">
        <v>1546</v>
      </c>
      <c r="B81" s="199" t="s">
        <v>16</v>
      </c>
      <c r="C81" s="199" t="s">
        <v>17</v>
      </c>
      <c r="D81" s="208" t="s">
        <v>698</v>
      </c>
      <c r="E81" s="210" t="s">
        <v>1763</v>
      </c>
      <c r="F81" s="202" t="str">
        <f>VLOOKUP(D81,CSR!$D$4:$E$1180,2,FALSE)</f>
        <v>CSR_11404</v>
      </c>
      <c r="G81" s="203">
        <v>46007</v>
      </c>
      <c r="H81" s="208">
        <v>2</v>
      </c>
      <c r="I81" s="205">
        <f t="shared" si="1"/>
        <v>0.10526315789473684</v>
      </c>
      <c r="J81" s="206" t="s">
        <v>142</v>
      </c>
      <c r="K81" s="204"/>
    </row>
    <row r="82" spans="1:11" s="197" customFormat="1" ht="32">
      <c r="A82" s="198" t="s">
        <v>1546</v>
      </c>
      <c r="B82" s="199" t="s">
        <v>1599</v>
      </c>
      <c r="C82" s="199" t="s">
        <v>1600</v>
      </c>
      <c r="D82" s="200" t="s">
        <v>33</v>
      </c>
      <c r="E82" s="201" t="s">
        <v>1764</v>
      </c>
      <c r="F82" s="202" t="str">
        <f>VLOOKUP(D82,CSR!$D$4:$E$1180,2,FALSE)</f>
        <v>CSR_30200</v>
      </c>
      <c r="G82" s="203">
        <v>46008</v>
      </c>
      <c r="H82" s="208">
        <v>2</v>
      </c>
      <c r="I82" s="205">
        <f t="shared" si="1"/>
        <v>0.10526315789473684</v>
      </c>
      <c r="J82" s="206" t="s">
        <v>142</v>
      </c>
      <c r="K82" s="204"/>
    </row>
    <row r="83" spans="1:11" s="197" customFormat="1" ht="48">
      <c r="A83" s="198" t="s">
        <v>1722</v>
      </c>
      <c r="B83" s="199" t="s">
        <v>16</v>
      </c>
      <c r="C83" s="199" t="s">
        <v>17</v>
      </c>
      <c r="D83" s="208" t="s">
        <v>1755</v>
      </c>
      <c r="E83" s="210" t="s">
        <v>1765</v>
      </c>
      <c r="F83" s="202" t="str">
        <f>VLOOKUP(D83,CSR!$D$4:$E$1180,2,FALSE)</f>
        <v>CSR_11402</v>
      </c>
      <c r="G83" s="203" t="s">
        <v>1766</v>
      </c>
      <c r="H83" s="204">
        <v>3</v>
      </c>
      <c r="I83" s="205">
        <v>0.15789473684210525</v>
      </c>
      <c r="J83" s="206" t="s">
        <v>839</v>
      </c>
      <c r="K83" s="204"/>
    </row>
    <row r="84" spans="1:11" s="197" customFormat="1" ht="32">
      <c r="A84" s="198" t="s">
        <v>1546</v>
      </c>
      <c r="B84" s="199" t="s">
        <v>16</v>
      </c>
      <c r="C84" s="199" t="s">
        <v>17</v>
      </c>
      <c r="D84" s="208" t="s">
        <v>1767</v>
      </c>
      <c r="E84" s="210" t="s">
        <v>1768</v>
      </c>
      <c r="F84" s="202" t="str">
        <f>VLOOKUP(D84,CSR!$D$4:$E$1180,2,FALSE)</f>
        <v>CSR_11404</v>
      </c>
      <c r="G84" s="203" t="s">
        <v>1769</v>
      </c>
      <c r="H84" s="204">
        <v>2</v>
      </c>
      <c r="I84" s="205">
        <v>0.10526315789473684</v>
      </c>
      <c r="J84" s="206" t="s">
        <v>839</v>
      </c>
      <c r="K84" s="204"/>
    </row>
    <row r="85" spans="1:11" s="197" customFormat="1" ht="32">
      <c r="A85" s="198" t="s">
        <v>1546</v>
      </c>
      <c r="B85" s="199" t="s">
        <v>16</v>
      </c>
      <c r="C85" s="199" t="s">
        <v>17</v>
      </c>
      <c r="D85" s="208" t="s">
        <v>1767</v>
      </c>
      <c r="E85" s="210" t="s">
        <v>1770</v>
      </c>
      <c r="F85" s="202" t="str">
        <f>VLOOKUP(D85,CSR!$D$4:$E$1180,2,FALSE)</f>
        <v>CSR_11404</v>
      </c>
      <c r="G85" s="203" t="s">
        <v>1771</v>
      </c>
      <c r="H85" s="204">
        <v>2</v>
      </c>
      <c r="I85" s="205">
        <v>0.10526315789473684</v>
      </c>
      <c r="J85" s="206" t="s">
        <v>839</v>
      </c>
      <c r="K85" s="208"/>
    </row>
    <row r="86" spans="1:11" s="197" customFormat="1" ht="32">
      <c r="A86" s="198" t="s">
        <v>1546</v>
      </c>
      <c r="B86" s="199" t="s">
        <v>16</v>
      </c>
      <c r="C86" s="199" t="s">
        <v>17</v>
      </c>
      <c r="D86" s="208" t="s">
        <v>1767</v>
      </c>
      <c r="E86" s="210" t="s">
        <v>1772</v>
      </c>
      <c r="F86" s="202" t="str">
        <f>VLOOKUP(D86,CSR!$D$4:$E$1180,2,FALSE)</f>
        <v>CSR_11404</v>
      </c>
      <c r="G86" s="203" t="s">
        <v>1773</v>
      </c>
      <c r="H86" s="204">
        <v>1</v>
      </c>
      <c r="I86" s="205">
        <v>5.2631578947368418E-2</v>
      </c>
      <c r="J86" s="206" t="s">
        <v>839</v>
      </c>
      <c r="K86" s="204"/>
    </row>
    <row r="87" spans="1:11" s="197" customFormat="1" ht="32">
      <c r="A87" s="198" t="s">
        <v>1546</v>
      </c>
      <c r="B87" s="199" t="s">
        <v>16</v>
      </c>
      <c r="C87" s="199" t="s">
        <v>17</v>
      </c>
      <c r="D87" s="208" t="s">
        <v>1755</v>
      </c>
      <c r="E87" s="218" t="s">
        <v>1774</v>
      </c>
      <c r="F87" s="202" t="str">
        <f>VLOOKUP(D87,CSR!$D$4:$E$1180,2,FALSE)</f>
        <v>CSR_11402</v>
      </c>
      <c r="G87" s="203" t="s">
        <v>1775</v>
      </c>
      <c r="H87" s="208">
        <v>2</v>
      </c>
      <c r="I87" s="205">
        <v>0.10526315789473684</v>
      </c>
      <c r="J87" s="206" t="s">
        <v>839</v>
      </c>
      <c r="K87" s="204"/>
    </row>
    <row r="88" spans="1:11" s="197" customFormat="1" ht="32">
      <c r="A88" s="198" t="s">
        <v>1546</v>
      </c>
      <c r="B88" s="199" t="s">
        <v>16</v>
      </c>
      <c r="C88" s="199" t="s">
        <v>17</v>
      </c>
      <c r="D88" s="208" t="s">
        <v>1767</v>
      </c>
      <c r="E88" s="210" t="s">
        <v>1776</v>
      </c>
      <c r="F88" s="202" t="str">
        <f>VLOOKUP(D88,CSR!$D$4:$E$1180,2,FALSE)</f>
        <v>CSR_11404</v>
      </c>
      <c r="G88" s="203" t="s">
        <v>1777</v>
      </c>
      <c r="H88" s="204">
        <v>1</v>
      </c>
      <c r="I88" s="205">
        <v>5.2631578947368418E-2</v>
      </c>
      <c r="J88" s="206" t="s">
        <v>839</v>
      </c>
      <c r="K88" s="204"/>
    </row>
    <row r="89" spans="1:11" s="197" customFormat="1" ht="32">
      <c r="A89" s="198" t="s">
        <v>1546</v>
      </c>
      <c r="B89" s="199" t="s">
        <v>16</v>
      </c>
      <c r="C89" s="199" t="s">
        <v>17</v>
      </c>
      <c r="D89" s="200" t="s">
        <v>1767</v>
      </c>
      <c r="E89" s="201" t="s">
        <v>1778</v>
      </c>
      <c r="F89" s="202" t="str">
        <f>VLOOKUP(D89,CSR!$D$4:$E$1180,2,FALSE)</f>
        <v>CSR_11404</v>
      </c>
      <c r="G89" s="203" t="s">
        <v>1779</v>
      </c>
      <c r="H89" s="204">
        <v>2</v>
      </c>
      <c r="I89" s="205">
        <v>0.10526315789473684</v>
      </c>
      <c r="J89" s="206" t="s">
        <v>839</v>
      </c>
      <c r="K89" s="204"/>
    </row>
    <row r="90" spans="1:11" s="197" customFormat="1" ht="32">
      <c r="A90" s="198" t="s">
        <v>1546</v>
      </c>
      <c r="B90" s="199" t="s">
        <v>16</v>
      </c>
      <c r="C90" s="199" t="s">
        <v>17</v>
      </c>
      <c r="D90" s="208" t="s">
        <v>1767</v>
      </c>
      <c r="E90" s="210" t="s">
        <v>1780</v>
      </c>
      <c r="F90" s="202" t="str">
        <f>VLOOKUP(D90,CSR!$D$4:$E$1180,2,FALSE)</f>
        <v>CSR_11404</v>
      </c>
      <c r="G90" s="203" t="s">
        <v>1781</v>
      </c>
      <c r="H90" s="204">
        <v>4</v>
      </c>
      <c r="I90" s="205">
        <v>0.21052631578947367</v>
      </c>
      <c r="J90" s="206" t="s">
        <v>839</v>
      </c>
      <c r="K90" s="204"/>
    </row>
    <row r="91" spans="1:11" s="197" customFormat="1" ht="32">
      <c r="A91" s="198" t="s">
        <v>1546</v>
      </c>
      <c r="B91" s="199" t="s">
        <v>16</v>
      </c>
      <c r="C91" s="199" t="s">
        <v>17</v>
      </c>
      <c r="D91" s="208" t="s">
        <v>1767</v>
      </c>
      <c r="E91" s="218" t="s">
        <v>1782</v>
      </c>
      <c r="F91" s="202" t="str">
        <f>VLOOKUP(D91,CSR!$D$4:$E$1180,2,FALSE)</f>
        <v>CSR_11404</v>
      </c>
      <c r="G91" s="203" t="s">
        <v>1781</v>
      </c>
      <c r="H91" s="204">
        <v>2</v>
      </c>
      <c r="I91" s="205">
        <v>0.10526315789473684</v>
      </c>
      <c r="J91" s="206" t="s">
        <v>839</v>
      </c>
      <c r="K91" s="204"/>
    </row>
    <row r="92" spans="1:11" s="197" customFormat="1" ht="32">
      <c r="A92" s="198" t="s">
        <v>1783</v>
      </c>
      <c r="B92" s="198" t="s">
        <v>31</v>
      </c>
      <c r="C92" s="198" t="s">
        <v>32</v>
      </c>
      <c r="D92" s="200" t="s">
        <v>157</v>
      </c>
      <c r="E92" s="210" t="s">
        <v>158</v>
      </c>
      <c r="F92" s="202" t="str">
        <f>VLOOKUP(D92,CSR!$D$4:$E$1180,2,FALSE)</f>
        <v>CSR_30600</v>
      </c>
      <c r="G92" s="203">
        <v>45989</v>
      </c>
      <c r="H92" s="204">
        <v>5</v>
      </c>
      <c r="I92" s="205">
        <f t="shared" ref="I92:I155" si="2">H92*10/190</f>
        <v>0.26315789473684209</v>
      </c>
      <c r="J92" s="199" t="s">
        <v>160</v>
      </c>
      <c r="K92" s="204"/>
    </row>
    <row r="93" spans="1:11" s="197" customFormat="1" ht="32">
      <c r="A93" s="198" t="s">
        <v>1546</v>
      </c>
      <c r="B93" s="198" t="s">
        <v>31</v>
      </c>
      <c r="C93" s="198" t="s">
        <v>32</v>
      </c>
      <c r="D93" s="200" t="s">
        <v>157</v>
      </c>
      <c r="E93" s="210" t="s">
        <v>158</v>
      </c>
      <c r="F93" s="202" t="str">
        <f>VLOOKUP(D93,CSR!$D$4:$E$1180,2,FALSE)</f>
        <v>CSR_30600</v>
      </c>
      <c r="G93" s="203">
        <v>45996</v>
      </c>
      <c r="H93" s="204">
        <v>5</v>
      </c>
      <c r="I93" s="205">
        <f t="shared" si="2"/>
        <v>0.26315789473684209</v>
      </c>
      <c r="J93" s="199" t="s">
        <v>160</v>
      </c>
      <c r="K93" s="204"/>
    </row>
    <row r="94" spans="1:11" s="197" customFormat="1" ht="32">
      <c r="A94" s="198" t="s">
        <v>1546</v>
      </c>
      <c r="B94" s="198" t="s">
        <v>31</v>
      </c>
      <c r="C94" s="198" t="s">
        <v>32</v>
      </c>
      <c r="D94" s="200" t="s">
        <v>157</v>
      </c>
      <c r="E94" s="210" t="s">
        <v>158</v>
      </c>
      <c r="F94" s="202" t="str">
        <f>VLOOKUP(D94,CSR!$D$4:$E$1180,2,FALSE)</f>
        <v>CSR_30600</v>
      </c>
      <c r="G94" s="203">
        <v>46003</v>
      </c>
      <c r="H94" s="204">
        <v>5</v>
      </c>
      <c r="I94" s="205">
        <f t="shared" si="2"/>
        <v>0.26315789473684209</v>
      </c>
      <c r="J94" s="199" t="s">
        <v>160</v>
      </c>
      <c r="K94" s="204"/>
    </row>
    <row r="95" spans="1:11" s="197" customFormat="1" ht="32">
      <c r="A95" s="198" t="s">
        <v>1546</v>
      </c>
      <c r="B95" s="198" t="s">
        <v>31</v>
      </c>
      <c r="C95" s="198" t="s">
        <v>32</v>
      </c>
      <c r="D95" s="200" t="s">
        <v>157</v>
      </c>
      <c r="E95" s="210" t="s">
        <v>842</v>
      </c>
      <c r="F95" s="202" t="str">
        <f>VLOOKUP(D95,CSR!$D$4:$E$1180,2,FALSE)</f>
        <v>CSR_30600</v>
      </c>
      <c r="G95" s="203">
        <v>46010</v>
      </c>
      <c r="H95" s="204">
        <v>4</v>
      </c>
      <c r="I95" s="205">
        <f t="shared" si="2"/>
        <v>0.21052631578947367</v>
      </c>
      <c r="J95" s="199" t="s">
        <v>160</v>
      </c>
      <c r="K95" s="204"/>
    </row>
    <row r="96" spans="1:11" s="197" customFormat="1" ht="32">
      <c r="A96" s="198" t="s">
        <v>1783</v>
      </c>
      <c r="B96" s="198" t="s">
        <v>31</v>
      </c>
      <c r="C96" s="198" t="s">
        <v>32</v>
      </c>
      <c r="D96" s="200" t="s">
        <v>157</v>
      </c>
      <c r="E96" s="210" t="s">
        <v>158</v>
      </c>
      <c r="F96" s="202" t="str">
        <f>VLOOKUP(D96,CSR!$D$4:$E$1180,2,FALSE)</f>
        <v>CSR_30600</v>
      </c>
      <c r="G96" s="203">
        <v>45989</v>
      </c>
      <c r="H96" s="204">
        <v>5</v>
      </c>
      <c r="I96" s="205">
        <f t="shared" si="2"/>
        <v>0.26315789473684209</v>
      </c>
      <c r="J96" s="199" t="s">
        <v>843</v>
      </c>
      <c r="K96" s="204"/>
    </row>
    <row r="97" spans="1:11" s="197" customFormat="1" ht="32">
      <c r="A97" s="198" t="s">
        <v>1546</v>
      </c>
      <c r="B97" s="198" t="s">
        <v>31</v>
      </c>
      <c r="C97" s="198" t="s">
        <v>32</v>
      </c>
      <c r="D97" s="200" t="s">
        <v>157</v>
      </c>
      <c r="E97" s="210" t="s">
        <v>158</v>
      </c>
      <c r="F97" s="202" t="str">
        <f>VLOOKUP(D97,CSR!$D$4:$E$1180,2,FALSE)</f>
        <v>CSR_30600</v>
      </c>
      <c r="G97" s="203">
        <v>45996</v>
      </c>
      <c r="H97" s="204">
        <v>5</v>
      </c>
      <c r="I97" s="205">
        <f t="shared" si="2"/>
        <v>0.26315789473684209</v>
      </c>
      <c r="J97" s="199" t="s">
        <v>843</v>
      </c>
      <c r="K97" s="204"/>
    </row>
    <row r="98" spans="1:11" s="197" customFormat="1" ht="32">
      <c r="A98" s="198" t="s">
        <v>1546</v>
      </c>
      <c r="B98" s="198" t="s">
        <v>31</v>
      </c>
      <c r="C98" s="198" t="s">
        <v>32</v>
      </c>
      <c r="D98" s="200" t="s">
        <v>157</v>
      </c>
      <c r="E98" s="210" t="s">
        <v>158</v>
      </c>
      <c r="F98" s="202" t="str">
        <f>VLOOKUP(D98,CSR!$D$4:$E$1180,2,FALSE)</f>
        <v>CSR_30600</v>
      </c>
      <c r="G98" s="203">
        <v>46003</v>
      </c>
      <c r="H98" s="204">
        <v>5</v>
      </c>
      <c r="I98" s="205">
        <f t="shared" si="2"/>
        <v>0.26315789473684209</v>
      </c>
      <c r="J98" s="199" t="s">
        <v>843</v>
      </c>
      <c r="K98" s="204"/>
    </row>
    <row r="99" spans="1:11" s="197" customFormat="1" ht="32">
      <c r="A99" s="198" t="s">
        <v>1546</v>
      </c>
      <c r="B99" s="198" t="s">
        <v>31</v>
      </c>
      <c r="C99" s="198" t="s">
        <v>32</v>
      </c>
      <c r="D99" s="200" t="s">
        <v>157</v>
      </c>
      <c r="E99" s="210" t="s">
        <v>158</v>
      </c>
      <c r="F99" s="202" t="str">
        <f>VLOOKUP(D99,CSR!$D$4:$E$1180,2,FALSE)</f>
        <v>CSR_30600</v>
      </c>
      <c r="G99" s="203">
        <v>46010</v>
      </c>
      <c r="H99" s="204">
        <v>4</v>
      </c>
      <c r="I99" s="205">
        <f t="shared" si="2"/>
        <v>0.21052631578947367</v>
      </c>
      <c r="J99" s="199" t="s">
        <v>843</v>
      </c>
      <c r="K99" s="204"/>
    </row>
    <row r="100" spans="1:11" s="197" customFormat="1" ht="64">
      <c r="A100" s="198" t="s">
        <v>1546</v>
      </c>
      <c r="B100" s="213" t="s">
        <v>775</v>
      </c>
      <c r="C100" s="213" t="s">
        <v>175</v>
      </c>
      <c r="D100" s="208" t="s">
        <v>790</v>
      </c>
      <c r="E100" s="218" t="s">
        <v>1784</v>
      </c>
      <c r="F100" s="202" t="str">
        <f>VLOOKUP(D100,CSR!$D$4:$E$1180,2,FALSE)</f>
        <v>CSR_40800</v>
      </c>
      <c r="G100" s="203">
        <v>45994</v>
      </c>
      <c r="H100" s="218">
        <v>1</v>
      </c>
      <c r="I100" s="205">
        <f t="shared" si="2"/>
        <v>5.2631578947368418E-2</v>
      </c>
      <c r="J100" s="206" t="s">
        <v>1020</v>
      </c>
      <c r="K100" s="204"/>
    </row>
    <row r="101" spans="1:11" s="197" customFormat="1" ht="80">
      <c r="A101" s="198" t="s">
        <v>1546</v>
      </c>
      <c r="B101" s="199" t="s">
        <v>16</v>
      </c>
      <c r="C101" s="199" t="s">
        <v>17</v>
      </c>
      <c r="D101" s="208" t="s">
        <v>1755</v>
      </c>
      <c r="E101" s="210" t="s">
        <v>1785</v>
      </c>
      <c r="F101" s="202" t="str">
        <f>VLOOKUP(D101,CSR!$D$4:$E$1180,2,FALSE)</f>
        <v>CSR_11402</v>
      </c>
      <c r="G101" s="203">
        <v>46001</v>
      </c>
      <c r="H101" s="204">
        <v>3</v>
      </c>
      <c r="I101" s="205">
        <f t="shared" si="2"/>
        <v>0.15789473684210525</v>
      </c>
      <c r="J101" s="206" t="s">
        <v>1020</v>
      </c>
      <c r="K101" s="204"/>
    </row>
    <row r="102" spans="1:11" s="197" customFormat="1" ht="64">
      <c r="A102" s="198" t="s">
        <v>1546</v>
      </c>
      <c r="B102" s="199" t="s">
        <v>16</v>
      </c>
      <c r="C102" s="199" t="s">
        <v>17</v>
      </c>
      <c r="D102" s="208" t="s">
        <v>1767</v>
      </c>
      <c r="E102" s="227" t="s">
        <v>1786</v>
      </c>
      <c r="F102" s="202" t="str">
        <f>VLOOKUP(D102,CSR!$D$4:$E$1180,2,FALSE)</f>
        <v>CSR_11404</v>
      </c>
      <c r="G102" s="203">
        <v>46007</v>
      </c>
      <c r="H102" s="204">
        <v>2</v>
      </c>
      <c r="I102" s="205">
        <f t="shared" si="2"/>
        <v>0.10526315789473684</v>
      </c>
      <c r="J102" s="206" t="s">
        <v>1020</v>
      </c>
      <c r="K102" s="204"/>
    </row>
    <row r="103" spans="1:11" s="197" customFormat="1" ht="48">
      <c r="A103" s="198" t="s">
        <v>1546</v>
      </c>
      <c r="B103" s="199" t="s">
        <v>31</v>
      </c>
      <c r="C103" s="199" t="s">
        <v>759</v>
      </c>
      <c r="D103" s="208" t="s">
        <v>764</v>
      </c>
      <c r="E103" s="227" t="s">
        <v>1787</v>
      </c>
      <c r="F103" s="202" t="str">
        <f>VLOOKUP(D103,CSR!$D$4:$E$1180,2,FALSE)</f>
        <v>CSR_30200</v>
      </c>
      <c r="G103" s="203">
        <v>46007</v>
      </c>
      <c r="H103" s="204">
        <v>1</v>
      </c>
      <c r="I103" s="205">
        <f t="shared" si="2"/>
        <v>5.2631578947368418E-2</v>
      </c>
      <c r="J103" s="206" t="s">
        <v>1020</v>
      </c>
      <c r="K103" s="204"/>
    </row>
    <row r="104" spans="1:11" s="197" customFormat="1" ht="32">
      <c r="A104" s="198" t="s">
        <v>1546</v>
      </c>
      <c r="B104" s="199" t="s">
        <v>16</v>
      </c>
      <c r="C104" s="199" t="s">
        <v>17</v>
      </c>
      <c r="D104" s="208" t="s">
        <v>657</v>
      </c>
      <c r="E104" s="218" t="s">
        <v>1788</v>
      </c>
      <c r="F104" s="202" t="str">
        <f>VLOOKUP(D104,CSR!$D$4:$E$1180,2,FALSE)</f>
        <v>CSR_11304</v>
      </c>
      <c r="G104" s="203">
        <v>46010</v>
      </c>
      <c r="H104" s="208">
        <v>1</v>
      </c>
      <c r="I104" s="205">
        <f t="shared" si="2"/>
        <v>5.2631578947368418E-2</v>
      </c>
      <c r="J104" s="206" t="s">
        <v>1020</v>
      </c>
      <c r="K104" s="204"/>
    </row>
    <row r="105" spans="1:11" s="197" customFormat="1" ht="64">
      <c r="A105" s="198" t="s">
        <v>1546</v>
      </c>
      <c r="B105" s="199" t="s">
        <v>31</v>
      </c>
      <c r="C105" s="198" t="s">
        <v>32</v>
      </c>
      <c r="D105" s="200" t="s">
        <v>33</v>
      </c>
      <c r="E105" s="227" t="s">
        <v>1789</v>
      </c>
      <c r="F105" s="202" t="str">
        <f>VLOOKUP(D105,CSR!$D$4:$E$1180,2,FALSE)</f>
        <v>CSR_30200</v>
      </c>
      <c r="G105" s="203">
        <v>46010</v>
      </c>
      <c r="H105" s="208">
        <v>1</v>
      </c>
      <c r="I105" s="205">
        <f t="shared" si="2"/>
        <v>5.2631578947368418E-2</v>
      </c>
      <c r="J105" s="206" t="s">
        <v>1020</v>
      </c>
      <c r="K105" s="204"/>
    </row>
    <row r="106" spans="1:11" s="197" customFormat="1" ht="64">
      <c r="A106" s="198" t="s">
        <v>1546</v>
      </c>
      <c r="B106" s="213" t="s">
        <v>775</v>
      </c>
      <c r="C106" s="213" t="s">
        <v>175</v>
      </c>
      <c r="D106" s="215" t="s">
        <v>785</v>
      </c>
      <c r="E106" s="227" t="s">
        <v>1790</v>
      </c>
      <c r="F106" s="202" t="str">
        <f>VLOOKUP(D106,CSR!$D$4:$E$1180,2,FALSE)</f>
        <v>CSR_40400</v>
      </c>
      <c r="G106" s="203">
        <v>46010</v>
      </c>
      <c r="H106" s="204">
        <v>4</v>
      </c>
      <c r="I106" s="205">
        <f t="shared" si="2"/>
        <v>0.21052631578947367</v>
      </c>
      <c r="J106" s="206" t="s">
        <v>1020</v>
      </c>
      <c r="K106" s="204"/>
    </row>
    <row r="107" spans="1:11" s="197" customFormat="1" ht="80">
      <c r="A107" s="198" t="s">
        <v>1546</v>
      </c>
      <c r="B107" s="213" t="s">
        <v>775</v>
      </c>
      <c r="C107" s="213" t="s">
        <v>175</v>
      </c>
      <c r="D107" s="215" t="s">
        <v>785</v>
      </c>
      <c r="E107" s="227" t="s">
        <v>1791</v>
      </c>
      <c r="F107" s="202" t="str">
        <f>VLOOKUP(D107,CSR!$D$4:$E$1180,2,FALSE)</f>
        <v>CSR_40400</v>
      </c>
      <c r="G107" s="203">
        <v>46010</v>
      </c>
      <c r="H107" s="204">
        <v>4</v>
      </c>
      <c r="I107" s="205">
        <f t="shared" si="2"/>
        <v>0.21052631578947367</v>
      </c>
      <c r="J107" s="206" t="s">
        <v>1020</v>
      </c>
      <c r="K107" s="204"/>
    </row>
    <row r="108" spans="1:11" s="197" customFormat="1" ht="32">
      <c r="A108" s="198" t="s">
        <v>1546</v>
      </c>
      <c r="B108" s="213" t="s">
        <v>775</v>
      </c>
      <c r="C108" s="213" t="s">
        <v>175</v>
      </c>
      <c r="D108" s="204" t="s">
        <v>786</v>
      </c>
      <c r="E108" s="227" t="s">
        <v>1792</v>
      </c>
      <c r="F108" s="202" t="str">
        <f>VLOOKUP(D108,CSR!$D$4:$E$1180,2,FALSE)</f>
        <v>CSR_40500</v>
      </c>
      <c r="G108" s="203">
        <v>46010</v>
      </c>
      <c r="H108" s="204">
        <v>2</v>
      </c>
      <c r="I108" s="205">
        <f t="shared" si="2"/>
        <v>0.10526315789473684</v>
      </c>
      <c r="J108" s="206" t="s">
        <v>1020</v>
      </c>
      <c r="K108" s="204"/>
    </row>
    <row r="109" spans="1:11" s="197" customFormat="1" ht="48">
      <c r="A109" s="198" t="s">
        <v>1722</v>
      </c>
      <c r="B109" s="199" t="s">
        <v>16</v>
      </c>
      <c r="C109" s="198" t="s">
        <v>17</v>
      </c>
      <c r="D109" s="208" t="s">
        <v>617</v>
      </c>
      <c r="E109" s="210" t="s">
        <v>1793</v>
      </c>
      <c r="F109" s="202" t="str">
        <f>VLOOKUP(D109,CSR!$D$4:$E$1180,2,FALSE)</f>
        <v>CSR_10100</v>
      </c>
      <c r="G109" s="203">
        <v>45982</v>
      </c>
      <c r="H109" s="204">
        <v>1</v>
      </c>
      <c r="I109" s="241">
        <f t="shared" si="2"/>
        <v>5.2631578947368418E-2</v>
      </c>
      <c r="J109" s="217" t="s">
        <v>1036</v>
      </c>
      <c r="K109" s="204"/>
    </row>
    <row r="110" spans="1:11" s="197" customFormat="1" ht="32">
      <c r="A110" s="198" t="s">
        <v>1722</v>
      </c>
      <c r="B110" s="199" t="s">
        <v>16</v>
      </c>
      <c r="C110" s="198" t="s">
        <v>17</v>
      </c>
      <c r="D110" s="200" t="s">
        <v>1794</v>
      </c>
      <c r="E110" s="201" t="s">
        <v>1795</v>
      </c>
      <c r="F110" s="202" t="str">
        <f>VLOOKUP(D110,CSR!$D$4:$E$1180,2,FALSE)</f>
        <v>CSR_11301</v>
      </c>
      <c r="G110" s="203">
        <v>45986</v>
      </c>
      <c r="H110" s="204">
        <v>0.5</v>
      </c>
      <c r="I110" s="241">
        <f t="shared" si="2"/>
        <v>2.6315789473684209E-2</v>
      </c>
      <c r="J110" s="217" t="s">
        <v>1036</v>
      </c>
      <c r="K110" s="204"/>
    </row>
    <row r="111" spans="1:11" s="197" customFormat="1" ht="32">
      <c r="A111" s="198" t="s">
        <v>1546</v>
      </c>
      <c r="B111" s="199" t="s">
        <v>758</v>
      </c>
      <c r="C111" s="198" t="s">
        <v>32</v>
      </c>
      <c r="D111" s="200" t="s">
        <v>33</v>
      </c>
      <c r="E111" s="201" t="s">
        <v>1796</v>
      </c>
      <c r="F111" s="202" t="str">
        <f>VLOOKUP(D111,CSR!$D$4:$E$1180,2,FALSE)</f>
        <v>CSR_30200</v>
      </c>
      <c r="G111" s="203">
        <v>45992</v>
      </c>
      <c r="H111" s="204">
        <v>0.5</v>
      </c>
      <c r="I111" s="241">
        <f t="shared" si="2"/>
        <v>2.6315789473684209E-2</v>
      </c>
      <c r="J111" s="217" t="s">
        <v>1036</v>
      </c>
      <c r="K111" s="204"/>
    </row>
    <row r="112" spans="1:11" s="197" customFormat="1" ht="80">
      <c r="A112" s="198" t="s">
        <v>1546</v>
      </c>
      <c r="B112" s="199" t="s">
        <v>16</v>
      </c>
      <c r="C112" s="199" t="s">
        <v>17</v>
      </c>
      <c r="D112" s="200" t="s">
        <v>131</v>
      </c>
      <c r="E112" s="201" t="s">
        <v>1797</v>
      </c>
      <c r="F112" s="202" t="str">
        <f>VLOOKUP(D112,CSR!$D$4:$E$1180,2,FALSE)</f>
        <v>CSR_10400</v>
      </c>
      <c r="G112" s="203">
        <v>45996</v>
      </c>
      <c r="H112" s="208">
        <v>2.5</v>
      </c>
      <c r="I112" s="241">
        <f t="shared" si="2"/>
        <v>0.13157894736842105</v>
      </c>
      <c r="J112" s="217" t="s">
        <v>1036</v>
      </c>
      <c r="K112" s="204"/>
    </row>
    <row r="113" spans="1:11" s="197" customFormat="1" ht="48">
      <c r="A113" s="198" t="s">
        <v>1546</v>
      </c>
      <c r="B113" s="199" t="s">
        <v>758</v>
      </c>
      <c r="C113" s="198" t="s">
        <v>32</v>
      </c>
      <c r="D113" s="200" t="s">
        <v>33</v>
      </c>
      <c r="E113" s="201" t="s">
        <v>1798</v>
      </c>
      <c r="F113" s="202" t="str">
        <f>VLOOKUP(D113,CSR!$D$4:$E$1180,2,FALSE)</f>
        <v>CSR_30200</v>
      </c>
      <c r="G113" s="203">
        <v>46000</v>
      </c>
      <c r="H113" s="204">
        <v>0.5</v>
      </c>
      <c r="I113" s="241">
        <f t="shared" si="2"/>
        <v>2.6315789473684209E-2</v>
      </c>
      <c r="J113" s="217" t="s">
        <v>1036</v>
      </c>
      <c r="K113" s="204"/>
    </row>
    <row r="114" spans="1:11" s="197" customFormat="1" ht="32">
      <c r="A114" s="198" t="s">
        <v>1546</v>
      </c>
      <c r="B114" s="199" t="s">
        <v>16</v>
      </c>
      <c r="C114" s="198" t="s">
        <v>17</v>
      </c>
      <c r="D114" s="207" t="s">
        <v>653</v>
      </c>
      <c r="E114" s="201" t="s">
        <v>1799</v>
      </c>
      <c r="F114" s="202" t="str">
        <f>VLOOKUP(D114,CSR!$D$4:$E$1180,2,FALSE)</f>
        <v>CSR_11303</v>
      </c>
      <c r="G114" s="203">
        <v>46002</v>
      </c>
      <c r="H114" s="208">
        <v>1</v>
      </c>
      <c r="I114" s="241">
        <f t="shared" si="2"/>
        <v>5.2631578947368418E-2</v>
      </c>
      <c r="J114" s="217" t="s">
        <v>1036</v>
      </c>
      <c r="K114" s="204"/>
    </row>
    <row r="115" spans="1:11" s="197" customFormat="1" ht="80">
      <c r="A115" s="198" t="s">
        <v>1546</v>
      </c>
      <c r="B115" s="199" t="s">
        <v>16</v>
      </c>
      <c r="C115" s="198" t="s">
        <v>17</v>
      </c>
      <c r="D115" s="204" t="s">
        <v>634</v>
      </c>
      <c r="E115" s="201" t="s">
        <v>1800</v>
      </c>
      <c r="F115" s="202" t="str">
        <f>VLOOKUP(D115,CSR!$D$4:$E$1180,2,FALSE)</f>
        <v>CSR_10700</v>
      </c>
      <c r="G115" s="203">
        <v>46009</v>
      </c>
      <c r="H115" s="208">
        <v>1.5</v>
      </c>
      <c r="I115" s="241">
        <f t="shared" si="2"/>
        <v>7.8947368421052627E-2</v>
      </c>
      <c r="J115" s="217" t="s">
        <v>1036</v>
      </c>
      <c r="K115" s="204"/>
    </row>
    <row r="116" spans="1:11" s="197" customFormat="1" ht="48">
      <c r="A116" s="198" t="s">
        <v>1546</v>
      </c>
      <c r="B116" s="199" t="s">
        <v>49</v>
      </c>
      <c r="C116" s="199" t="s">
        <v>50</v>
      </c>
      <c r="D116" s="207" t="s">
        <v>647</v>
      </c>
      <c r="E116" s="201" t="s">
        <v>1801</v>
      </c>
      <c r="F116" s="202" t="str">
        <f>VLOOKUP(D116,CSR!$D$4:$E$1180,2,FALSE)</f>
        <v>CSR_11300</v>
      </c>
      <c r="G116" s="203">
        <v>46009</v>
      </c>
      <c r="H116" s="208">
        <v>0.5</v>
      </c>
      <c r="I116" s="241">
        <f t="shared" si="2"/>
        <v>2.6315789473684209E-2</v>
      </c>
      <c r="J116" s="217" t="s">
        <v>1036</v>
      </c>
      <c r="K116" s="204"/>
    </row>
    <row r="117" spans="1:11" s="197" customFormat="1" ht="48">
      <c r="A117" s="198" t="s">
        <v>1546</v>
      </c>
      <c r="B117" s="199" t="s">
        <v>49</v>
      </c>
      <c r="C117" s="199" t="s">
        <v>50</v>
      </c>
      <c r="D117" s="207" t="s">
        <v>662</v>
      </c>
      <c r="E117" s="201" t="s">
        <v>1802</v>
      </c>
      <c r="F117" s="202" t="str">
        <f>VLOOKUP(D117,CSR!$D$4:$E$1180,2,FALSE)</f>
        <v>CSR_11306</v>
      </c>
      <c r="G117" s="203">
        <v>46009</v>
      </c>
      <c r="H117" s="208">
        <v>2</v>
      </c>
      <c r="I117" s="241">
        <f t="shared" si="2"/>
        <v>0.10526315789473684</v>
      </c>
      <c r="J117" s="217" t="s">
        <v>1036</v>
      </c>
      <c r="K117" s="204"/>
    </row>
    <row r="118" spans="1:11" s="197" customFormat="1" ht="80">
      <c r="A118" s="198" t="s">
        <v>1546</v>
      </c>
      <c r="B118" s="199" t="s">
        <v>16</v>
      </c>
      <c r="C118" s="199" t="s">
        <v>17</v>
      </c>
      <c r="D118" s="200" t="s">
        <v>131</v>
      </c>
      <c r="E118" s="201" t="s">
        <v>1803</v>
      </c>
      <c r="F118" s="202" t="str">
        <f>VLOOKUP(D118,CSR!$D$4:$E$1180,2,FALSE)</f>
        <v>CSR_10400</v>
      </c>
      <c r="G118" s="203">
        <v>46010</v>
      </c>
      <c r="H118" s="208">
        <v>3.5</v>
      </c>
      <c r="I118" s="241">
        <f t="shared" si="2"/>
        <v>0.18421052631578946</v>
      </c>
      <c r="J118" s="217" t="s">
        <v>1036</v>
      </c>
      <c r="K118" s="204"/>
    </row>
    <row r="119" spans="1:11" s="197" customFormat="1" ht="64">
      <c r="A119" s="198" t="s">
        <v>1546</v>
      </c>
      <c r="B119" s="199" t="s">
        <v>49</v>
      </c>
      <c r="C119" s="199" t="s">
        <v>50</v>
      </c>
      <c r="D119" s="207" t="s">
        <v>1273</v>
      </c>
      <c r="E119" s="201" t="s">
        <v>1804</v>
      </c>
      <c r="F119" s="202" t="e">
        <f>VLOOKUP(D119,CSR!$D$4:$E$1180,2,FALSE)</f>
        <v>#N/A</v>
      </c>
      <c r="G119" s="203">
        <v>46010</v>
      </c>
      <c r="H119" s="204">
        <v>3</v>
      </c>
      <c r="I119" s="241">
        <f t="shared" si="2"/>
        <v>0.15789473684210525</v>
      </c>
      <c r="J119" s="217" t="s">
        <v>1036</v>
      </c>
      <c r="K119" s="204"/>
    </row>
    <row r="120" spans="1:11" s="197" customFormat="1" ht="80">
      <c r="A120" s="198" t="s">
        <v>1546</v>
      </c>
      <c r="B120" s="199" t="s">
        <v>49</v>
      </c>
      <c r="C120" s="199" t="s">
        <v>50</v>
      </c>
      <c r="D120" s="200" t="s">
        <v>806</v>
      </c>
      <c r="E120" s="201" t="s">
        <v>1805</v>
      </c>
      <c r="F120" s="202" t="str">
        <f>VLOOKUP(D120,CSR!$D$4:$E$1180,2,FALSE)</f>
        <v>CSR_41200</v>
      </c>
      <c r="G120" s="203">
        <v>46010</v>
      </c>
      <c r="H120" s="204">
        <v>2.5</v>
      </c>
      <c r="I120" s="241">
        <f t="shared" si="2"/>
        <v>0.13157894736842105</v>
      </c>
      <c r="J120" s="217" t="s">
        <v>1036</v>
      </c>
      <c r="K120" s="217"/>
    </row>
    <row r="121" spans="1:11" s="197" customFormat="1" ht="48">
      <c r="A121" s="198" t="s">
        <v>1546</v>
      </c>
      <c r="B121" s="199" t="s">
        <v>31</v>
      </c>
      <c r="C121" s="199" t="s">
        <v>759</v>
      </c>
      <c r="D121" s="208" t="s">
        <v>764</v>
      </c>
      <c r="E121" s="227" t="s">
        <v>1806</v>
      </c>
      <c r="F121" s="202" t="str">
        <f>VLOOKUP(D121,CSR!$D$4:$E$1180,2,FALSE)</f>
        <v>CSR_30200</v>
      </c>
      <c r="G121" s="203" t="s">
        <v>1807</v>
      </c>
      <c r="H121" s="204">
        <v>1</v>
      </c>
      <c r="I121" s="205">
        <f t="shared" si="2"/>
        <v>5.2631578947368418E-2</v>
      </c>
      <c r="J121" s="206" t="s">
        <v>852</v>
      </c>
      <c r="K121" s="204"/>
    </row>
    <row r="122" spans="1:11" s="197" customFormat="1" ht="32">
      <c r="A122" s="198" t="s">
        <v>1546</v>
      </c>
      <c r="B122" s="199" t="s">
        <v>70</v>
      </c>
      <c r="C122" s="199" t="s">
        <v>753</v>
      </c>
      <c r="D122" s="208" t="s">
        <v>754</v>
      </c>
      <c r="E122" s="210" t="s">
        <v>1808</v>
      </c>
      <c r="F122" s="202" t="str">
        <f>VLOOKUP(D122,CSR!$D$4:$E$1180,2,FALSE)</f>
        <v>CSR_20200</v>
      </c>
      <c r="G122" s="203" t="s">
        <v>1809</v>
      </c>
      <c r="H122" s="204">
        <v>1.5</v>
      </c>
      <c r="I122" s="205">
        <f t="shared" si="2"/>
        <v>7.8947368421052627E-2</v>
      </c>
      <c r="J122" s="206" t="s">
        <v>852</v>
      </c>
      <c r="K122" s="204"/>
    </row>
    <row r="123" spans="1:11" s="197" customFormat="1" ht="32">
      <c r="A123" s="198" t="s">
        <v>1546</v>
      </c>
      <c r="B123" s="199" t="s">
        <v>31</v>
      </c>
      <c r="C123" s="199" t="s">
        <v>759</v>
      </c>
      <c r="D123" s="208" t="s">
        <v>764</v>
      </c>
      <c r="E123" s="218" t="s">
        <v>1810</v>
      </c>
      <c r="F123" s="202" t="str">
        <f>VLOOKUP(D123,CSR!$D$4:$E$1180,2,FALSE)</f>
        <v>CSR_30200</v>
      </c>
      <c r="G123" s="203" t="s">
        <v>1809</v>
      </c>
      <c r="H123" s="208">
        <v>1</v>
      </c>
      <c r="I123" s="205">
        <f t="shared" si="2"/>
        <v>5.2631578947368418E-2</v>
      </c>
      <c r="J123" s="206" t="s">
        <v>852</v>
      </c>
      <c r="K123" s="204"/>
    </row>
    <row r="124" spans="1:11" s="197" customFormat="1" ht="48">
      <c r="A124" s="198" t="s">
        <v>1546</v>
      </c>
      <c r="B124" s="199" t="s">
        <v>16</v>
      </c>
      <c r="C124" s="199" t="s">
        <v>17</v>
      </c>
      <c r="D124" s="208" t="s">
        <v>262</v>
      </c>
      <c r="E124" s="210" t="s">
        <v>1811</v>
      </c>
      <c r="F124" s="202" t="str">
        <f>VLOOKUP(D124,CSR!$D$4:$E$1180,2,FALSE)</f>
        <v>CSR_11100</v>
      </c>
      <c r="G124" s="203" t="s">
        <v>1812</v>
      </c>
      <c r="H124" s="204">
        <v>2</v>
      </c>
      <c r="I124" s="205">
        <f t="shared" si="2"/>
        <v>0.10526315789473684</v>
      </c>
      <c r="J124" s="206" t="s">
        <v>852</v>
      </c>
      <c r="K124" s="204"/>
    </row>
    <row r="125" spans="1:11" s="197" customFormat="1" ht="112">
      <c r="A125" s="198" t="s">
        <v>1546</v>
      </c>
      <c r="B125" s="199" t="s">
        <v>70</v>
      </c>
      <c r="C125" s="199" t="s">
        <v>245</v>
      </c>
      <c r="D125" s="208" t="s">
        <v>1631</v>
      </c>
      <c r="E125" s="210" t="s">
        <v>1813</v>
      </c>
      <c r="F125" s="202" t="str">
        <f>VLOOKUP(D125,CSR!$D$4:$E$1180,2,FALSE)</f>
        <v>CSR_20002</v>
      </c>
      <c r="G125" s="203" t="s">
        <v>1814</v>
      </c>
      <c r="H125" s="204">
        <v>1.5</v>
      </c>
      <c r="I125" s="205">
        <f t="shared" si="2"/>
        <v>7.8947368421052627E-2</v>
      </c>
      <c r="J125" s="206" t="s">
        <v>852</v>
      </c>
      <c r="K125" s="204"/>
    </row>
    <row r="126" spans="1:11" s="197" customFormat="1" ht="48">
      <c r="A126" s="198" t="s">
        <v>1546</v>
      </c>
      <c r="B126" s="199" t="s">
        <v>70</v>
      </c>
      <c r="C126" s="199" t="s">
        <v>245</v>
      </c>
      <c r="D126" s="208" t="s">
        <v>1475</v>
      </c>
      <c r="E126" s="227" t="s">
        <v>1815</v>
      </c>
      <c r="F126" s="202" t="str">
        <f>VLOOKUP(D126,CSR!$D$4:$E$1180,2,FALSE)</f>
        <v>CSR_20003</v>
      </c>
      <c r="G126" s="203" t="s">
        <v>1814</v>
      </c>
      <c r="H126" s="204">
        <v>1</v>
      </c>
      <c r="I126" s="205">
        <f t="shared" si="2"/>
        <v>5.2631578947368418E-2</v>
      </c>
      <c r="J126" s="206" t="s">
        <v>852</v>
      </c>
      <c r="K126" s="204"/>
    </row>
    <row r="127" spans="1:11" s="197" customFormat="1" ht="64">
      <c r="A127" s="198" t="s">
        <v>1546</v>
      </c>
      <c r="B127" s="199" t="s">
        <v>70</v>
      </c>
      <c r="C127" s="199" t="s">
        <v>245</v>
      </c>
      <c r="D127" s="208" t="s">
        <v>741</v>
      </c>
      <c r="E127" s="260" t="s">
        <v>1816</v>
      </c>
      <c r="F127" s="202" t="str">
        <f>VLOOKUP(D127,CSR!$D$4:$E$1180,2,FALSE)</f>
        <v>CSR_20004</v>
      </c>
      <c r="G127" s="203" t="s">
        <v>1814</v>
      </c>
      <c r="H127" s="204">
        <v>1.5</v>
      </c>
      <c r="I127" s="205">
        <f t="shared" si="2"/>
        <v>7.8947368421052627E-2</v>
      </c>
      <c r="J127" s="206" t="s">
        <v>852</v>
      </c>
      <c r="K127" s="204"/>
    </row>
    <row r="128" spans="1:11" s="197" customFormat="1" ht="48">
      <c r="A128" s="198" t="s">
        <v>1546</v>
      </c>
      <c r="B128" s="199" t="s">
        <v>70</v>
      </c>
      <c r="C128" s="199" t="s">
        <v>753</v>
      </c>
      <c r="D128" s="208" t="s">
        <v>754</v>
      </c>
      <c r="E128" s="227" t="s">
        <v>1817</v>
      </c>
      <c r="F128" s="202" t="str">
        <f>VLOOKUP(D128,CSR!$D$4:$E$1180,2,FALSE)</f>
        <v>CSR_20200</v>
      </c>
      <c r="G128" s="203" t="s">
        <v>1814</v>
      </c>
      <c r="H128" s="204">
        <v>1</v>
      </c>
      <c r="I128" s="205">
        <f t="shared" si="2"/>
        <v>5.2631578947368418E-2</v>
      </c>
      <c r="J128" s="206" t="s">
        <v>852</v>
      </c>
      <c r="K128" s="204"/>
    </row>
    <row r="129" spans="1:11" s="197" customFormat="1" ht="64">
      <c r="A129" s="198" t="s">
        <v>1546</v>
      </c>
      <c r="B129" s="199" t="s">
        <v>70</v>
      </c>
      <c r="C129" s="199" t="s">
        <v>71</v>
      </c>
      <c r="D129" s="208" t="s">
        <v>252</v>
      </c>
      <c r="E129" s="227" t="s">
        <v>1818</v>
      </c>
      <c r="F129" s="202" t="str">
        <f>VLOOKUP(D129,CSR!$D$4:$E$1180,2,FALSE)</f>
        <v>CSR_20300</v>
      </c>
      <c r="G129" s="203" t="s">
        <v>1814</v>
      </c>
      <c r="H129" s="204">
        <v>1.5</v>
      </c>
      <c r="I129" s="205">
        <f t="shared" si="2"/>
        <v>7.8947368421052627E-2</v>
      </c>
      <c r="J129" s="206" t="s">
        <v>852</v>
      </c>
      <c r="K129" s="204"/>
    </row>
    <row r="130" spans="1:11" s="197" customFormat="1" ht="64">
      <c r="A130" s="198" t="s">
        <v>1546</v>
      </c>
      <c r="B130" s="199" t="s">
        <v>31</v>
      </c>
      <c r="C130" s="199" t="s">
        <v>32</v>
      </c>
      <c r="D130" s="200" t="s">
        <v>259</v>
      </c>
      <c r="E130" s="210" t="s">
        <v>1819</v>
      </c>
      <c r="F130" s="202" t="str">
        <f>VLOOKUP(D130,CSR!$D$4:$E$1180,2,FALSE)</f>
        <v>CSR_30100</v>
      </c>
      <c r="G130" s="203" t="s">
        <v>1814</v>
      </c>
      <c r="H130" s="204">
        <v>1.5</v>
      </c>
      <c r="I130" s="205">
        <f t="shared" si="2"/>
        <v>7.8947368421052627E-2</v>
      </c>
      <c r="J130" s="206" t="s">
        <v>852</v>
      </c>
      <c r="K130" s="204"/>
    </row>
    <row r="131" spans="1:11" s="197" customFormat="1" ht="32">
      <c r="A131" s="198" t="s">
        <v>1546</v>
      </c>
      <c r="B131" s="199" t="s">
        <v>31</v>
      </c>
      <c r="C131" s="199" t="s">
        <v>32</v>
      </c>
      <c r="D131" s="208" t="s">
        <v>33</v>
      </c>
      <c r="E131" s="210" t="s">
        <v>1820</v>
      </c>
      <c r="F131" s="202" t="str">
        <f>VLOOKUP(D131,CSR!$D$4:$E$1180,2,FALSE)</f>
        <v>CSR_30200</v>
      </c>
      <c r="G131" s="203" t="s">
        <v>1821</v>
      </c>
      <c r="H131" s="204">
        <v>0.5</v>
      </c>
      <c r="I131" s="205">
        <f t="shared" si="2"/>
        <v>2.6315789473684209E-2</v>
      </c>
      <c r="J131" s="206" t="s">
        <v>852</v>
      </c>
      <c r="K131" s="204"/>
    </row>
    <row r="132" spans="1:11" s="197" customFormat="1" ht="32">
      <c r="A132" s="198" t="s">
        <v>1546</v>
      </c>
      <c r="B132" s="199" t="s">
        <v>70</v>
      </c>
      <c r="C132" s="199" t="s">
        <v>245</v>
      </c>
      <c r="D132" s="208" t="s">
        <v>246</v>
      </c>
      <c r="E132" s="227" t="s">
        <v>1822</v>
      </c>
      <c r="F132" s="202" t="str">
        <f>VLOOKUP(D132,CSR!$D$4:$E$1180,2,FALSE)</f>
        <v>CSR_20000</v>
      </c>
      <c r="G132" s="203" t="s">
        <v>1823</v>
      </c>
      <c r="H132" s="204">
        <v>2</v>
      </c>
      <c r="I132" s="205">
        <f t="shared" si="2"/>
        <v>0.10526315789473684</v>
      </c>
      <c r="J132" s="206" t="s">
        <v>852</v>
      </c>
      <c r="K132" s="204"/>
    </row>
    <row r="133" spans="1:11" s="197" customFormat="1" ht="32">
      <c r="A133" s="198" t="s">
        <v>1546</v>
      </c>
      <c r="B133" s="199" t="s">
        <v>70</v>
      </c>
      <c r="C133" s="199" t="s">
        <v>245</v>
      </c>
      <c r="D133" s="208" t="s">
        <v>246</v>
      </c>
      <c r="E133" s="227" t="s">
        <v>1824</v>
      </c>
      <c r="F133" s="202" t="str">
        <f>VLOOKUP(D133,CSR!$D$4:$E$1180,2,FALSE)</f>
        <v>CSR_20000</v>
      </c>
      <c r="G133" s="203" t="s">
        <v>1823</v>
      </c>
      <c r="H133" s="204">
        <v>1.5</v>
      </c>
      <c r="I133" s="205">
        <f t="shared" si="2"/>
        <v>7.8947368421052627E-2</v>
      </c>
      <c r="J133" s="206" t="s">
        <v>852</v>
      </c>
      <c r="K133" s="204"/>
    </row>
    <row r="134" spans="1:11" s="197" customFormat="1" ht="32">
      <c r="A134" s="198" t="s">
        <v>1546</v>
      </c>
      <c r="B134" s="199" t="s">
        <v>31</v>
      </c>
      <c r="C134" s="199" t="s">
        <v>759</v>
      </c>
      <c r="D134" s="208" t="s">
        <v>764</v>
      </c>
      <c r="E134" s="227" t="s">
        <v>1825</v>
      </c>
      <c r="F134" s="202" t="str">
        <f>VLOOKUP(D134,CSR!$D$4:$E$1180,2,FALSE)</f>
        <v>CSR_30200</v>
      </c>
      <c r="G134" s="203" t="s">
        <v>1823</v>
      </c>
      <c r="H134" s="204">
        <v>1.5</v>
      </c>
      <c r="I134" s="205">
        <f t="shared" si="2"/>
        <v>7.8947368421052627E-2</v>
      </c>
      <c r="J134" s="206" t="s">
        <v>852</v>
      </c>
      <c r="K134" s="204"/>
    </row>
    <row r="135" spans="1:11" s="197" customFormat="1" ht="32">
      <c r="A135" s="198" t="s">
        <v>1546</v>
      </c>
      <c r="B135" s="211" t="s">
        <v>758</v>
      </c>
      <c r="C135" s="211" t="s">
        <v>759</v>
      </c>
      <c r="D135" s="207" t="s">
        <v>651</v>
      </c>
      <c r="E135" s="218" t="s">
        <v>1826</v>
      </c>
      <c r="F135" s="202" t="str">
        <f>VLOOKUP(D135,CSR!$D$4:$E$1180,2,FALSE)</f>
        <v>CSR_11302</v>
      </c>
      <c r="G135" s="203">
        <v>46010</v>
      </c>
      <c r="H135" s="204">
        <v>3</v>
      </c>
      <c r="I135" s="205">
        <f t="shared" si="2"/>
        <v>0.15789473684210525</v>
      </c>
      <c r="J135" s="198" t="s">
        <v>285</v>
      </c>
      <c r="K135" s="204"/>
    </row>
    <row r="136" spans="1:11" s="197" customFormat="1" ht="48">
      <c r="A136" s="198" t="s">
        <v>1546</v>
      </c>
      <c r="B136" s="199" t="s">
        <v>775</v>
      </c>
      <c r="C136" s="199" t="s">
        <v>792</v>
      </c>
      <c r="D136" s="204" t="s">
        <v>799</v>
      </c>
      <c r="E136" s="210" t="s">
        <v>1827</v>
      </c>
      <c r="F136" s="202" t="str">
        <f>VLOOKUP(D136,CSR!$D$4:$E$1180,2,FALSE)</f>
        <v>CSR_41101</v>
      </c>
      <c r="G136" s="203">
        <v>46010</v>
      </c>
      <c r="H136" s="204">
        <v>4</v>
      </c>
      <c r="I136" s="205">
        <f t="shared" si="2"/>
        <v>0.21052631578947367</v>
      </c>
      <c r="J136" s="198" t="s">
        <v>285</v>
      </c>
      <c r="K136" s="204"/>
    </row>
    <row r="137" spans="1:11" s="197" customFormat="1" ht="48">
      <c r="A137" s="198" t="s">
        <v>1546</v>
      </c>
      <c r="B137" s="199" t="s">
        <v>775</v>
      </c>
      <c r="C137" s="199" t="s">
        <v>792</v>
      </c>
      <c r="D137" s="204" t="s">
        <v>801</v>
      </c>
      <c r="E137" s="210" t="s">
        <v>1828</v>
      </c>
      <c r="F137" s="202" t="str">
        <f>VLOOKUP(D137,CSR!$D$4:$E$1180,2,FALSE)</f>
        <v>CSR_41102</v>
      </c>
      <c r="G137" s="203">
        <v>46010</v>
      </c>
      <c r="H137" s="204">
        <v>4</v>
      </c>
      <c r="I137" s="205">
        <f t="shared" si="2"/>
        <v>0.21052631578947367</v>
      </c>
      <c r="J137" s="198" t="s">
        <v>285</v>
      </c>
      <c r="K137" s="204"/>
    </row>
    <row r="138" spans="1:11" s="197" customFormat="1" ht="224">
      <c r="A138" s="198" t="s">
        <v>1546</v>
      </c>
      <c r="B138" s="199" t="s">
        <v>758</v>
      </c>
      <c r="C138" s="199" t="s">
        <v>759</v>
      </c>
      <c r="D138" s="200" t="s">
        <v>760</v>
      </c>
      <c r="E138" s="201" t="s">
        <v>1829</v>
      </c>
      <c r="F138" s="202" t="str">
        <f>VLOOKUP(D138,CSR!$D$4:$E$1180,2,FALSE)</f>
        <v>CSR_30000</v>
      </c>
      <c r="G138" s="261">
        <v>46375</v>
      </c>
      <c r="H138" s="204">
        <v>4</v>
      </c>
      <c r="I138" s="205">
        <f t="shared" si="2"/>
        <v>0.21052631578947367</v>
      </c>
      <c r="J138" s="198" t="s">
        <v>285</v>
      </c>
      <c r="K138" s="204"/>
    </row>
    <row r="139" spans="1:11" s="197" customFormat="1" ht="32">
      <c r="A139" s="198" t="s">
        <v>1722</v>
      </c>
      <c r="B139" s="199" t="s">
        <v>31</v>
      </c>
      <c r="C139" s="199" t="s">
        <v>759</v>
      </c>
      <c r="D139" s="208" t="s">
        <v>764</v>
      </c>
      <c r="E139" s="218" t="s">
        <v>1830</v>
      </c>
      <c r="F139" s="202" t="str">
        <f>VLOOKUP(D139,CSR!$D$4:$E$1180,2,FALSE)</f>
        <v>CSR_30200</v>
      </c>
      <c r="G139" s="203" t="s">
        <v>1831</v>
      </c>
      <c r="H139" s="204">
        <v>1</v>
      </c>
      <c r="I139" s="205">
        <f t="shared" si="2"/>
        <v>5.2631578947368418E-2</v>
      </c>
      <c r="J139" s="206" t="s">
        <v>1081</v>
      </c>
      <c r="K139" s="208"/>
    </row>
    <row r="140" spans="1:11" s="197" customFormat="1" ht="16">
      <c r="A140" s="198" t="s">
        <v>1722</v>
      </c>
      <c r="B140" s="199" t="s">
        <v>16</v>
      </c>
      <c r="C140" s="199" t="s">
        <v>17</v>
      </c>
      <c r="D140" s="200" t="s">
        <v>131</v>
      </c>
      <c r="E140" s="201" t="s">
        <v>1656</v>
      </c>
      <c r="F140" s="202" t="str">
        <f>VLOOKUP(D140,CSR!$D$4:$E$1180,2,FALSE)</f>
        <v>CSR_10400</v>
      </c>
      <c r="G140" s="203" t="s">
        <v>1832</v>
      </c>
      <c r="H140" s="204">
        <v>4</v>
      </c>
      <c r="I140" s="205">
        <f t="shared" si="2"/>
        <v>0.21052631578947367</v>
      </c>
      <c r="J140" s="206" t="s">
        <v>1081</v>
      </c>
      <c r="K140" s="204"/>
    </row>
    <row r="141" spans="1:11" s="197" customFormat="1" ht="16">
      <c r="A141" s="198" t="s">
        <v>1722</v>
      </c>
      <c r="B141" s="199" t="s">
        <v>49</v>
      </c>
      <c r="C141" s="199" t="s">
        <v>50</v>
      </c>
      <c r="D141" s="207" t="s">
        <v>647</v>
      </c>
      <c r="E141" s="201" t="s">
        <v>1833</v>
      </c>
      <c r="F141" s="202" t="str">
        <f>VLOOKUP(D141,CSR!$D$4:$E$1180,2,FALSE)</f>
        <v>CSR_11300</v>
      </c>
      <c r="G141" s="203" t="s">
        <v>1832</v>
      </c>
      <c r="H141" s="204">
        <v>3</v>
      </c>
      <c r="I141" s="205">
        <f t="shared" si="2"/>
        <v>0.15789473684210525</v>
      </c>
      <c r="J141" s="206" t="s">
        <v>1081</v>
      </c>
      <c r="K141" s="204"/>
    </row>
    <row r="142" spans="1:11" s="197" customFormat="1" ht="16">
      <c r="A142" s="198" t="s">
        <v>1546</v>
      </c>
      <c r="B142" s="199" t="s">
        <v>16</v>
      </c>
      <c r="C142" s="198" t="s">
        <v>17</v>
      </c>
      <c r="D142" s="207" t="s">
        <v>653</v>
      </c>
      <c r="E142" s="201" t="s">
        <v>1834</v>
      </c>
      <c r="F142" s="202" t="str">
        <f>VLOOKUP(D142,CSR!$D$4:$E$1180,2,FALSE)</f>
        <v>CSR_11303</v>
      </c>
      <c r="G142" s="203" t="s">
        <v>1835</v>
      </c>
      <c r="H142" s="218">
        <v>1</v>
      </c>
      <c r="I142" s="205">
        <f t="shared" si="2"/>
        <v>5.2631578947368418E-2</v>
      </c>
      <c r="J142" s="206" t="s">
        <v>1081</v>
      </c>
      <c r="K142" s="204"/>
    </row>
    <row r="143" spans="1:11" s="197" customFormat="1" ht="16">
      <c r="A143" s="198" t="s">
        <v>1546</v>
      </c>
      <c r="B143" s="199" t="s">
        <v>49</v>
      </c>
      <c r="C143" s="199" t="s">
        <v>50</v>
      </c>
      <c r="D143" s="207" t="s">
        <v>662</v>
      </c>
      <c r="E143" s="201" t="s">
        <v>1836</v>
      </c>
      <c r="F143" s="202" t="str">
        <f>VLOOKUP(D143,CSR!$D$4:$E$1180,2,FALSE)</f>
        <v>CSR_11306</v>
      </c>
      <c r="G143" s="203" t="s">
        <v>1837</v>
      </c>
      <c r="H143" s="204">
        <v>3</v>
      </c>
      <c r="I143" s="205">
        <f t="shared" si="2"/>
        <v>0.15789473684210525</v>
      </c>
      <c r="J143" s="206" t="s">
        <v>1081</v>
      </c>
      <c r="K143" s="204"/>
    </row>
    <row r="144" spans="1:11" s="197" customFormat="1" ht="16">
      <c r="A144" s="198" t="s">
        <v>1546</v>
      </c>
      <c r="B144" s="199" t="s">
        <v>16</v>
      </c>
      <c r="C144" s="199" t="s">
        <v>17</v>
      </c>
      <c r="D144" s="200" t="s">
        <v>131</v>
      </c>
      <c r="E144" s="201" t="s">
        <v>1656</v>
      </c>
      <c r="F144" s="202" t="str">
        <f>VLOOKUP(D144,CSR!$D$4:$E$1180,2,FALSE)</f>
        <v>CSR_10400</v>
      </c>
      <c r="G144" s="203" t="s">
        <v>1814</v>
      </c>
      <c r="H144" s="204">
        <v>4</v>
      </c>
      <c r="I144" s="205">
        <f t="shared" si="2"/>
        <v>0.21052631578947367</v>
      </c>
      <c r="J144" s="206" t="s">
        <v>1081</v>
      </c>
      <c r="K144" s="204"/>
    </row>
    <row r="145" spans="1:11" s="197" customFormat="1" ht="16">
      <c r="A145" s="198" t="s">
        <v>1546</v>
      </c>
      <c r="B145" s="199" t="s">
        <v>49</v>
      </c>
      <c r="C145" s="199" t="s">
        <v>50</v>
      </c>
      <c r="D145" s="207" t="s">
        <v>647</v>
      </c>
      <c r="E145" s="201" t="s">
        <v>1833</v>
      </c>
      <c r="F145" s="202" t="str">
        <f>VLOOKUP(D145,CSR!$D$4:$E$1180,2,FALSE)</f>
        <v>CSR_11300</v>
      </c>
      <c r="G145" s="203" t="s">
        <v>1814</v>
      </c>
      <c r="H145" s="204">
        <v>3</v>
      </c>
      <c r="I145" s="205">
        <f t="shared" si="2"/>
        <v>0.15789473684210525</v>
      </c>
      <c r="J145" s="206" t="s">
        <v>1081</v>
      </c>
      <c r="K145" s="204"/>
    </row>
    <row r="146" spans="1:11" s="197" customFormat="1" ht="16">
      <c r="A146" s="198" t="s">
        <v>1722</v>
      </c>
      <c r="B146" s="199" t="s">
        <v>70</v>
      </c>
      <c r="C146" s="199" t="s">
        <v>245</v>
      </c>
      <c r="D146" s="208" t="s">
        <v>1475</v>
      </c>
      <c r="E146" s="227" t="s">
        <v>1838</v>
      </c>
      <c r="F146" s="202" t="str">
        <f>VLOOKUP(D146,CSR!$D$4:$E$1180,2,FALSE)</f>
        <v>CSR_20003</v>
      </c>
      <c r="G146" s="203" t="s">
        <v>1839</v>
      </c>
      <c r="H146" s="204">
        <v>0.5</v>
      </c>
      <c r="I146" s="205">
        <f t="shared" si="2"/>
        <v>2.6315789473684209E-2</v>
      </c>
      <c r="J146" s="206" t="s">
        <v>1098</v>
      </c>
      <c r="K146" s="204"/>
    </row>
    <row r="147" spans="1:11" s="197" customFormat="1" ht="32">
      <c r="A147" s="198" t="s">
        <v>1722</v>
      </c>
      <c r="B147" s="199" t="s">
        <v>70</v>
      </c>
      <c r="C147" s="199" t="s">
        <v>245</v>
      </c>
      <c r="D147" s="208" t="s">
        <v>1475</v>
      </c>
      <c r="E147" s="227" t="s">
        <v>1840</v>
      </c>
      <c r="F147" s="202" t="str">
        <f>VLOOKUP(D147,CSR!$D$4:$E$1180,2,FALSE)</f>
        <v>CSR_20003</v>
      </c>
      <c r="G147" s="203" t="s">
        <v>1832</v>
      </c>
      <c r="H147" s="208">
        <v>1</v>
      </c>
      <c r="I147" s="205">
        <f t="shared" si="2"/>
        <v>5.2631578947368418E-2</v>
      </c>
      <c r="J147" s="206" t="s">
        <v>1098</v>
      </c>
      <c r="K147" s="204"/>
    </row>
    <row r="148" spans="1:11" s="197" customFormat="1" ht="48">
      <c r="A148" s="198" t="s">
        <v>1546</v>
      </c>
      <c r="B148" s="199" t="s">
        <v>70</v>
      </c>
      <c r="C148" s="199" t="s">
        <v>245</v>
      </c>
      <c r="D148" s="208" t="s">
        <v>1631</v>
      </c>
      <c r="E148" s="210" t="s">
        <v>1841</v>
      </c>
      <c r="F148" s="202" t="str">
        <f>VLOOKUP(D148,CSR!$D$4:$E$1180,2,FALSE)</f>
        <v>CSR_20002</v>
      </c>
      <c r="G148" s="203" t="s">
        <v>1842</v>
      </c>
      <c r="H148" s="204">
        <v>3</v>
      </c>
      <c r="I148" s="205">
        <f t="shared" si="2"/>
        <v>0.15789473684210525</v>
      </c>
      <c r="J148" s="206" t="s">
        <v>1098</v>
      </c>
      <c r="K148" s="204"/>
    </row>
    <row r="149" spans="1:11" s="197" customFormat="1" ht="48">
      <c r="A149" s="198" t="s">
        <v>1546</v>
      </c>
      <c r="B149" s="199" t="s">
        <v>70</v>
      </c>
      <c r="C149" s="199" t="s">
        <v>245</v>
      </c>
      <c r="D149" s="208" t="s">
        <v>741</v>
      </c>
      <c r="E149" s="260" t="s">
        <v>1843</v>
      </c>
      <c r="F149" s="202" t="str">
        <f>VLOOKUP(D149,CSR!$D$4:$E$1180,2,FALSE)</f>
        <v>CSR_20004</v>
      </c>
      <c r="G149" s="203" t="s">
        <v>1842</v>
      </c>
      <c r="H149" s="204">
        <v>3</v>
      </c>
      <c r="I149" s="205">
        <f t="shared" si="2"/>
        <v>0.15789473684210525</v>
      </c>
      <c r="J149" s="206" t="s">
        <v>1098</v>
      </c>
      <c r="K149" s="204"/>
    </row>
    <row r="150" spans="1:11" s="197" customFormat="1" ht="16">
      <c r="A150" s="198" t="s">
        <v>1546</v>
      </c>
      <c r="B150" s="199" t="s">
        <v>16</v>
      </c>
      <c r="C150" s="198" t="s">
        <v>17</v>
      </c>
      <c r="D150" s="204" t="s">
        <v>625</v>
      </c>
      <c r="E150" s="227" t="s">
        <v>1844</v>
      </c>
      <c r="F150" s="202" t="str">
        <f>VLOOKUP(D150,CSR!$D$4:$E$1180,2,FALSE)</f>
        <v>CSR_10300</v>
      </c>
      <c r="G150" s="203" t="s">
        <v>1845</v>
      </c>
      <c r="H150" s="204">
        <v>2</v>
      </c>
      <c r="I150" s="205">
        <f t="shared" si="2"/>
        <v>0.10526315789473684</v>
      </c>
      <c r="J150" s="206" t="s">
        <v>1098</v>
      </c>
      <c r="K150" s="204"/>
    </row>
    <row r="151" spans="1:11" s="197" customFormat="1" ht="32">
      <c r="A151" s="198" t="s">
        <v>1546</v>
      </c>
      <c r="B151" s="199" t="s">
        <v>31</v>
      </c>
      <c r="C151" s="199" t="s">
        <v>759</v>
      </c>
      <c r="D151" s="208" t="s">
        <v>764</v>
      </c>
      <c r="E151" s="227" t="s">
        <v>1846</v>
      </c>
      <c r="F151" s="202" t="str">
        <f>VLOOKUP(D151,CSR!$D$4:$E$1180,2,FALSE)</f>
        <v>CSR_30200</v>
      </c>
      <c r="G151" s="203" t="s">
        <v>1821</v>
      </c>
      <c r="H151" s="208">
        <v>0.5</v>
      </c>
      <c r="I151" s="205">
        <f t="shared" si="2"/>
        <v>2.6315789473684209E-2</v>
      </c>
      <c r="J151" s="206" t="s">
        <v>1098</v>
      </c>
      <c r="K151" s="204"/>
    </row>
    <row r="152" spans="1:11" s="197" customFormat="1" ht="32">
      <c r="A152" s="198" t="s">
        <v>1546</v>
      </c>
      <c r="B152" s="199" t="s">
        <v>758</v>
      </c>
      <c r="C152" s="198" t="s">
        <v>32</v>
      </c>
      <c r="D152" s="208" t="s">
        <v>880</v>
      </c>
      <c r="E152" s="218" t="s">
        <v>842</v>
      </c>
      <c r="F152" s="202" t="str">
        <f>VLOOKUP(D152,CSR!$D$4:$E$1180,2,FALSE)</f>
        <v>CSR_30600</v>
      </c>
      <c r="G152" s="203">
        <v>46010</v>
      </c>
      <c r="H152" s="208">
        <v>5</v>
      </c>
      <c r="I152" s="205">
        <f t="shared" si="2"/>
        <v>0.26315789473684209</v>
      </c>
      <c r="J152" s="199" t="s">
        <v>881</v>
      </c>
      <c r="K152" s="204"/>
    </row>
    <row r="153" spans="1:11" s="197" customFormat="1" ht="48">
      <c r="A153" s="198" t="s">
        <v>1722</v>
      </c>
      <c r="B153" s="198" t="s">
        <v>615</v>
      </c>
      <c r="C153" s="198" t="s">
        <v>616</v>
      </c>
      <c r="D153" s="208" t="s">
        <v>647</v>
      </c>
      <c r="E153" s="210" t="s">
        <v>1847</v>
      </c>
      <c r="F153" s="202" t="str">
        <f>VLOOKUP(D153,CSR!$D$4:$E$1180,2,FALSE)</f>
        <v>CSR_11300</v>
      </c>
      <c r="G153" s="203">
        <v>45989</v>
      </c>
      <c r="H153" s="208">
        <v>2</v>
      </c>
      <c r="I153" s="205">
        <f t="shared" si="2"/>
        <v>0.10526315789473684</v>
      </c>
      <c r="J153" s="199" t="s">
        <v>324</v>
      </c>
      <c r="K153" s="204"/>
    </row>
    <row r="154" spans="1:11" s="197" customFormat="1" ht="32">
      <c r="A154" s="198" t="s">
        <v>1722</v>
      </c>
      <c r="B154" s="199" t="s">
        <v>758</v>
      </c>
      <c r="C154" s="199" t="s">
        <v>759</v>
      </c>
      <c r="D154" s="208" t="s">
        <v>764</v>
      </c>
      <c r="E154" s="210" t="s">
        <v>1848</v>
      </c>
      <c r="F154" s="202" t="str">
        <f>VLOOKUP(D154,CSR!$D$4:$E$1180,2,FALSE)</f>
        <v>CSR_30200</v>
      </c>
      <c r="G154" s="203">
        <v>45989</v>
      </c>
      <c r="H154" s="204">
        <v>2</v>
      </c>
      <c r="I154" s="205">
        <f t="shared" si="2"/>
        <v>0.10526315789473684</v>
      </c>
      <c r="J154" s="206" t="s">
        <v>324</v>
      </c>
      <c r="K154" s="204"/>
    </row>
    <row r="155" spans="1:11" s="197" customFormat="1" ht="32">
      <c r="A155" s="198" t="s">
        <v>1722</v>
      </c>
      <c r="B155" s="199" t="s">
        <v>758</v>
      </c>
      <c r="C155" s="199" t="s">
        <v>769</v>
      </c>
      <c r="D155" s="208" t="s">
        <v>772</v>
      </c>
      <c r="E155" s="210" t="s">
        <v>1849</v>
      </c>
      <c r="F155" s="202" t="str">
        <f>VLOOKUP(D155,CSR!$D$4:$E$1180,2,FALSE)</f>
        <v>CSR_30800</v>
      </c>
      <c r="G155" s="203">
        <v>45989</v>
      </c>
      <c r="H155" s="204">
        <v>1</v>
      </c>
      <c r="I155" s="205">
        <f t="shared" si="2"/>
        <v>5.2631578947368418E-2</v>
      </c>
      <c r="J155" s="206" t="s">
        <v>324</v>
      </c>
      <c r="K155" s="204"/>
    </row>
    <row r="156" spans="1:11" s="197" customFormat="1" ht="16">
      <c r="A156" s="198" t="s">
        <v>1546</v>
      </c>
      <c r="B156" s="199" t="s">
        <v>775</v>
      </c>
      <c r="C156" s="199" t="s">
        <v>792</v>
      </c>
      <c r="D156" s="200" t="s">
        <v>799</v>
      </c>
      <c r="E156" s="218" t="s">
        <v>1850</v>
      </c>
      <c r="F156" s="202" t="str">
        <f>VLOOKUP(D156,CSR!$D$4:$E$1180,2,FALSE)</f>
        <v>CSR_41101</v>
      </c>
      <c r="G156" s="203">
        <v>45996</v>
      </c>
      <c r="H156" s="204">
        <v>2</v>
      </c>
      <c r="I156" s="205">
        <f t="shared" ref="I156:I212" si="3">H156*10/190</f>
        <v>0.10526315789473684</v>
      </c>
      <c r="J156" s="199" t="s">
        <v>324</v>
      </c>
      <c r="K156" s="208"/>
    </row>
    <row r="157" spans="1:11" s="197" customFormat="1" ht="16">
      <c r="A157" s="198" t="s">
        <v>1546</v>
      </c>
      <c r="B157" s="199" t="s">
        <v>775</v>
      </c>
      <c r="C157" s="199" t="s">
        <v>792</v>
      </c>
      <c r="D157" s="200" t="s">
        <v>801</v>
      </c>
      <c r="E157" s="208" t="s">
        <v>1851</v>
      </c>
      <c r="F157" s="202" t="str">
        <f>VLOOKUP(D157,CSR!$D$4:$E$1180,2,FALSE)</f>
        <v>CSR_41102</v>
      </c>
      <c r="G157" s="203">
        <v>45996</v>
      </c>
      <c r="H157" s="208">
        <v>2</v>
      </c>
      <c r="I157" s="205">
        <f t="shared" si="3"/>
        <v>0.10526315789473684</v>
      </c>
      <c r="J157" s="206" t="s">
        <v>324</v>
      </c>
      <c r="K157" s="204"/>
    </row>
    <row r="158" spans="1:11" s="197" customFormat="1" ht="32">
      <c r="A158" s="198" t="s">
        <v>1546</v>
      </c>
      <c r="B158" s="199" t="s">
        <v>615</v>
      </c>
      <c r="C158" s="199" t="s">
        <v>616</v>
      </c>
      <c r="D158" s="200" t="s">
        <v>627</v>
      </c>
      <c r="E158" s="226" t="s">
        <v>1852</v>
      </c>
      <c r="F158" s="202" t="str">
        <f>VLOOKUP(D158,CSR!$D$4:$E$1180,2,FALSE)</f>
        <v>CSR_10400</v>
      </c>
      <c r="G158" s="203">
        <v>46003</v>
      </c>
      <c r="H158" s="208">
        <v>2</v>
      </c>
      <c r="I158" s="205">
        <f t="shared" si="3"/>
        <v>0.10526315789473684</v>
      </c>
      <c r="J158" s="199" t="s">
        <v>324</v>
      </c>
      <c r="K158" s="204"/>
    </row>
    <row r="159" spans="1:11" s="197" customFormat="1" ht="32">
      <c r="A159" s="198" t="s">
        <v>1546</v>
      </c>
      <c r="B159" s="198" t="s">
        <v>615</v>
      </c>
      <c r="C159" s="198" t="s">
        <v>616</v>
      </c>
      <c r="D159" s="208" t="s">
        <v>647</v>
      </c>
      <c r="E159" s="210" t="s">
        <v>1853</v>
      </c>
      <c r="F159" s="202" t="str">
        <f>VLOOKUP(D159,CSR!$D$4:$E$1180,2,FALSE)</f>
        <v>CSR_11300</v>
      </c>
      <c r="G159" s="203">
        <v>46003</v>
      </c>
      <c r="H159" s="208">
        <v>3</v>
      </c>
      <c r="I159" s="205">
        <f t="shared" si="3"/>
        <v>0.15789473684210525</v>
      </c>
      <c r="J159" s="206" t="s">
        <v>324</v>
      </c>
      <c r="K159" s="204"/>
    </row>
    <row r="160" spans="1:11" s="197" customFormat="1" ht="16">
      <c r="A160" s="198" t="s">
        <v>1546</v>
      </c>
      <c r="B160" s="199" t="s">
        <v>775</v>
      </c>
      <c r="C160" s="199" t="s">
        <v>792</v>
      </c>
      <c r="D160" s="200" t="s">
        <v>799</v>
      </c>
      <c r="E160" s="218" t="s">
        <v>1854</v>
      </c>
      <c r="F160" s="202" t="str">
        <f>VLOOKUP(D160,CSR!$D$4:$E$1180,2,FALSE)</f>
        <v>CSR_41101</v>
      </c>
      <c r="G160" s="203">
        <v>46010</v>
      </c>
      <c r="H160" s="204">
        <v>3</v>
      </c>
      <c r="I160" s="205">
        <f t="shared" si="3"/>
        <v>0.15789473684210525</v>
      </c>
      <c r="J160" s="199" t="s">
        <v>324</v>
      </c>
      <c r="K160" s="208"/>
    </row>
    <row r="161" spans="1:11" s="197" customFormat="1" ht="16">
      <c r="A161" s="198" t="s">
        <v>1546</v>
      </c>
      <c r="B161" s="199" t="s">
        <v>775</v>
      </c>
      <c r="C161" s="199" t="s">
        <v>792</v>
      </c>
      <c r="D161" s="200" t="s">
        <v>801</v>
      </c>
      <c r="E161" s="208" t="s">
        <v>1855</v>
      </c>
      <c r="F161" s="202" t="str">
        <f>VLOOKUP(D161,CSR!$D$4:$E$1180,2,FALSE)</f>
        <v>CSR_41102</v>
      </c>
      <c r="G161" s="203">
        <v>46010</v>
      </c>
      <c r="H161" s="208">
        <v>2</v>
      </c>
      <c r="I161" s="205">
        <f t="shared" si="3"/>
        <v>0.10526315789473684</v>
      </c>
      <c r="J161" s="206" t="s">
        <v>324</v>
      </c>
      <c r="K161" s="204"/>
    </row>
    <row r="162" spans="1:11" s="197" customFormat="1" ht="32">
      <c r="A162" s="198" t="s">
        <v>1722</v>
      </c>
      <c r="B162" s="198" t="s">
        <v>615</v>
      </c>
      <c r="C162" s="198" t="s">
        <v>616</v>
      </c>
      <c r="D162" s="200" t="s">
        <v>1519</v>
      </c>
      <c r="E162" s="210" t="s">
        <v>1856</v>
      </c>
      <c r="F162" s="202" t="str">
        <f>VLOOKUP(D162,CSR!$D$4:$E$1180,2,FALSE)</f>
        <v>CSR_11405</v>
      </c>
      <c r="G162" s="203">
        <v>45989</v>
      </c>
      <c r="H162" s="204">
        <v>2</v>
      </c>
      <c r="I162" s="205">
        <f t="shared" si="3"/>
        <v>0.10526315789473684</v>
      </c>
      <c r="J162" s="199" t="s">
        <v>335</v>
      </c>
      <c r="K162" s="204"/>
    </row>
    <row r="163" spans="1:11" s="197" customFormat="1" ht="32">
      <c r="A163" s="198" t="s">
        <v>1722</v>
      </c>
      <c r="B163" s="199" t="s">
        <v>758</v>
      </c>
      <c r="C163" s="199" t="s">
        <v>759</v>
      </c>
      <c r="D163" s="246" t="s">
        <v>764</v>
      </c>
      <c r="E163" s="208" t="s">
        <v>1857</v>
      </c>
      <c r="F163" s="202" t="str">
        <f>VLOOKUP(D163,CSR!$D$4:$E$1180,2,FALSE)</f>
        <v>CSR_30200</v>
      </c>
      <c r="G163" s="203">
        <v>45989</v>
      </c>
      <c r="H163" s="208">
        <v>2</v>
      </c>
      <c r="I163" s="205">
        <f t="shared" si="3"/>
        <v>0.10526315789473684</v>
      </c>
      <c r="J163" s="206" t="s">
        <v>335</v>
      </c>
      <c r="K163" s="204"/>
    </row>
    <row r="164" spans="1:11" s="197" customFormat="1" ht="32">
      <c r="A164" s="198" t="s">
        <v>1722</v>
      </c>
      <c r="B164" s="199" t="s">
        <v>758</v>
      </c>
      <c r="C164" s="199" t="s">
        <v>769</v>
      </c>
      <c r="D164" s="208" t="s">
        <v>772</v>
      </c>
      <c r="E164" s="210" t="s">
        <v>1849</v>
      </c>
      <c r="F164" s="202" t="str">
        <f>VLOOKUP(D164,CSR!$D$4:$E$1180,2,FALSE)</f>
        <v>CSR_30800</v>
      </c>
      <c r="G164" s="203">
        <v>45989</v>
      </c>
      <c r="H164" s="204">
        <v>1</v>
      </c>
      <c r="I164" s="205">
        <f t="shared" si="3"/>
        <v>5.2631578947368418E-2</v>
      </c>
      <c r="J164" s="206" t="s">
        <v>335</v>
      </c>
      <c r="K164" s="204"/>
    </row>
    <row r="165" spans="1:11" s="197" customFormat="1" ht="32">
      <c r="A165" s="198" t="s">
        <v>1546</v>
      </c>
      <c r="B165" s="199" t="s">
        <v>615</v>
      </c>
      <c r="C165" s="199" t="s">
        <v>616</v>
      </c>
      <c r="D165" s="200" t="s">
        <v>627</v>
      </c>
      <c r="E165" s="226" t="s">
        <v>1858</v>
      </c>
      <c r="F165" s="202" t="str">
        <f>VLOOKUP(D165,CSR!$D$4:$E$1180,2,FALSE)</f>
        <v>CSR_10400</v>
      </c>
      <c r="G165" s="203">
        <v>45996</v>
      </c>
      <c r="H165" s="204">
        <v>3</v>
      </c>
      <c r="I165" s="205">
        <f t="shared" si="3"/>
        <v>0.15789473684210525</v>
      </c>
      <c r="J165" s="206" t="s">
        <v>335</v>
      </c>
      <c r="K165" s="204"/>
    </row>
    <row r="166" spans="1:11" s="197" customFormat="1" ht="32">
      <c r="A166" s="198" t="s">
        <v>1546</v>
      </c>
      <c r="B166" s="198" t="s">
        <v>615</v>
      </c>
      <c r="C166" s="198" t="s">
        <v>616</v>
      </c>
      <c r="D166" s="200" t="s">
        <v>1519</v>
      </c>
      <c r="E166" s="210" t="s">
        <v>1859</v>
      </c>
      <c r="F166" s="202" t="str">
        <f>VLOOKUP(D166,CSR!$D$4:$E$1180,2,FALSE)</f>
        <v>CSR_11405</v>
      </c>
      <c r="G166" s="203">
        <v>45996</v>
      </c>
      <c r="H166" s="204">
        <v>2</v>
      </c>
      <c r="I166" s="205">
        <f t="shared" si="3"/>
        <v>0.10526315789473684</v>
      </c>
      <c r="J166" s="199" t="s">
        <v>335</v>
      </c>
      <c r="K166" s="204"/>
    </row>
    <row r="167" spans="1:11" s="197" customFormat="1" ht="32">
      <c r="A167" s="198" t="s">
        <v>1546</v>
      </c>
      <c r="B167" s="199" t="s">
        <v>615</v>
      </c>
      <c r="C167" s="199" t="s">
        <v>616</v>
      </c>
      <c r="D167" s="200" t="s">
        <v>627</v>
      </c>
      <c r="E167" s="226" t="s">
        <v>1860</v>
      </c>
      <c r="F167" s="202" t="str">
        <f>VLOOKUP(D167,CSR!$D$4:$E$1180,2,FALSE)</f>
        <v>CSR_10400</v>
      </c>
      <c r="G167" s="203">
        <v>46003</v>
      </c>
      <c r="H167" s="204">
        <v>2</v>
      </c>
      <c r="I167" s="205">
        <f t="shared" si="3"/>
        <v>0.10526315789473684</v>
      </c>
      <c r="J167" s="206" t="s">
        <v>335</v>
      </c>
      <c r="K167" s="204"/>
    </row>
    <row r="168" spans="1:11" s="197" customFormat="1" ht="32">
      <c r="A168" s="198" t="s">
        <v>1546</v>
      </c>
      <c r="B168" s="199" t="s">
        <v>758</v>
      </c>
      <c r="C168" s="199" t="s">
        <v>759</v>
      </c>
      <c r="D168" s="208" t="s">
        <v>764</v>
      </c>
      <c r="E168" s="210" t="s">
        <v>1861</v>
      </c>
      <c r="F168" s="202" t="str">
        <f>VLOOKUP(D168,CSR!$D$4:$E$1180,2,FALSE)</f>
        <v>CSR_30200</v>
      </c>
      <c r="G168" s="203">
        <v>46003</v>
      </c>
      <c r="H168" s="208">
        <v>2</v>
      </c>
      <c r="I168" s="205">
        <f t="shared" si="3"/>
        <v>0.10526315789473684</v>
      </c>
      <c r="J168" s="206" t="s">
        <v>335</v>
      </c>
      <c r="K168" s="204"/>
    </row>
    <row r="169" spans="1:11" s="197" customFormat="1" ht="32">
      <c r="A169" s="198" t="s">
        <v>1546</v>
      </c>
      <c r="B169" s="199" t="s">
        <v>615</v>
      </c>
      <c r="C169" s="199" t="s">
        <v>616</v>
      </c>
      <c r="D169" s="200" t="s">
        <v>627</v>
      </c>
      <c r="E169" s="226" t="s">
        <v>1862</v>
      </c>
      <c r="F169" s="202" t="str">
        <f>VLOOKUP(D169,CSR!$D$4:$E$1180,2,FALSE)</f>
        <v>CSR_10400</v>
      </c>
      <c r="G169" s="203">
        <v>46010</v>
      </c>
      <c r="H169" s="204">
        <v>3</v>
      </c>
      <c r="I169" s="205">
        <f t="shared" si="3"/>
        <v>0.15789473684210525</v>
      </c>
      <c r="J169" s="206" t="s">
        <v>335</v>
      </c>
      <c r="K169" s="217"/>
    </row>
    <row r="170" spans="1:11" s="197" customFormat="1" ht="32">
      <c r="A170" s="198" t="s">
        <v>1546</v>
      </c>
      <c r="B170" s="199" t="s">
        <v>758</v>
      </c>
      <c r="C170" s="198" t="s">
        <v>769</v>
      </c>
      <c r="D170" s="208" t="s">
        <v>770</v>
      </c>
      <c r="E170" s="218" t="s">
        <v>1863</v>
      </c>
      <c r="F170" s="202" t="str">
        <f>VLOOKUP(D170,CSR!$D$4:$E$1180,2,FALSE)</f>
        <v>CSR_30700</v>
      </c>
      <c r="G170" s="203">
        <v>46010</v>
      </c>
      <c r="H170" s="208">
        <v>2</v>
      </c>
      <c r="I170" s="205">
        <f t="shared" si="3"/>
        <v>0.10526315789473684</v>
      </c>
      <c r="J170" s="199" t="s">
        <v>335</v>
      </c>
      <c r="K170" s="208"/>
    </row>
    <row r="171" spans="1:11" s="197" customFormat="1" ht="32">
      <c r="A171" s="198" t="s">
        <v>1722</v>
      </c>
      <c r="B171" s="199" t="s">
        <v>758</v>
      </c>
      <c r="C171" s="199" t="s">
        <v>759</v>
      </c>
      <c r="D171" s="208" t="s">
        <v>764</v>
      </c>
      <c r="E171" s="210" t="s">
        <v>1864</v>
      </c>
      <c r="F171" s="202" t="str">
        <f>VLOOKUP(D171,CSR!$D$4:$E$1180,2,FALSE)</f>
        <v>CSR_30200</v>
      </c>
      <c r="G171" s="203">
        <v>45989</v>
      </c>
      <c r="H171" s="204">
        <v>2</v>
      </c>
      <c r="I171" s="205">
        <f t="shared" si="3"/>
        <v>0.10526315789473684</v>
      </c>
      <c r="J171" s="206" t="s">
        <v>351</v>
      </c>
      <c r="K171" s="208"/>
    </row>
    <row r="172" spans="1:11" s="197" customFormat="1" ht="16">
      <c r="A172" s="198" t="s">
        <v>1722</v>
      </c>
      <c r="B172" s="199" t="s">
        <v>775</v>
      </c>
      <c r="C172" s="199" t="s">
        <v>780</v>
      </c>
      <c r="D172" s="208" t="s">
        <v>790</v>
      </c>
      <c r="E172" s="210" t="s">
        <v>1865</v>
      </c>
      <c r="F172" s="202" t="str">
        <f>VLOOKUP(D172,CSR!$D$4:$E$1180,2,FALSE)</f>
        <v>CSR_40800</v>
      </c>
      <c r="G172" s="203">
        <v>45989</v>
      </c>
      <c r="H172" s="204">
        <v>3</v>
      </c>
      <c r="I172" s="205">
        <f t="shared" si="3"/>
        <v>0.15789473684210525</v>
      </c>
      <c r="J172" s="206" t="s">
        <v>351</v>
      </c>
      <c r="K172" s="204"/>
    </row>
    <row r="173" spans="1:11" s="197" customFormat="1" ht="32">
      <c r="A173" s="198" t="s">
        <v>1546</v>
      </c>
      <c r="B173" s="199" t="s">
        <v>615</v>
      </c>
      <c r="C173" s="199" t="s">
        <v>616</v>
      </c>
      <c r="D173" s="200" t="s">
        <v>627</v>
      </c>
      <c r="E173" s="226" t="s">
        <v>1866</v>
      </c>
      <c r="F173" s="202" t="str">
        <f>VLOOKUP(D173,CSR!$D$4:$E$1180,2,FALSE)</f>
        <v>CSR_10400</v>
      </c>
      <c r="G173" s="203">
        <v>45996</v>
      </c>
      <c r="H173" s="208">
        <v>2</v>
      </c>
      <c r="I173" s="205">
        <f t="shared" si="3"/>
        <v>0.10526315789473684</v>
      </c>
      <c r="J173" s="199" t="s">
        <v>351</v>
      </c>
      <c r="K173" s="204"/>
    </row>
    <row r="174" spans="1:11" s="197" customFormat="1" ht="48">
      <c r="A174" s="198" t="s">
        <v>1546</v>
      </c>
      <c r="B174" s="199" t="s">
        <v>615</v>
      </c>
      <c r="C174" s="199" t="s">
        <v>616</v>
      </c>
      <c r="D174" s="200" t="s">
        <v>696</v>
      </c>
      <c r="E174" s="210" t="s">
        <v>1867</v>
      </c>
      <c r="F174" s="202" t="str">
        <f>VLOOKUP(D174,CSR!$D$4:$E$1180,2,FALSE)</f>
        <v>CSR_11403</v>
      </c>
      <c r="G174" s="203">
        <v>45996</v>
      </c>
      <c r="H174" s="204">
        <v>2</v>
      </c>
      <c r="I174" s="205">
        <f t="shared" si="3"/>
        <v>0.10526315789473684</v>
      </c>
      <c r="J174" s="199" t="s">
        <v>351</v>
      </c>
      <c r="K174" s="204"/>
    </row>
    <row r="175" spans="1:11" s="197" customFormat="1" ht="48">
      <c r="A175" s="198" t="s">
        <v>1546</v>
      </c>
      <c r="B175" s="199" t="s">
        <v>615</v>
      </c>
      <c r="C175" s="199" t="s">
        <v>616</v>
      </c>
      <c r="D175" s="200" t="s">
        <v>696</v>
      </c>
      <c r="E175" s="210" t="s">
        <v>1868</v>
      </c>
      <c r="F175" s="202" t="str">
        <f>VLOOKUP(D175,CSR!$D$4:$E$1180,2,FALSE)</f>
        <v>CSR_11403</v>
      </c>
      <c r="G175" s="203">
        <v>46003</v>
      </c>
      <c r="H175" s="208">
        <v>3</v>
      </c>
      <c r="I175" s="205">
        <f t="shared" si="3"/>
        <v>0.15789473684210525</v>
      </c>
      <c r="J175" s="206" t="s">
        <v>351</v>
      </c>
      <c r="K175" s="204"/>
    </row>
    <row r="176" spans="1:11" s="197" customFormat="1" ht="32">
      <c r="A176" s="198" t="s">
        <v>1546</v>
      </c>
      <c r="B176" s="199" t="s">
        <v>758</v>
      </c>
      <c r="C176" s="199" t="s">
        <v>759</v>
      </c>
      <c r="D176" s="208" t="s">
        <v>764</v>
      </c>
      <c r="E176" s="210" t="s">
        <v>1869</v>
      </c>
      <c r="F176" s="202" t="str">
        <f>VLOOKUP(D176,CSR!$D$4:$E$1180,2,FALSE)</f>
        <v>CSR_30200</v>
      </c>
      <c r="G176" s="203">
        <v>46003</v>
      </c>
      <c r="H176" s="208">
        <v>2</v>
      </c>
      <c r="I176" s="205">
        <f t="shared" si="3"/>
        <v>0.10526315789473684</v>
      </c>
      <c r="J176" s="206" t="s">
        <v>351</v>
      </c>
      <c r="K176" s="204"/>
    </row>
    <row r="177" spans="1:11" s="197" customFormat="1" ht="32">
      <c r="A177" s="198" t="s">
        <v>1546</v>
      </c>
      <c r="B177" s="198" t="s">
        <v>615</v>
      </c>
      <c r="C177" s="198" t="s">
        <v>616</v>
      </c>
      <c r="D177" s="208" t="s">
        <v>647</v>
      </c>
      <c r="E177" s="210" t="s">
        <v>1870</v>
      </c>
      <c r="F177" s="202" t="str">
        <f>VLOOKUP(D177,CSR!$D$4:$E$1180,2,FALSE)</f>
        <v>CSR_11300</v>
      </c>
      <c r="G177" s="203">
        <v>46010</v>
      </c>
      <c r="H177" s="204">
        <v>3</v>
      </c>
      <c r="I177" s="205">
        <f t="shared" si="3"/>
        <v>0.15789473684210525</v>
      </c>
      <c r="J177" s="217" t="s">
        <v>351</v>
      </c>
      <c r="K177" s="217"/>
    </row>
    <row r="178" spans="1:11" s="197" customFormat="1" ht="32">
      <c r="A178" s="198" t="s">
        <v>1546</v>
      </c>
      <c r="B178" s="199" t="s">
        <v>775</v>
      </c>
      <c r="C178" s="199" t="s">
        <v>780</v>
      </c>
      <c r="D178" s="208" t="s">
        <v>790</v>
      </c>
      <c r="E178" s="201" t="s">
        <v>1871</v>
      </c>
      <c r="F178" s="202" t="str">
        <f>VLOOKUP(D178,CSR!$D$4:$E$1180,2,FALSE)</f>
        <v>CSR_40800</v>
      </c>
      <c r="G178" s="203">
        <v>46010</v>
      </c>
      <c r="H178" s="204">
        <v>2</v>
      </c>
      <c r="I178" s="205">
        <f t="shared" si="3"/>
        <v>0.10526315789473684</v>
      </c>
      <c r="J178" s="217" t="s">
        <v>1872</v>
      </c>
      <c r="K178" s="204"/>
    </row>
    <row r="179" spans="1:11" s="197" customFormat="1" ht="32">
      <c r="A179" s="198" t="s">
        <v>1722</v>
      </c>
      <c r="B179" s="198" t="s">
        <v>615</v>
      </c>
      <c r="C179" s="198" t="s">
        <v>616</v>
      </c>
      <c r="D179" s="200" t="s">
        <v>1519</v>
      </c>
      <c r="E179" s="210" t="s">
        <v>1856</v>
      </c>
      <c r="F179" s="202" t="str">
        <f>VLOOKUP(D179,CSR!$D$4:$E$1180,2,FALSE)</f>
        <v>CSR_11405</v>
      </c>
      <c r="G179" s="203">
        <v>45989</v>
      </c>
      <c r="H179" s="204">
        <v>5</v>
      </c>
      <c r="I179" s="205">
        <f t="shared" si="3"/>
        <v>0.26315789473684209</v>
      </c>
      <c r="J179" s="199" t="s">
        <v>364</v>
      </c>
      <c r="K179" s="204"/>
    </row>
    <row r="180" spans="1:11" s="197" customFormat="1" ht="32">
      <c r="A180" s="198" t="s">
        <v>1546</v>
      </c>
      <c r="B180" s="198" t="s">
        <v>615</v>
      </c>
      <c r="C180" s="198" t="s">
        <v>616</v>
      </c>
      <c r="D180" s="200" t="s">
        <v>1519</v>
      </c>
      <c r="E180" s="210" t="s">
        <v>1859</v>
      </c>
      <c r="F180" s="202" t="str">
        <f>VLOOKUP(D180,CSR!$D$4:$E$1180,2,FALSE)</f>
        <v>CSR_11405</v>
      </c>
      <c r="G180" s="203">
        <v>45996</v>
      </c>
      <c r="H180" s="204">
        <v>5</v>
      </c>
      <c r="I180" s="205">
        <f t="shared" si="3"/>
        <v>0.26315789473684209</v>
      </c>
      <c r="J180" s="199" t="s">
        <v>364</v>
      </c>
      <c r="K180" s="204"/>
    </row>
    <row r="181" spans="1:11" s="197" customFormat="1" ht="48">
      <c r="A181" s="198" t="s">
        <v>1546</v>
      </c>
      <c r="B181" s="198" t="s">
        <v>615</v>
      </c>
      <c r="C181" s="198" t="s">
        <v>616</v>
      </c>
      <c r="D181" s="200" t="s">
        <v>1519</v>
      </c>
      <c r="E181" s="210" t="s">
        <v>1873</v>
      </c>
      <c r="F181" s="202" t="str">
        <f>VLOOKUP(D181,CSR!$D$4:$E$1180,2,FALSE)</f>
        <v>CSR_11405</v>
      </c>
      <c r="G181" s="203">
        <v>46003</v>
      </c>
      <c r="H181" s="204">
        <v>5</v>
      </c>
      <c r="I181" s="205">
        <f t="shared" si="3"/>
        <v>0.26315789473684209</v>
      </c>
      <c r="J181" s="199" t="s">
        <v>364</v>
      </c>
      <c r="K181" s="204"/>
    </row>
    <row r="182" spans="1:11" s="197" customFormat="1" ht="32">
      <c r="A182" s="198" t="s">
        <v>1546</v>
      </c>
      <c r="B182" s="198" t="s">
        <v>615</v>
      </c>
      <c r="C182" s="198" t="s">
        <v>616</v>
      </c>
      <c r="D182" s="200" t="s">
        <v>1519</v>
      </c>
      <c r="E182" s="210" t="s">
        <v>1874</v>
      </c>
      <c r="F182" s="202" t="str">
        <f>VLOOKUP(D182,CSR!$D$4:$E$1180,2,FALSE)</f>
        <v>CSR_11405</v>
      </c>
      <c r="G182" s="203">
        <v>46010</v>
      </c>
      <c r="H182" s="204">
        <v>4</v>
      </c>
      <c r="I182" s="205">
        <f t="shared" si="3"/>
        <v>0.21052631578947367</v>
      </c>
      <c r="J182" s="199" t="s">
        <v>364</v>
      </c>
      <c r="K182" s="204"/>
    </row>
    <row r="183" spans="1:11" s="197" customFormat="1" ht="32">
      <c r="A183" s="198" t="s">
        <v>1722</v>
      </c>
      <c r="B183" s="199" t="s">
        <v>758</v>
      </c>
      <c r="C183" s="199" t="s">
        <v>769</v>
      </c>
      <c r="D183" s="208" t="s">
        <v>772</v>
      </c>
      <c r="E183" s="210" t="s">
        <v>1875</v>
      </c>
      <c r="F183" s="202" t="str">
        <f>VLOOKUP(D183,CSR!$D$4:$E$1180,2,FALSE)</f>
        <v>CSR_30800</v>
      </c>
      <c r="G183" s="203">
        <v>45989</v>
      </c>
      <c r="H183" s="204">
        <v>1</v>
      </c>
      <c r="I183" s="205">
        <f t="shared" si="3"/>
        <v>5.2631578947368418E-2</v>
      </c>
      <c r="J183" s="206" t="s">
        <v>375</v>
      </c>
      <c r="K183" s="204"/>
    </row>
    <row r="184" spans="1:11" s="197" customFormat="1" ht="32">
      <c r="A184" s="198" t="s">
        <v>1722</v>
      </c>
      <c r="B184" s="199" t="s">
        <v>775</v>
      </c>
      <c r="C184" s="199" t="s">
        <v>780</v>
      </c>
      <c r="D184" s="208" t="s">
        <v>785</v>
      </c>
      <c r="E184" s="210" t="s">
        <v>1876</v>
      </c>
      <c r="F184" s="202" t="str">
        <f>VLOOKUP(D184,CSR!$D$4:$E$1180,2,FALSE)</f>
        <v>CSR_40400</v>
      </c>
      <c r="G184" s="203">
        <v>45989</v>
      </c>
      <c r="H184" s="218">
        <v>3</v>
      </c>
      <c r="I184" s="205">
        <f t="shared" si="3"/>
        <v>0.15789473684210525</v>
      </c>
      <c r="J184" s="206" t="s">
        <v>375</v>
      </c>
      <c r="K184" s="204"/>
    </row>
    <row r="185" spans="1:11" s="197" customFormat="1" ht="16">
      <c r="A185" s="198" t="s">
        <v>1722</v>
      </c>
      <c r="B185" s="199" t="s">
        <v>775</v>
      </c>
      <c r="C185" s="199" t="s">
        <v>780</v>
      </c>
      <c r="D185" s="208" t="s">
        <v>785</v>
      </c>
      <c r="E185" s="210" t="s">
        <v>1877</v>
      </c>
      <c r="F185" s="202" t="str">
        <f>VLOOKUP(D185,CSR!$D$4:$E$1180,2,FALSE)</f>
        <v>CSR_40400</v>
      </c>
      <c r="G185" s="203">
        <v>45989</v>
      </c>
      <c r="H185" s="204">
        <v>1</v>
      </c>
      <c r="I185" s="205">
        <f t="shared" si="3"/>
        <v>5.2631578947368418E-2</v>
      </c>
      <c r="J185" s="206" t="s">
        <v>375</v>
      </c>
      <c r="K185" s="204"/>
    </row>
    <row r="186" spans="1:11" s="197" customFormat="1" ht="32">
      <c r="A186" s="198" t="s">
        <v>1546</v>
      </c>
      <c r="B186" s="199" t="s">
        <v>729</v>
      </c>
      <c r="C186" s="199" t="s">
        <v>730</v>
      </c>
      <c r="D186" s="208" t="s">
        <v>737</v>
      </c>
      <c r="E186" s="218" t="s">
        <v>1878</v>
      </c>
      <c r="F186" s="202" t="str">
        <f>VLOOKUP(D186,CSR!$D$4:$E$1180,2,FALSE)</f>
        <v>CSR_20002</v>
      </c>
      <c r="G186" s="203">
        <v>45996</v>
      </c>
      <c r="H186" s="204">
        <v>3</v>
      </c>
      <c r="I186" s="205">
        <f t="shared" si="3"/>
        <v>0.15789473684210525</v>
      </c>
      <c r="J186" s="199" t="s">
        <v>375</v>
      </c>
      <c r="K186" s="204"/>
    </row>
    <row r="187" spans="1:11" s="197" customFormat="1" ht="16">
      <c r="A187" s="198" t="s">
        <v>1546</v>
      </c>
      <c r="B187" s="199" t="s">
        <v>729</v>
      </c>
      <c r="C187" s="199" t="s">
        <v>730</v>
      </c>
      <c r="D187" s="208" t="s">
        <v>739</v>
      </c>
      <c r="E187" s="218" t="s">
        <v>1713</v>
      </c>
      <c r="F187" s="202" t="str">
        <f>VLOOKUP(D187,CSR!$D$4:$E$1180,2,FALSE)</f>
        <v>CSR_20003</v>
      </c>
      <c r="G187" s="203">
        <v>45996</v>
      </c>
      <c r="H187" s="204">
        <v>1</v>
      </c>
      <c r="I187" s="205">
        <f t="shared" si="3"/>
        <v>5.2631578947368418E-2</v>
      </c>
      <c r="J187" s="199" t="s">
        <v>375</v>
      </c>
      <c r="K187" s="204"/>
    </row>
    <row r="188" spans="1:11" s="197" customFormat="1" ht="32">
      <c r="A188" s="198" t="s">
        <v>1546</v>
      </c>
      <c r="B188" s="199" t="s">
        <v>758</v>
      </c>
      <c r="C188" s="199" t="s">
        <v>759</v>
      </c>
      <c r="D188" s="208" t="s">
        <v>764</v>
      </c>
      <c r="E188" s="210" t="s">
        <v>1879</v>
      </c>
      <c r="F188" s="202" t="str">
        <f>VLOOKUP(D188,CSR!$D$4:$E$1180,2,FALSE)</f>
        <v>CSR_30200</v>
      </c>
      <c r="G188" s="203">
        <v>45996</v>
      </c>
      <c r="H188" s="208">
        <v>1</v>
      </c>
      <c r="I188" s="205">
        <f t="shared" si="3"/>
        <v>5.2631578947368418E-2</v>
      </c>
      <c r="J188" s="206" t="s">
        <v>375</v>
      </c>
      <c r="K188" s="204"/>
    </row>
    <row r="189" spans="1:11" s="197" customFormat="1" ht="32">
      <c r="A189" s="198" t="s">
        <v>1546</v>
      </c>
      <c r="B189" s="198" t="s">
        <v>615</v>
      </c>
      <c r="C189" s="198" t="s">
        <v>616</v>
      </c>
      <c r="D189" s="208" t="s">
        <v>647</v>
      </c>
      <c r="E189" s="210" t="s">
        <v>1880</v>
      </c>
      <c r="F189" s="202" t="str">
        <f>VLOOKUP(D189,CSR!$D$4:$E$1180,2,FALSE)</f>
        <v>CSR_11300</v>
      </c>
      <c r="G189" s="203">
        <v>46003</v>
      </c>
      <c r="H189" s="208">
        <v>3</v>
      </c>
      <c r="I189" s="205">
        <f t="shared" si="3"/>
        <v>0.15789473684210525</v>
      </c>
      <c r="J189" s="206" t="s">
        <v>375</v>
      </c>
      <c r="K189" s="204"/>
    </row>
    <row r="190" spans="1:11" s="197" customFormat="1" ht="32">
      <c r="A190" s="198" t="s">
        <v>1546</v>
      </c>
      <c r="B190" s="199" t="s">
        <v>729</v>
      </c>
      <c r="C190" s="199" t="s">
        <v>753</v>
      </c>
      <c r="D190" s="208" t="s">
        <v>755</v>
      </c>
      <c r="E190" s="210" t="s">
        <v>1881</v>
      </c>
      <c r="F190" s="202" t="str">
        <f>VLOOKUP(D190,CSR!$D$4:$E$1180,2,FALSE)</f>
        <v>CSR_20300</v>
      </c>
      <c r="G190" s="203">
        <v>46003</v>
      </c>
      <c r="H190" s="208">
        <v>1</v>
      </c>
      <c r="I190" s="205">
        <f t="shared" si="3"/>
        <v>5.2631578947368418E-2</v>
      </c>
      <c r="J190" s="206" t="s">
        <v>375</v>
      </c>
      <c r="K190" s="204"/>
    </row>
    <row r="191" spans="1:11" s="197" customFormat="1" ht="32">
      <c r="A191" s="198" t="s">
        <v>1546</v>
      </c>
      <c r="B191" s="199" t="s">
        <v>615</v>
      </c>
      <c r="C191" s="199" t="s">
        <v>616</v>
      </c>
      <c r="D191" s="200" t="s">
        <v>627</v>
      </c>
      <c r="E191" s="226" t="s">
        <v>1882</v>
      </c>
      <c r="F191" s="202" t="str">
        <f>VLOOKUP(D191,CSR!$D$4:$E$1180,2,FALSE)</f>
        <v>CSR_10400</v>
      </c>
      <c r="G191" s="203">
        <v>46010</v>
      </c>
      <c r="H191" s="208">
        <v>2</v>
      </c>
      <c r="I191" s="205">
        <f t="shared" si="3"/>
        <v>0.10526315789473684</v>
      </c>
      <c r="J191" s="199" t="s">
        <v>375</v>
      </c>
      <c r="K191" s="204"/>
    </row>
    <row r="192" spans="1:11" s="197" customFormat="1" ht="32">
      <c r="A192" s="198" t="s">
        <v>1546</v>
      </c>
      <c r="B192" s="199" t="s">
        <v>758</v>
      </c>
      <c r="C192" s="198" t="s">
        <v>769</v>
      </c>
      <c r="D192" s="208" t="s">
        <v>770</v>
      </c>
      <c r="E192" s="218" t="s">
        <v>1883</v>
      </c>
      <c r="F192" s="202" t="str">
        <f>VLOOKUP(D192,CSR!$D$4:$E$1180,2,FALSE)</f>
        <v>CSR_30700</v>
      </c>
      <c r="G192" s="203">
        <v>46010</v>
      </c>
      <c r="H192" s="208">
        <v>1</v>
      </c>
      <c r="I192" s="205">
        <f t="shared" si="3"/>
        <v>5.2631578947368418E-2</v>
      </c>
      <c r="J192" s="199" t="s">
        <v>375</v>
      </c>
      <c r="K192" s="204"/>
    </row>
    <row r="193" spans="1:11" s="197" customFormat="1" ht="32">
      <c r="A193" s="198" t="s">
        <v>1546</v>
      </c>
      <c r="B193" s="199" t="s">
        <v>775</v>
      </c>
      <c r="C193" s="199" t="s">
        <v>780</v>
      </c>
      <c r="D193" s="208" t="s">
        <v>790</v>
      </c>
      <c r="E193" s="201" t="s">
        <v>1884</v>
      </c>
      <c r="F193" s="202" t="str">
        <f>VLOOKUP(D193,CSR!$D$4:$E$1180,2,FALSE)</f>
        <v>CSR_40800</v>
      </c>
      <c r="G193" s="203">
        <v>46010</v>
      </c>
      <c r="H193" s="204">
        <v>2</v>
      </c>
      <c r="I193" s="205">
        <f t="shared" si="3"/>
        <v>0.10526315789473684</v>
      </c>
      <c r="J193" s="217" t="s">
        <v>1885</v>
      </c>
      <c r="K193" s="204"/>
    </row>
    <row r="194" spans="1:11" s="197" customFormat="1" ht="16">
      <c r="A194" s="198" t="s">
        <v>1722</v>
      </c>
      <c r="B194" s="199" t="s">
        <v>729</v>
      </c>
      <c r="C194" s="199" t="s">
        <v>730</v>
      </c>
      <c r="D194" s="208" t="s">
        <v>739</v>
      </c>
      <c r="E194" s="218" t="s">
        <v>1886</v>
      </c>
      <c r="F194" s="202" t="str">
        <f>VLOOKUP(D194,CSR!$D$4:$E$1180,2,FALSE)</f>
        <v>CSR_20003</v>
      </c>
      <c r="G194" s="203">
        <v>45989</v>
      </c>
      <c r="H194" s="208">
        <v>2</v>
      </c>
      <c r="I194" s="205">
        <f t="shared" si="3"/>
        <v>0.10526315789473684</v>
      </c>
      <c r="J194" s="199" t="s">
        <v>386</v>
      </c>
      <c r="K194" s="204"/>
    </row>
    <row r="195" spans="1:11" s="197" customFormat="1" ht="32">
      <c r="A195" s="198" t="s">
        <v>1722</v>
      </c>
      <c r="B195" s="199" t="s">
        <v>775</v>
      </c>
      <c r="C195" s="199" t="s">
        <v>780</v>
      </c>
      <c r="D195" s="208" t="s">
        <v>785</v>
      </c>
      <c r="E195" s="210" t="s">
        <v>1887</v>
      </c>
      <c r="F195" s="202" t="str">
        <f>VLOOKUP(D195,CSR!$D$4:$E$1180,2,FALSE)</f>
        <v>CSR_40400</v>
      </c>
      <c r="G195" s="203">
        <v>45989</v>
      </c>
      <c r="H195" s="204">
        <v>3</v>
      </c>
      <c r="I195" s="205">
        <f t="shared" si="3"/>
        <v>0.15789473684210525</v>
      </c>
      <c r="J195" s="206" t="s">
        <v>386</v>
      </c>
      <c r="K195" s="204"/>
    </row>
    <row r="196" spans="1:11" s="197" customFormat="1" ht="48">
      <c r="A196" s="198" t="s">
        <v>1546</v>
      </c>
      <c r="B196" s="199" t="s">
        <v>615</v>
      </c>
      <c r="C196" s="199" t="s">
        <v>616</v>
      </c>
      <c r="D196" s="200" t="s">
        <v>696</v>
      </c>
      <c r="E196" s="210" t="s">
        <v>1867</v>
      </c>
      <c r="F196" s="202" t="str">
        <f>VLOOKUP(D196,CSR!$D$4:$E$1180,2,FALSE)</f>
        <v>CSR_11403</v>
      </c>
      <c r="G196" s="203">
        <v>45996</v>
      </c>
      <c r="H196" s="208">
        <v>3</v>
      </c>
      <c r="I196" s="205">
        <f t="shared" si="3"/>
        <v>0.15789473684210525</v>
      </c>
      <c r="J196" s="206" t="s">
        <v>386</v>
      </c>
      <c r="K196" s="204"/>
    </row>
    <row r="197" spans="1:11" s="197" customFormat="1" ht="32">
      <c r="A197" s="198" t="s">
        <v>1546</v>
      </c>
      <c r="B197" s="199" t="s">
        <v>758</v>
      </c>
      <c r="C197" s="199" t="s">
        <v>759</v>
      </c>
      <c r="D197" s="208" t="s">
        <v>764</v>
      </c>
      <c r="E197" s="210" t="s">
        <v>1888</v>
      </c>
      <c r="F197" s="202" t="str">
        <f>VLOOKUP(D197,CSR!$D$4:$E$1180,2,FALSE)</f>
        <v>CSR_30200</v>
      </c>
      <c r="G197" s="203">
        <v>45996</v>
      </c>
      <c r="H197" s="204">
        <v>2</v>
      </c>
      <c r="I197" s="205">
        <f t="shared" si="3"/>
        <v>0.10526315789473684</v>
      </c>
      <c r="J197" s="206" t="s">
        <v>386</v>
      </c>
      <c r="K197" s="208"/>
    </row>
    <row r="198" spans="1:11" s="197" customFormat="1" ht="48">
      <c r="A198" s="198" t="s">
        <v>1546</v>
      </c>
      <c r="B198" s="199" t="s">
        <v>615</v>
      </c>
      <c r="C198" s="199" t="s">
        <v>616</v>
      </c>
      <c r="D198" s="200" t="s">
        <v>696</v>
      </c>
      <c r="E198" s="210" t="s">
        <v>1868</v>
      </c>
      <c r="F198" s="202" t="str">
        <f>VLOOKUP(D198,CSR!$D$4:$E$1180,2,FALSE)</f>
        <v>CSR_11403</v>
      </c>
      <c r="G198" s="203">
        <v>46003</v>
      </c>
      <c r="H198" s="208">
        <v>4</v>
      </c>
      <c r="I198" s="205">
        <f t="shared" si="3"/>
        <v>0.21052631578947367</v>
      </c>
      <c r="J198" s="206" t="s">
        <v>386</v>
      </c>
      <c r="K198" s="204"/>
    </row>
    <row r="199" spans="1:11" s="197" customFormat="1" ht="32">
      <c r="A199" s="198" t="s">
        <v>1546</v>
      </c>
      <c r="B199" s="213" t="s">
        <v>729</v>
      </c>
      <c r="C199" s="213" t="s">
        <v>730</v>
      </c>
      <c r="D199" s="218" t="s">
        <v>737</v>
      </c>
      <c r="E199" s="218" t="s">
        <v>1889</v>
      </c>
      <c r="F199" s="202" t="str">
        <f>VLOOKUP(D199,CSR!$D$4:$E$1180,2,FALSE)</f>
        <v>CSR_20002</v>
      </c>
      <c r="G199" s="203">
        <v>46010</v>
      </c>
      <c r="H199" s="208">
        <v>4</v>
      </c>
      <c r="I199" s="205">
        <f t="shared" si="3"/>
        <v>0.21052631578947367</v>
      </c>
      <c r="J199" s="199" t="s">
        <v>386</v>
      </c>
      <c r="K199" s="218"/>
    </row>
    <row r="200" spans="1:11" s="197" customFormat="1" ht="16">
      <c r="A200" s="198" t="s">
        <v>1546</v>
      </c>
      <c r="B200" s="213" t="s">
        <v>729</v>
      </c>
      <c r="C200" s="213" t="s">
        <v>730</v>
      </c>
      <c r="D200" s="218" t="s">
        <v>737</v>
      </c>
      <c r="E200" s="218" t="s">
        <v>1890</v>
      </c>
      <c r="F200" s="202" t="str">
        <f>VLOOKUP(D200,CSR!$D$4:$E$1180,2,FALSE)</f>
        <v>CSR_20002</v>
      </c>
      <c r="G200" s="203">
        <v>46010</v>
      </c>
      <c r="H200" s="208">
        <v>1</v>
      </c>
      <c r="I200" s="205">
        <f t="shared" si="3"/>
        <v>5.2631578947368418E-2</v>
      </c>
      <c r="J200" s="199" t="s">
        <v>386</v>
      </c>
      <c r="K200" s="218"/>
    </row>
    <row r="201" spans="1:11" s="197" customFormat="1" ht="32">
      <c r="A201" s="198" t="s">
        <v>1722</v>
      </c>
      <c r="B201" s="199" t="s">
        <v>758</v>
      </c>
      <c r="C201" s="199" t="s">
        <v>759</v>
      </c>
      <c r="D201" s="208" t="s">
        <v>764</v>
      </c>
      <c r="E201" s="210" t="s">
        <v>1891</v>
      </c>
      <c r="F201" s="202" t="str">
        <f>VLOOKUP(D201,CSR!$D$4:$E$1180,2,FALSE)</f>
        <v>CSR_30200</v>
      </c>
      <c r="G201" s="203">
        <v>45989</v>
      </c>
      <c r="H201" s="204">
        <v>1</v>
      </c>
      <c r="I201" s="205">
        <f t="shared" si="3"/>
        <v>5.2631578947368418E-2</v>
      </c>
      <c r="J201" s="206" t="s">
        <v>395</v>
      </c>
      <c r="K201" s="204"/>
    </row>
    <row r="202" spans="1:11" s="197" customFormat="1" ht="32">
      <c r="A202" s="198" t="s">
        <v>1722</v>
      </c>
      <c r="B202" s="199" t="s">
        <v>775</v>
      </c>
      <c r="C202" s="199" t="s">
        <v>780</v>
      </c>
      <c r="D202" s="208" t="s">
        <v>785</v>
      </c>
      <c r="E202" s="210" t="s">
        <v>1892</v>
      </c>
      <c r="F202" s="202" t="str">
        <f>VLOOKUP(D202,CSR!$D$4:$E$1180,2,FALSE)</f>
        <v>CSR_40400</v>
      </c>
      <c r="G202" s="203">
        <v>45989</v>
      </c>
      <c r="H202" s="204">
        <v>4</v>
      </c>
      <c r="I202" s="205">
        <f t="shared" si="3"/>
        <v>0.21052631578947367</v>
      </c>
      <c r="J202" s="206" t="s">
        <v>395</v>
      </c>
      <c r="K202" s="204"/>
    </row>
    <row r="203" spans="1:11" s="197" customFormat="1" ht="48">
      <c r="A203" s="198" t="s">
        <v>1546</v>
      </c>
      <c r="B203" s="199" t="s">
        <v>615</v>
      </c>
      <c r="C203" s="199" t="s">
        <v>616</v>
      </c>
      <c r="D203" s="221" t="s">
        <v>696</v>
      </c>
      <c r="E203" s="210" t="s">
        <v>1867</v>
      </c>
      <c r="F203" s="202" t="str">
        <f>VLOOKUP(D203,CSR!$D$4:$E$1180,2,FALSE)</f>
        <v>CSR_11403</v>
      </c>
      <c r="G203" s="203">
        <v>45996</v>
      </c>
      <c r="H203" s="204">
        <v>3</v>
      </c>
      <c r="I203" s="205">
        <f t="shared" si="3"/>
        <v>0.15789473684210525</v>
      </c>
      <c r="J203" s="206" t="s">
        <v>395</v>
      </c>
      <c r="K203" s="204"/>
    </row>
    <row r="204" spans="1:11" s="197" customFormat="1" ht="32">
      <c r="A204" s="198" t="s">
        <v>1546</v>
      </c>
      <c r="B204" s="199" t="s">
        <v>758</v>
      </c>
      <c r="C204" s="199" t="s">
        <v>769</v>
      </c>
      <c r="D204" s="208" t="s">
        <v>772</v>
      </c>
      <c r="E204" s="210" t="s">
        <v>1893</v>
      </c>
      <c r="F204" s="202" t="str">
        <f>VLOOKUP(D204,CSR!$D$4:$E$1180,2,FALSE)</f>
        <v>CSR_30800</v>
      </c>
      <c r="G204" s="203">
        <v>45996</v>
      </c>
      <c r="H204" s="204">
        <v>2</v>
      </c>
      <c r="I204" s="205">
        <f t="shared" si="3"/>
        <v>0.10526315789473684</v>
      </c>
      <c r="J204" s="206" t="s">
        <v>395</v>
      </c>
      <c r="K204" s="208"/>
    </row>
    <row r="205" spans="1:11" s="197" customFormat="1" ht="48">
      <c r="A205" s="198" t="s">
        <v>1546</v>
      </c>
      <c r="B205" s="198" t="s">
        <v>615</v>
      </c>
      <c r="C205" s="198" t="s">
        <v>616</v>
      </c>
      <c r="D205" s="200" t="s">
        <v>1519</v>
      </c>
      <c r="E205" s="210" t="s">
        <v>1873</v>
      </c>
      <c r="F205" s="202" t="str">
        <f>VLOOKUP(D205,CSR!$D$4:$E$1180,2,FALSE)</f>
        <v>CSR_11405</v>
      </c>
      <c r="G205" s="203">
        <v>46003</v>
      </c>
      <c r="H205" s="204">
        <v>4</v>
      </c>
      <c r="I205" s="205">
        <f t="shared" si="3"/>
        <v>0.21052631578947367</v>
      </c>
      <c r="J205" s="199" t="s">
        <v>395</v>
      </c>
      <c r="K205" s="204"/>
    </row>
    <row r="206" spans="1:11" s="197" customFormat="1" ht="32">
      <c r="A206" s="198" t="s">
        <v>1546</v>
      </c>
      <c r="B206" s="198" t="s">
        <v>615</v>
      </c>
      <c r="C206" s="198" t="s">
        <v>616</v>
      </c>
      <c r="D206" s="200" t="s">
        <v>659</v>
      </c>
      <c r="E206" s="249" t="s">
        <v>1894</v>
      </c>
      <c r="F206" s="202" t="str">
        <f>VLOOKUP(D206,CSR!$D$4:$E$1180,2,FALSE)</f>
        <v>CSR_11305</v>
      </c>
      <c r="G206" s="203">
        <v>46010</v>
      </c>
      <c r="H206" s="208">
        <v>2</v>
      </c>
      <c r="I206" s="205">
        <f t="shared" si="3"/>
        <v>0.10526315789473684</v>
      </c>
      <c r="J206" s="217" t="s">
        <v>395</v>
      </c>
      <c r="K206" s="204"/>
    </row>
    <row r="207" spans="1:11" s="197" customFormat="1" ht="32">
      <c r="A207" s="198" t="s">
        <v>1546</v>
      </c>
      <c r="B207" s="213" t="s">
        <v>729</v>
      </c>
      <c r="C207" s="213" t="s">
        <v>730</v>
      </c>
      <c r="D207" s="218" t="s">
        <v>741</v>
      </c>
      <c r="E207" s="218" t="s">
        <v>1895</v>
      </c>
      <c r="F207" s="202" t="str">
        <f>VLOOKUP(D207,CSR!$D$4:$E$1180,2,FALSE)</f>
        <v>CSR_20004</v>
      </c>
      <c r="G207" s="203">
        <v>46010</v>
      </c>
      <c r="H207" s="208">
        <v>3</v>
      </c>
      <c r="I207" s="205">
        <f t="shared" si="3"/>
        <v>0.15789473684210525</v>
      </c>
      <c r="J207" s="199" t="s">
        <v>395</v>
      </c>
      <c r="K207" s="218"/>
    </row>
    <row r="208" spans="1:11" s="197" customFormat="1" ht="16">
      <c r="A208" s="198" t="s">
        <v>1722</v>
      </c>
      <c r="B208" s="199" t="s">
        <v>70</v>
      </c>
      <c r="C208" s="199" t="s">
        <v>245</v>
      </c>
      <c r="D208" s="208" t="s">
        <v>1631</v>
      </c>
      <c r="E208" s="201" t="s">
        <v>1896</v>
      </c>
      <c r="F208" s="202" t="str">
        <f>VLOOKUP(D208,CSR!$D$4:$E$1180,2,FALSE)</f>
        <v>CSR_20002</v>
      </c>
      <c r="G208" s="261">
        <v>45986</v>
      </c>
      <c r="H208" s="204">
        <v>2</v>
      </c>
      <c r="I208" s="241">
        <f t="shared" si="3"/>
        <v>0.10526315789473684</v>
      </c>
      <c r="J208" s="199" t="s">
        <v>914</v>
      </c>
      <c r="K208" s="204"/>
    </row>
    <row r="209" spans="1:11" s="197" customFormat="1" ht="16">
      <c r="A209" s="198" t="s">
        <v>1722</v>
      </c>
      <c r="B209" s="199" t="s">
        <v>70</v>
      </c>
      <c r="C209" s="199" t="s">
        <v>245</v>
      </c>
      <c r="D209" s="208" t="s">
        <v>1475</v>
      </c>
      <c r="E209" s="201" t="s">
        <v>1897</v>
      </c>
      <c r="F209" s="202" t="str">
        <f>VLOOKUP(D209,CSR!$D$4:$E$1180,2,FALSE)</f>
        <v>CSR_20003</v>
      </c>
      <c r="G209" s="261">
        <v>45987</v>
      </c>
      <c r="H209" s="204">
        <v>1</v>
      </c>
      <c r="I209" s="241">
        <f t="shared" si="3"/>
        <v>5.2631578947368418E-2</v>
      </c>
      <c r="J209" s="199" t="s">
        <v>914</v>
      </c>
      <c r="K209" s="204"/>
    </row>
    <row r="210" spans="1:11" s="197" customFormat="1" ht="16">
      <c r="A210" s="198" t="s">
        <v>1546</v>
      </c>
      <c r="B210" s="199" t="s">
        <v>70</v>
      </c>
      <c r="C210" s="199" t="s">
        <v>245</v>
      </c>
      <c r="D210" s="208" t="s">
        <v>1631</v>
      </c>
      <c r="E210" s="201" t="s">
        <v>1898</v>
      </c>
      <c r="F210" s="202" t="str">
        <f>VLOOKUP(D210,CSR!$D$4:$E$1180,2,FALSE)</f>
        <v>CSR_20002</v>
      </c>
      <c r="G210" s="261">
        <v>46001</v>
      </c>
      <c r="H210" s="204">
        <v>2</v>
      </c>
      <c r="I210" s="241">
        <f t="shared" si="3"/>
        <v>0.10526315789473684</v>
      </c>
      <c r="J210" s="199" t="s">
        <v>914</v>
      </c>
      <c r="K210" s="204"/>
    </row>
    <row r="211" spans="1:11" s="197" customFormat="1" ht="16">
      <c r="A211" s="198" t="s">
        <v>1546</v>
      </c>
      <c r="B211" s="199" t="s">
        <v>70</v>
      </c>
      <c r="C211" s="199" t="s">
        <v>245</v>
      </c>
      <c r="D211" s="208" t="s">
        <v>741</v>
      </c>
      <c r="E211" s="201" t="s">
        <v>1899</v>
      </c>
      <c r="F211" s="202" t="str">
        <f>VLOOKUP(D211,CSR!$D$4:$E$1180,2,FALSE)</f>
        <v>CSR_20004</v>
      </c>
      <c r="G211" s="203">
        <v>46002</v>
      </c>
      <c r="H211" s="204">
        <v>3</v>
      </c>
      <c r="I211" s="205">
        <f t="shared" si="3"/>
        <v>0.15789473684210525</v>
      </c>
      <c r="J211" s="199" t="s">
        <v>914</v>
      </c>
      <c r="K211" s="204"/>
    </row>
    <row r="212" spans="1:11" s="197" customFormat="1" ht="16">
      <c r="A212" s="198" t="s">
        <v>1546</v>
      </c>
      <c r="B212" s="199" t="s">
        <v>615</v>
      </c>
      <c r="C212" s="199" t="s">
        <v>616</v>
      </c>
      <c r="D212" s="208" t="s">
        <v>657</v>
      </c>
      <c r="E212" s="218" t="s">
        <v>1900</v>
      </c>
      <c r="F212" s="202" t="str">
        <f>VLOOKUP(D212,CSR!$D$4:$E$1180,2,FALSE)</f>
        <v>CSR_11304</v>
      </c>
      <c r="G212" s="203">
        <v>46010</v>
      </c>
      <c r="H212" s="208">
        <v>2</v>
      </c>
      <c r="I212" s="205">
        <f t="shared" si="3"/>
        <v>0.10526315789473684</v>
      </c>
      <c r="J212" s="199" t="s">
        <v>914</v>
      </c>
      <c r="K212" s="204"/>
    </row>
    <row r="213" spans="1:11" s="197" customFormat="1">
      <c r="A213" s="21"/>
      <c r="B213" s="19"/>
      <c r="C213" s="19"/>
      <c r="D213" s="19"/>
      <c r="E213" s="19"/>
      <c r="F213" s="19"/>
      <c r="G213" s="21"/>
      <c r="H213" s="19"/>
      <c r="I213" s="222"/>
      <c r="J213" s="21"/>
      <c r="K213" s="19"/>
    </row>
  </sheetData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37"/>
  <sheetViews>
    <sheetView showGridLines="0" zoomScaleNormal="100" workbookViewId="0">
      <selection activeCell="H16" sqref="H16"/>
    </sheetView>
  </sheetViews>
  <sheetFormatPr baseColWidth="10" defaultColWidth="9" defaultRowHeight="15"/>
  <cols>
    <col min="1" max="1" width="6.6640625" style="262" bestFit="1" customWidth="1"/>
    <col min="2" max="2" width="12.83203125" style="263" bestFit="1" customWidth="1"/>
    <col min="3" max="3" width="20.33203125" style="263" customWidth="1"/>
    <col min="4" max="4" width="39.6640625" style="263" bestFit="1" customWidth="1"/>
    <col min="5" max="5" width="34.5" style="263" customWidth="1"/>
    <col min="6" max="6" width="9.6640625" style="263" customWidth="1"/>
    <col min="7" max="7" width="9.6640625" style="21" customWidth="1"/>
    <col min="8" max="8" width="9.6640625" style="19" customWidth="1"/>
    <col min="9" max="9" width="9.6640625" style="222" customWidth="1"/>
    <col min="10" max="10" width="17.83203125" style="21" customWidth="1"/>
    <col min="11" max="11" width="9.6640625" style="263" customWidth="1"/>
    <col min="12" max="12" width="18.1640625" style="263" bestFit="1" customWidth="1"/>
    <col min="13" max="16384" width="9" style="247"/>
  </cols>
  <sheetData>
    <row r="1" spans="1:12" ht="16">
      <c r="A1" s="258" t="s">
        <v>815</v>
      </c>
      <c r="B1" s="258" t="s">
        <v>589</v>
      </c>
      <c r="C1" s="258" t="s">
        <v>590</v>
      </c>
      <c r="D1" s="258" t="s">
        <v>591</v>
      </c>
      <c r="E1" s="258" t="s">
        <v>816</v>
      </c>
      <c r="F1" s="258" t="s">
        <v>817</v>
      </c>
      <c r="G1" s="258" t="s">
        <v>8</v>
      </c>
      <c r="H1" s="258" t="s">
        <v>818</v>
      </c>
      <c r="I1" s="259" t="s">
        <v>819</v>
      </c>
      <c r="J1" s="258" t="s">
        <v>820</v>
      </c>
      <c r="K1" s="258" t="s">
        <v>588</v>
      </c>
      <c r="L1" s="264" t="e">
        <f>SUM(#REF!)</f>
        <v>#REF!</v>
      </c>
    </row>
    <row r="2" spans="1:12" s="197" customFormat="1" ht="32">
      <c r="A2" s="198" t="s">
        <v>1901</v>
      </c>
      <c r="B2" s="199" t="s">
        <v>31</v>
      </c>
      <c r="C2" s="198" t="s">
        <v>32</v>
      </c>
      <c r="D2" s="200" t="s">
        <v>33</v>
      </c>
      <c r="E2" s="218" t="s">
        <v>1902</v>
      </c>
      <c r="F2" s="202" t="str">
        <f>VLOOKUP(D2,CSR!$D$4:$E$1180,2,FALSE)</f>
        <v>CSR_30200</v>
      </c>
      <c r="G2" s="203">
        <v>45954</v>
      </c>
      <c r="H2" s="204">
        <v>3</v>
      </c>
      <c r="I2" s="205">
        <f t="shared" ref="I2:I65" si="0">H2*10/190</f>
        <v>0.15789473684210525</v>
      </c>
      <c r="J2" s="199" t="s">
        <v>1724</v>
      </c>
      <c r="K2" s="204"/>
      <c r="L2" s="264"/>
    </row>
    <row r="3" spans="1:12" s="197" customFormat="1" ht="32">
      <c r="A3" s="198" t="s">
        <v>1901</v>
      </c>
      <c r="B3" s="199" t="s">
        <v>31</v>
      </c>
      <c r="C3" s="198" t="s">
        <v>32</v>
      </c>
      <c r="D3" s="200" t="s">
        <v>33</v>
      </c>
      <c r="E3" s="210" t="s">
        <v>1903</v>
      </c>
      <c r="F3" s="202" t="str">
        <f>VLOOKUP(D3,CSR!$D$4:$E$1180,2,FALSE)</f>
        <v>CSR_30200</v>
      </c>
      <c r="G3" s="203">
        <v>45954</v>
      </c>
      <c r="H3" s="204">
        <v>1</v>
      </c>
      <c r="I3" s="205">
        <f t="shared" si="0"/>
        <v>5.2631578947368418E-2</v>
      </c>
      <c r="J3" s="199" t="s">
        <v>22</v>
      </c>
      <c r="K3" s="204"/>
      <c r="L3" s="264"/>
    </row>
    <row r="4" spans="1:12" s="197" customFormat="1" ht="32">
      <c r="A4" s="198" t="s">
        <v>1901</v>
      </c>
      <c r="B4" s="199" t="s">
        <v>16</v>
      </c>
      <c r="C4" s="199" t="s">
        <v>17</v>
      </c>
      <c r="D4" s="208" t="s">
        <v>18</v>
      </c>
      <c r="E4" s="210" t="s">
        <v>1904</v>
      </c>
      <c r="F4" s="202" t="str">
        <f>VLOOKUP(D4,CSR!$D$4:$E$1180,2,FALSE)</f>
        <v>CSR_11300</v>
      </c>
      <c r="G4" s="203">
        <v>45961</v>
      </c>
      <c r="H4" s="208">
        <v>2</v>
      </c>
      <c r="I4" s="205">
        <f t="shared" si="0"/>
        <v>0.10526315789473684</v>
      </c>
      <c r="J4" s="199" t="s">
        <v>22</v>
      </c>
      <c r="K4" s="204"/>
      <c r="L4" s="264"/>
    </row>
    <row r="5" spans="1:12" s="197" customFormat="1" ht="32">
      <c r="A5" s="198" t="s">
        <v>1901</v>
      </c>
      <c r="B5" s="199" t="s">
        <v>16</v>
      </c>
      <c r="C5" s="199" t="s">
        <v>17</v>
      </c>
      <c r="D5" s="208" t="s">
        <v>18</v>
      </c>
      <c r="E5" s="208" t="s">
        <v>1905</v>
      </c>
      <c r="F5" s="202" t="str">
        <f>VLOOKUP(D5,CSR!$D$4:$E$1180,2,FALSE)</f>
        <v>CSR_11300</v>
      </c>
      <c r="G5" s="203">
        <v>45961</v>
      </c>
      <c r="H5" s="208">
        <v>2</v>
      </c>
      <c r="I5" s="205">
        <f t="shared" si="0"/>
        <v>0.10526315789473684</v>
      </c>
      <c r="J5" s="206" t="s">
        <v>22</v>
      </c>
      <c r="K5" s="204"/>
      <c r="L5" s="264"/>
    </row>
    <row r="6" spans="1:12" s="197" customFormat="1" ht="32">
      <c r="A6" s="198" t="s">
        <v>1722</v>
      </c>
      <c r="B6" s="199" t="s">
        <v>16</v>
      </c>
      <c r="C6" s="199" t="s">
        <v>17</v>
      </c>
      <c r="D6" s="208" t="s">
        <v>18</v>
      </c>
      <c r="E6" s="208" t="s">
        <v>1906</v>
      </c>
      <c r="F6" s="202" t="str">
        <f>VLOOKUP(D6,CSR!$D$4:$E$1180,2,FALSE)</f>
        <v>CSR_11300</v>
      </c>
      <c r="G6" s="203">
        <v>45968</v>
      </c>
      <c r="H6" s="208">
        <v>2</v>
      </c>
      <c r="I6" s="205">
        <f t="shared" si="0"/>
        <v>0.10526315789473684</v>
      </c>
      <c r="J6" s="206" t="s">
        <v>22</v>
      </c>
      <c r="K6" s="204"/>
      <c r="L6" s="264"/>
    </row>
    <row r="7" spans="1:12" s="197" customFormat="1" ht="48">
      <c r="A7" s="198" t="s">
        <v>1722</v>
      </c>
      <c r="B7" s="199" t="s">
        <v>16</v>
      </c>
      <c r="C7" s="199" t="s">
        <v>17</v>
      </c>
      <c r="D7" s="208" t="s">
        <v>1755</v>
      </c>
      <c r="E7" s="210" t="s">
        <v>1907</v>
      </c>
      <c r="F7" s="202" t="str">
        <f>VLOOKUP(D7,CSR!$D$4:$E$1180,2,FALSE)</f>
        <v>CSR_11402</v>
      </c>
      <c r="G7" s="203">
        <v>45968</v>
      </c>
      <c r="H7" s="204">
        <v>1</v>
      </c>
      <c r="I7" s="205">
        <f t="shared" si="0"/>
        <v>5.2631578947368418E-2</v>
      </c>
      <c r="J7" s="206" t="s">
        <v>22</v>
      </c>
      <c r="K7" s="204"/>
      <c r="L7" s="192"/>
    </row>
    <row r="8" spans="1:12" s="197" customFormat="1" ht="48">
      <c r="A8" s="198" t="s">
        <v>1722</v>
      </c>
      <c r="B8" s="199" t="s">
        <v>16</v>
      </c>
      <c r="C8" s="199" t="s">
        <v>17</v>
      </c>
      <c r="D8" s="208" t="s">
        <v>1755</v>
      </c>
      <c r="E8" s="210" t="s">
        <v>1908</v>
      </c>
      <c r="F8" s="202" t="str">
        <f>VLOOKUP(D8,CSR!$D$4:$E$1180,2,FALSE)</f>
        <v>CSR_11402</v>
      </c>
      <c r="G8" s="203">
        <v>45975</v>
      </c>
      <c r="H8" s="204">
        <v>2</v>
      </c>
      <c r="I8" s="205">
        <f t="shared" si="0"/>
        <v>0.10526315789473684</v>
      </c>
      <c r="J8" s="206" t="s">
        <v>22</v>
      </c>
      <c r="K8" s="204"/>
      <c r="L8" s="192"/>
    </row>
    <row r="9" spans="1:12" s="197" customFormat="1" ht="48">
      <c r="A9" s="198" t="s">
        <v>1722</v>
      </c>
      <c r="B9" s="199" t="s">
        <v>16</v>
      </c>
      <c r="C9" s="199" t="s">
        <v>17</v>
      </c>
      <c r="D9" s="208" t="s">
        <v>1755</v>
      </c>
      <c r="E9" s="210" t="s">
        <v>1909</v>
      </c>
      <c r="F9" s="202" t="str">
        <f>VLOOKUP(D9,CSR!$D$4:$E$1180,2,FALSE)</f>
        <v>CSR_11402</v>
      </c>
      <c r="G9" s="203">
        <v>45975</v>
      </c>
      <c r="H9" s="218">
        <v>2</v>
      </c>
      <c r="I9" s="205">
        <f t="shared" si="0"/>
        <v>0.10526315789473684</v>
      </c>
      <c r="J9" s="206" t="s">
        <v>22</v>
      </c>
      <c r="K9" s="204"/>
      <c r="L9" s="192"/>
    </row>
    <row r="10" spans="1:12" s="197" customFormat="1" ht="32">
      <c r="A10" s="198" t="s">
        <v>1722</v>
      </c>
      <c r="B10" s="199" t="s">
        <v>16</v>
      </c>
      <c r="C10" s="199" t="s">
        <v>17</v>
      </c>
      <c r="D10" s="200" t="s">
        <v>18</v>
      </c>
      <c r="E10" s="210" t="s">
        <v>1541</v>
      </c>
      <c r="F10" s="202" t="str">
        <f>VLOOKUP(D10,CSR!$D$4:$E$1180,2,FALSE)</f>
        <v>CSR_11300</v>
      </c>
      <c r="G10" s="203">
        <v>45981</v>
      </c>
      <c r="H10" s="204">
        <v>2</v>
      </c>
      <c r="I10" s="205">
        <f t="shared" si="0"/>
        <v>0.10526315789473684</v>
      </c>
      <c r="J10" s="206" t="s">
        <v>22</v>
      </c>
      <c r="K10" s="204"/>
      <c r="L10" s="192"/>
    </row>
    <row r="11" spans="1:12" s="197" customFormat="1" ht="48">
      <c r="A11" s="198" t="s">
        <v>1722</v>
      </c>
      <c r="B11" s="199" t="s">
        <v>16</v>
      </c>
      <c r="C11" s="199" t="s">
        <v>17</v>
      </c>
      <c r="D11" s="208" t="s">
        <v>1755</v>
      </c>
      <c r="E11" s="210" t="s">
        <v>1910</v>
      </c>
      <c r="F11" s="202" t="str">
        <f>VLOOKUP(D11,CSR!$D$4:$E$1180,2,FALSE)</f>
        <v>CSR_11402</v>
      </c>
      <c r="G11" s="203">
        <v>45981</v>
      </c>
      <c r="H11" s="204">
        <v>2</v>
      </c>
      <c r="I11" s="205">
        <f t="shared" si="0"/>
        <v>0.10526315789473684</v>
      </c>
      <c r="J11" s="206" t="s">
        <v>22</v>
      </c>
      <c r="K11" s="204"/>
      <c r="L11" s="192"/>
    </row>
    <row r="12" spans="1:12" s="197" customFormat="1" ht="32">
      <c r="A12" s="198" t="s">
        <v>1901</v>
      </c>
      <c r="B12" s="199" t="s">
        <v>49</v>
      </c>
      <c r="C12" s="199" t="s">
        <v>175</v>
      </c>
      <c r="D12" s="208" t="s">
        <v>183</v>
      </c>
      <c r="E12" s="218" t="s">
        <v>1911</v>
      </c>
      <c r="F12" s="202" t="str">
        <f>VLOOKUP(D12,CSR!$D$4:$E$1180,2,FALSE)</f>
        <v>CSR_40500</v>
      </c>
      <c r="G12" s="203">
        <v>45954</v>
      </c>
      <c r="H12" s="208">
        <v>3</v>
      </c>
      <c r="I12" s="205">
        <f t="shared" si="0"/>
        <v>0.15789473684210525</v>
      </c>
      <c r="J12" s="199" t="s">
        <v>54</v>
      </c>
      <c r="K12" s="204"/>
      <c r="L12" s="19"/>
    </row>
    <row r="13" spans="1:12" s="197" customFormat="1" ht="32">
      <c r="A13" s="198" t="s">
        <v>1901</v>
      </c>
      <c r="B13" s="199" t="s">
        <v>49</v>
      </c>
      <c r="C13" s="199" t="s">
        <v>175</v>
      </c>
      <c r="D13" s="208" t="s">
        <v>187</v>
      </c>
      <c r="E13" s="210" t="s">
        <v>1912</v>
      </c>
      <c r="F13" s="202" t="str">
        <f>VLOOKUP(D13,CSR!$D$4:$E$1180,2,FALSE)</f>
        <v>CSR_40400</v>
      </c>
      <c r="G13" s="203">
        <v>45961</v>
      </c>
      <c r="H13" s="204">
        <v>4</v>
      </c>
      <c r="I13" s="205">
        <f t="shared" si="0"/>
        <v>0.21052631578947367</v>
      </c>
      <c r="J13" s="206" t="s">
        <v>54</v>
      </c>
      <c r="K13" s="204"/>
      <c r="L13" s="19"/>
    </row>
    <row r="14" spans="1:12" s="197" customFormat="1" ht="32">
      <c r="A14" s="198" t="s">
        <v>1722</v>
      </c>
      <c r="B14" s="199" t="s">
        <v>49</v>
      </c>
      <c r="C14" s="199" t="s">
        <v>175</v>
      </c>
      <c r="D14" s="208" t="s">
        <v>183</v>
      </c>
      <c r="E14" s="218" t="s">
        <v>1913</v>
      </c>
      <c r="F14" s="202" t="str">
        <f>VLOOKUP(D14,CSR!$D$4:$E$1180,2,FALSE)</f>
        <v>CSR_40500</v>
      </c>
      <c r="G14" s="203">
        <v>45968</v>
      </c>
      <c r="H14" s="208">
        <v>4</v>
      </c>
      <c r="I14" s="205">
        <f t="shared" si="0"/>
        <v>0.21052631578947367</v>
      </c>
      <c r="J14" s="199" t="s">
        <v>54</v>
      </c>
      <c r="K14" s="204"/>
      <c r="L14" s="19"/>
    </row>
    <row r="15" spans="1:12" s="197" customFormat="1" ht="48">
      <c r="A15" s="198" t="s">
        <v>1722</v>
      </c>
      <c r="B15" s="199" t="s">
        <v>16</v>
      </c>
      <c r="C15" s="199" t="s">
        <v>17</v>
      </c>
      <c r="D15" s="208" t="s">
        <v>1755</v>
      </c>
      <c r="E15" s="210" t="s">
        <v>1908</v>
      </c>
      <c r="F15" s="202" t="str">
        <f>VLOOKUP(D15,CSR!$D$4:$E$1180,2,FALSE)</f>
        <v>CSR_11402</v>
      </c>
      <c r="G15" s="203">
        <v>45975</v>
      </c>
      <c r="H15" s="208">
        <v>1</v>
      </c>
      <c r="I15" s="205">
        <f t="shared" si="0"/>
        <v>5.2631578947368418E-2</v>
      </c>
      <c r="J15" s="199" t="s">
        <v>54</v>
      </c>
      <c r="K15" s="204"/>
      <c r="L15" s="19"/>
    </row>
    <row r="16" spans="1:12" s="197" customFormat="1" ht="48">
      <c r="A16" s="198" t="s">
        <v>1722</v>
      </c>
      <c r="B16" s="199" t="s">
        <v>16</v>
      </c>
      <c r="C16" s="199" t="s">
        <v>17</v>
      </c>
      <c r="D16" s="208" t="s">
        <v>1755</v>
      </c>
      <c r="E16" s="210" t="s">
        <v>1909</v>
      </c>
      <c r="F16" s="202" t="str">
        <f>VLOOKUP(D16,CSR!$D$4:$E$1180,2,FALSE)</f>
        <v>CSR_11402</v>
      </c>
      <c r="G16" s="203">
        <v>45975</v>
      </c>
      <c r="H16" s="204">
        <v>1</v>
      </c>
      <c r="I16" s="205">
        <f t="shared" si="0"/>
        <v>5.2631578947368418E-2</v>
      </c>
      <c r="J16" s="206" t="s">
        <v>54</v>
      </c>
      <c r="K16" s="204"/>
      <c r="L16" s="19"/>
    </row>
    <row r="17" spans="1:12" s="197" customFormat="1" ht="48">
      <c r="A17" s="198" t="s">
        <v>1722</v>
      </c>
      <c r="B17" s="199" t="s">
        <v>16</v>
      </c>
      <c r="C17" s="199" t="s">
        <v>17</v>
      </c>
      <c r="D17" s="208" t="s">
        <v>1755</v>
      </c>
      <c r="E17" s="210" t="s">
        <v>1909</v>
      </c>
      <c r="F17" s="202" t="str">
        <f>VLOOKUP(D17,CSR!$D$4:$E$1180,2,FALSE)</f>
        <v>CSR_11402</v>
      </c>
      <c r="G17" s="203">
        <v>45975</v>
      </c>
      <c r="H17" s="204">
        <v>1</v>
      </c>
      <c r="I17" s="205">
        <f t="shared" si="0"/>
        <v>5.2631578947368418E-2</v>
      </c>
      <c r="J17" s="206" t="s">
        <v>54</v>
      </c>
      <c r="K17" s="204"/>
      <c r="L17" s="19"/>
    </row>
    <row r="18" spans="1:12" s="197" customFormat="1" ht="32">
      <c r="A18" s="198" t="s">
        <v>1722</v>
      </c>
      <c r="B18" s="199" t="s">
        <v>49</v>
      </c>
      <c r="C18" s="199" t="s">
        <v>175</v>
      </c>
      <c r="D18" s="208" t="s">
        <v>183</v>
      </c>
      <c r="E18" s="218" t="s">
        <v>1913</v>
      </c>
      <c r="F18" s="202" t="str">
        <f>VLOOKUP(D18,CSR!$D$4:$E$1180,2,FALSE)</f>
        <v>CSR_40500</v>
      </c>
      <c r="G18" s="203">
        <v>45975</v>
      </c>
      <c r="H18" s="208">
        <v>1</v>
      </c>
      <c r="I18" s="205">
        <f t="shared" si="0"/>
        <v>5.2631578947368418E-2</v>
      </c>
      <c r="J18" s="199" t="s">
        <v>54</v>
      </c>
      <c r="K18" s="204"/>
      <c r="L18" s="19"/>
    </row>
    <row r="19" spans="1:12" s="197" customFormat="1" ht="48">
      <c r="A19" s="198" t="s">
        <v>1722</v>
      </c>
      <c r="B19" s="199" t="s">
        <v>16</v>
      </c>
      <c r="C19" s="199" t="s">
        <v>17</v>
      </c>
      <c r="D19" s="208" t="s">
        <v>1755</v>
      </c>
      <c r="E19" s="210" t="s">
        <v>1909</v>
      </c>
      <c r="F19" s="202" t="str">
        <f>VLOOKUP(D19,CSR!$D$4:$E$1180,2,FALSE)</f>
        <v>CSR_11402</v>
      </c>
      <c r="G19" s="203">
        <v>45981</v>
      </c>
      <c r="H19" s="204">
        <v>2</v>
      </c>
      <c r="I19" s="205">
        <f t="shared" si="0"/>
        <v>0.10526315789473684</v>
      </c>
      <c r="J19" s="206" t="s">
        <v>54</v>
      </c>
      <c r="K19" s="204"/>
      <c r="L19" s="19"/>
    </row>
    <row r="20" spans="1:12" s="197" customFormat="1" ht="48">
      <c r="A20" s="198" t="s">
        <v>1722</v>
      </c>
      <c r="B20" s="199" t="s">
        <v>16</v>
      </c>
      <c r="C20" s="199" t="s">
        <v>17</v>
      </c>
      <c r="D20" s="208" t="s">
        <v>1755</v>
      </c>
      <c r="E20" s="210" t="s">
        <v>1910</v>
      </c>
      <c r="F20" s="202" t="str">
        <f>VLOOKUP(D20,CSR!$D$4:$E$1180,2,FALSE)</f>
        <v>CSR_11402</v>
      </c>
      <c r="G20" s="203">
        <v>45981</v>
      </c>
      <c r="H20" s="204">
        <v>2</v>
      </c>
      <c r="I20" s="205">
        <f t="shared" si="0"/>
        <v>0.10526315789473684</v>
      </c>
      <c r="J20" s="206" t="s">
        <v>54</v>
      </c>
      <c r="K20" s="204"/>
      <c r="L20" s="19"/>
    </row>
    <row r="21" spans="1:12" s="197" customFormat="1" ht="32">
      <c r="A21" s="198" t="s">
        <v>1901</v>
      </c>
      <c r="B21" s="199" t="s">
        <v>70</v>
      </c>
      <c r="C21" s="199" t="s">
        <v>71</v>
      </c>
      <c r="D21" s="200" t="s">
        <v>72</v>
      </c>
      <c r="E21" s="201" t="s">
        <v>1914</v>
      </c>
      <c r="F21" s="202" t="str">
        <f>VLOOKUP(D21,CSR!$D$4:$E$1180,2,FALSE)</f>
        <v>CSR_20400</v>
      </c>
      <c r="G21" s="203">
        <v>45954</v>
      </c>
      <c r="H21" s="204">
        <v>2</v>
      </c>
      <c r="I21" s="205">
        <f t="shared" si="0"/>
        <v>0.10526315789473684</v>
      </c>
      <c r="J21" s="199" t="s">
        <v>68</v>
      </c>
      <c r="K21" s="208"/>
      <c r="L21" s="19"/>
    </row>
    <row r="22" spans="1:12" s="197" customFormat="1" ht="32">
      <c r="A22" s="198" t="s">
        <v>1901</v>
      </c>
      <c r="B22" s="199" t="s">
        <v>49</v>
      </c>
      <c r="C22" s="199" t="s">
        <v>175</v>
      </c>
      <c r="D22" s="208" t="s">
        <v>191</v>
      </c>
      <c r="E22" s="218" t="s">
        <v>1915</v>
      </c>
      <c r="F22" s="202" t="str">
        <f>VLOOKUP(D22,CSR!$D$4:$E$1180,2,FALSE)</f>
        <v>CSR_40300</v>
      </c>
      <c r="G22" s="203">
        <v>45954</v>
      </c>
      <c r="H22" s="204">
        <v>2</v>
      </c>
      <c r="I22" s="205">
        <f t="shared" si="0"/>
        <v>0.10526315789473684</v>
      </c>
      <c r="J22" s="206" t="s">
        <v>68</v>
      </c>
      <c r="K22" s="204"/>
      <c r="L22" s="19"/>
    </row>
    <row r="23" spans="1:12" s="197" customFormat="1" ht="48">
      <c r="A23" s="198" t="s">
        <v>1901</v>
      </c>
      <c r="B23" s="199" t="s">
        <v>16</v>
      </c>
      <c r="C23" s="199" t="s">
        <v>17</v>
      </c>
      <c r="D23" s="208" t="s">
        <v>1755</v>
      </c>
      <c r="E23" s="210" t="s">
        <v>1907</v>
      </c>
      <c r="F23" s="202" t="str">
        <f>VLOOKUP(D23,CSR!$D$4:$E$1180,2,FALSE)</f>
        <v>CSR_11402</v>
      </c>
      <c r="G23" s="203">
        <v>45961</v>
      </c>
      <c r="H23" s="204">
        <v>3</v>
      </c>
      <c r="I23" s="205">
        <f t="shared" si="0"/>
        <v>0.15789473684210525</v>
      </c>
      <c r="J23" s="206" t="s">
        <v>68</v>
      </c>
      <c r="K23" s="208"/>
      <c r="L23" s="19"/>
    </row>
    <row r="24" spans="1:12" s="197" customFormat="1" ht="48">
      <c r="A24" s="198" t="s">
        <v>1722</v>
      </c>
      <c r="B24" s="199" t="s">
        <v>16</v>
      </c>
      <c r="C24" s="199" t="s">
        <v>17</v>
      </c>
      <c r="D24" s="208" t="s">
        <v>1755</v>
      </c>
      <c r="E24" s="210" t="s">
        <v>1907</v>
      </c>
      <c r="F24" s="202" t="str">
        <f>VLOOKUP(D24,CSR!$D$4:$E$1180,2,FALSE)</f>
        <v>CSR_11402</v>
      </c>
      <c r="G24" s="203">
        <v>45968</v>
      </c>
      <c r="H24" s="204">
        <v>4</v>
      </c>
      <c r="I24" s="205">
        <f t="shared" si="0"/>
        <v>0.21052631578947367</v>
      </c>
      <c r="J24" s="206" t="s">
        <v>68</v>
      </c>
      <c r="K24" s="204"/>
      <c r="L24" s="19"/>
    </row>
    <row r="25" spans="1:12" s="197" customFormat="1" ht="48">
      <c r="A25" s="198" t="s">
        <v>1722</v>
      </c>
      <c r="B25" s="199" t="s">
        <v>16</v>
      </c>
      <c r="C25" s="199" t="s">
        <v>17</v>
      </c>
      <c r="D25" s="208" t="s">
        <v>1755</v>
      </c>
      <c r="E25" s="210" t="s">
        <v>1907</v>
      </c>
      <c r="F25" s="202" t="str">
        <f>VLOOKUP(D25,CSR!$D$4:$E$1180,2,FALSE)</f>
        <v>CSR_11402</v>
      </c>
      <c r="G25" s="203">
        <v>45975</v>
      </c>
      <c r="H25" s="204">
        <v>4</v>
      </c>
      <c r="I25" s="205">
        <f t="shared" si="0"/>
        <v>0.21052631578947367</v>
      </c>
      <c r="J25" s="206" t="s">
        <v>68</v>
      </c>
      <c r="K25" s="204"/>
      <c r="L25" s="19"/>
    </row>
    <row r="26" spans="1:12" s="197" customFormat="1" ht="48">
      <c r="A26" s="198" t="s">
        <v>1722</v>
      </c>
      <c r="B26" s="199" t="s">
        <v>16</v>
      </c>
      <c r="C26" s="199" t="s">
        <v>17</v>
      </c>
      <c r="D26" s="208" t="s">
        <v>1755</v>
      </c>
      <c r="E26" s="210" t="s">
        <v>1909</v>
      </c>
      <c r="F26" s="202" t="str">
        <f>VLOOKUP(D26,CSR!$D$4:$E$1180,2,FALSE)</f>
        <v>CSR_11402</v>
      </c>
      <c r="G26" s="203">
        <v>45981</v>
      </c>
      <c r="H26" s="204">
        <v>2</v>
      </c>
      <c r="I26" s="205">
        <f t="shared" si="0"/>
        <v>0.10526315789473684</v>
      </c>
      <c r="J26" s="206" t="s">
        <v>68</v>
      </c>
      <c r="K26" s="204"/>
      <c r="L26" s="19"/>
    </row>
    <row r="27" spans="1:12" s="197" customFormat="1" ht="48">
      <c r="A27" s="198" t="s">
        <v>1722</v>
      </c>
      <c r="B27" s="199" t="s">
        <v>16</v>
      </c>
      <c r="C27" s="199" t="s">
        <v>17</v>
      </c>
      <c r="D27" s="208" t="s">
        <v>1755</v>
      </c>
      <c r="E27" s="210" t="s">
        <v>1910</v>
      </c>
      <c r="F27" s="202" t="str">
        <f>VLOOKUP(D27,CSR!$D$4:$E$1180,2,FALSE)</f>
        <v>CSR_11402</v>
      </c>
      <c r="G27" s="203">
        <v>45981</v>
      </c>
      <c r="H27" s="204">
        <v>2</v>
      </c>
      <c r="I27" s="205">
        <f t="shared" si="0"/>
        <v>0.10526315789473684</v>
      </c>
      <c r="J27" s="206" t="s">
        <v>68</v>
      </c>
      <c r="K27" s="204"/>
      <c r="L27" s="19"/>
    </row>
    <row r="28" spans="1:12" s="197" customFormat="1" ht="32">
      <c r="A28" s="198" t="s">
        <v>1901</v>
      </c>
      <c r="B28" s="199" t="s">
        <v>16</v>
      </c>
      <c r="C28" s="199" t="s">
        <v>17</v>
      </c>
      <c r="D28" s="208" t="s">
        <v>651</v>
      </c>
      <c r="E28" s="210" t="s">
        <v>1916</v>
      </c>
      <c r="F28" s="202" t="str">
        <f>VLOOKUP(D28,CSR!$D$4:$E$1180,2,FALSE)</f>
        <v>CSR_11302</v>
      </c>
      <c r="G28" s="203">
        <v>45954</v>
      </c>
      <c r="H28" s="208">
        <v>2</v>
      </c>
      <c r="I28" s="205">
        <f t="shared" si="0"/>
        <v>0.10526315789473684</v>
      </c>
      <c r="J28" s="199" t="s">
        <v>83</v>
      </c>
      <c r="K28" s="204"/>
      <c r="L28" s="19"/>
    </row>
    <row r="29" spans="1:12" s="197" customFormat="1" ht="32">
      <c r="A29" s="198" t="s">
        <v>1901</v>
      </c>
      <c r="B29" s="199" t="s">
        <v>31</v>
      </c>
      <c r="C29" s="199" t="s">
        <v>336</v>
      </c>
      <c r="D29" s="208" t="s">
        <v>337</v>
      </c>
      <c r="E29" s="210" t="s">
        <v>1917</v>
      </c>
      <c r="F29" s="202" t="str">
        <f>VLOOKUP(D29,CSR!$D$4:$E$1180,2,FALSE)</f>
        <v>CSR_30800</v>
      </c>
      <c r="G29" s="203">
        <v>45954</v>
      </c>
      <c r="H29" s="204">
        <v>2</v>
      </c>
      <c r="I29" s="205">
        <f t="shared" si="0"/>
        <v>0.10526315789473684</v>
      </c>
      <c r="J29" s="206" t="s">
        <v>83</v>
      </c>
      <c r="K29" s="204"/>
      <c r="L29" s="19"/>
    </row>
    <row r="30" spans="1:12" s="197" customFormat="1" ht="48">
      <c r="A30" s="198" t="s">
        <v>1901</v>
      </c>
      <c r="B30" s="199" t="s">
        <v>16</v>
      </c>
      <c r="C30" s="199" t="s">
        <v>17</v>
      </c>
      <c r="D30" s="208" t="s">
        <v>1755</v>
      </c>
      <c r="E30" s="210" t="s">
        <v>1918</v>
      </c>
      <c r="F30" s="202" t="str">
        <f>VLOOKUP(D30,CSR!$D$4:$E$1180,2,FALSE)</f>
        <v>CSR_11402</v>
      </c>
      <c r="G30" s="203">
        <v>45961</v>
      </c>
      <c r="H30" s="208">
        <v>3</v>
      </c>
      <c r="I30" s="205">
        <f t="shared" si="0"/>
        <v>0.15789473684210525</v>
      </c>
      <c r="J30" s="199" t="s">
        <v>83</v>
      </c>
      <c r="K30" s="204"/>
      <c r="L30" s="19"/>
    </row>
    <row r="31" spans="1:12" s="197" customFormat="1" ht="48">
      <c r="A31" s="198" t="s">
        <v>1722</v>
      </c>
      <c r="B31" s="199" t="s">
        <v>16</v>
      </c>
      <c r="C31" s="199" t="s">
        <v>17</v>
      </c>
      <c r="D31" s="208" t="s">
        <v>1755</v>
      </c>
      <c r="E31" s="210" t="s">
        <v>1907</v>
      </c>
      <c r="F31" s="202" t="str">
        <f>VLOOKUP(D31,CSR!$D$4:$E$1180,2,FALSE)</f>
        <v>CSR_11402</v>
      </c>
      <c r="G31" s="203">
        <v>45968</v>
      </c>
      <c r="H31" s="204">
        <v>4</v>
      </c>
      <c r="I31" s="205">
        <f t="shared" si="0"/>
        <v>0.21052631578947367</v>
      </c>
      <c r="J31" s="206" t="s">
        <v>83</v>
      </c>
      <c r="K31" s="204"/>
      <c r="L31" s="19"/>
    </row>
    <row r="32" spans="1:12" s="197" customFormat="1" ht="48">
      <c r="A32" s="198" t="s">
        <v>1722</v>
      </c>
      <c r="B32" s="199" t="s">
        <v>16</v>
      </c>
      <c r="C32" s="199" t="s">
        <v>17</v>
      </c>
      <c r="D32" s="208" t="s">
        <v>1755</v>
      </c>
      <c r="E32" s="210" t="s">
        <v>1907</v>
      </c>
      <c r="F32" s="202" t="str">
        <f>VLOOKUP(D32,CSR!$D$4:$E$1180,2,FALSE)</f>
        <v>CSR_11402</v>
      </c>
      <c r="G32" s="203">
        <v>45975</v>
      </c>
      <c r="H32" s="204">
        <v>4</v>
      </c>
      <c r="I32" s="205">
        <f t="shared" si="0"/>
        <v>0.21052631578947367</v>
      </c>
      <c r="J32" s="206" t="s">
        <v>83</v>
      </c>
      <c r="K32" s="204"/>
      <c r="L32" s="19"/>
    </row>
    <row r="33" spans="1:12" s="197" customFormat="1" ht="48">
      <c r="A33" s="198" t="s">
        <v>1722</v>
      </c>
      <c r="B33" s="199" t="s">
        <v>16</v>
      </c>
      <c r="C33" s="199" t="s">
        <v>17</v>
      </c>
      <c r="D33" s="208" t="s">
        <v>1755</v>
      </c>
      <c r="E33" s="210" t="s">
        <v>1909</v>
      </c>
      <c r="F33" s="202" t="str">
        <f>VLOOKUP(D33,CSR!$D$4:$E$1180,2,FALSE)</f>
        <v>CSR_11402</v>
      </c>
      <c r="G33" s="203">
        <v>45981</v>
      </c>
      <c r="H33" s="204">
        <v>2</v>
      </c>
      <c r="I33" s="205">
        <f t="shared" si="0"/>
        <v>0.10526315789473684</v>
      </c>
      <c r="J33" s="206" t="s">
        <v>83</v>
      </c>
      <c r="K33" s="204"/>
      <c r="L33" s="19"/>
    </row>
    <row r="34" spans="1:12" s="197" customFormat="1" ht="48">
      <c r="A34" s="198" t="s">
        <v>1722</v>
      </c>
      <c r="B34" s="199" t="s">
        <v>31</v>
      </c>
      <c r="C34" s="198" t="s">
        <v>32</v>
      </c>
      <c r="D34" s="200" t="s">
        <v>33</v>
      </c>
      <c r="E34" s="210" t="s">
        <v>1919</v>
      </c>
      <c r="F34" s="202" t="str">
        <f>VLOOKUP(D34,CSR!$D$4:$E$1180,2,FALSE)</f>
        <v>CSR_30200</v>
      </c>
      <c r="G34" s="203">
        <v>45981</v>
      </c>
      <c r="H34" s="208">
        <v>2</v>
      </c>
      <c r="I34" s="205">
        <f t="shared" si="0"/>
        <v>0.10526315789473684</v>
      </c>
      <c r="J34" s="206" t="s">
        <v>83</v>
      </c>
      <c r="K34" s="204"/>
      <c r="L34" s="19"/>
    </row>
    <row r="35" spans="1:12" s="197" customFormat="1" ht="32">
      <c r="A35" s="198" t="s">
        <v>1901</v>
      </c>
      <c r="B35" s="199" t="s">
        <v>31</v>
      </c>
      <c r="C35" s="198" t="s">
        <v>32</v>
      </c>
      <c r="D35" s="200" t="s">
        <v>199</v>
      </c>
      <c r="E35" s="218" t="s">
        <v>1920</v>
      </c>
      <c r="F35" s="202" t="str">
        <f>VLOOKUP(D35,CSR!$D$4:$E$1180,2,FALSE)</f>
        <v>CSR_30000</v>
      </c>
      <c r="G35" s="203">
        <v>45954</v>
      </c>
      <c r="H35" s="204">
        <v>2</v>
      </c>
      <c r="I35" s="205">
        <f t="shared" si="0"/>
        <v>0.10526315789473684</v>
      </c>
      <c r="J35" s="199" t="s">
        <v>90</v>
      </c>
      <c r="K35" s="204"/>
      <c r="L35" s="19"/>
    </row>
    <row r="36" spans="1:12" s="197" customFormat="1" ht="32">
      <c r="A36" s="198" t="s">
        <v>1901</v>
      </c>
      <c r="B36" s="199" t="s">
        <v>49</v>
      </c>
      <c r="C36" s="199" t="s">
        <v>175</v>
      </c>
      <c r="D36" s="208" t="s">
        <v>191</v>
      </c>
      <c r="E36" s="218" t="s">
        <v>1921</v>
      </c>
      <c r="F36" s="202" t="str">
        <f>VLOOKUP(D36,CSR!$D$4:$E$1180,2,FALSE)</f>
        <v>CSR_40300</v>
      </c>
      <c r="G36" s="203">
        <v>45954</v>
      </c>
      <c r="H36" s="204">
        <v>1</v>
      </c>
      <c r="I36" s="205">
        <f t="shared" si="0"/>
        <v>5.2631578947368418E-2</v>
      </c>
      <c r="J36" s="199" t="s">
        <v>90</v>
      </c>
      <c r="K36" s="204"/>
      <c r="L36" s="19"/>
    </row>
    <row r="37" spans="1:12" s="197" customFormat="1" ht="32">
      <c r="A37" s="198" t="s">
        <v>1901</v>
      </c>
      <c r="B37" s="199" t="s">
        <v>49</v>
      </c>
      <c r="C37" s="199" t="s">
        <v>175</v>
      </c>
      <c r="D37" s="208" t="s">
        <v>187</v>
      </c>
      <c r="E37" s="218" t="s">
        <v>1922</v>
      </c>
      <c r="F37" s="202" t="str">
        <f>VLOOKUP(D37,CSR!$D$4:$E$1180,2,FALSE)</f>
        <v>CSR_40400</v>
      </c>
      <c r="G37" s="203">
        <v>45961</v>
      </c>
      <c r="H37" s="208">
        <v>2</v>
      </c>
      <c r="I37" s="205">
        <f t="shared" si="0"/>
        <v>0.10526315789473684</v>
      </c>
      <c r="J37" s="199" t="s">
        <v>90</v>
      </c>
      <c r="K37" s="204"/>
      <c r="L37" s="19"/>
    </row>
    <row r="38" spans="1:12" s="197" customFormat="1" ht="32">
      <c r="A38" s="198" t="s">
        <v>1901</v>
      </c>
      <c r="B38" s="199" t="s">
        <v>49</v>
      </c>
      <c r="C38" s="199" t="s">
        <v>175</v>
      </c>
      <c r="D38" s="210" t="s">
        <v>176</v>
      </c>
      <c r="E38" s="201" t="s">
        <v>1923</v>
      </c>
      <c r="F38" s="202" t="str">
        <f>VLOOKUP(D38,CSR!$D$4:$E$1180,2,FALSE)</f>
        <v>CSR_40700</v>
      </c>
      <c r="G38" s="203">
        <v>45961</v>
      </c>
      <c r="H38" s="204">
        <v>2</v>
      </c>
      <c r="I38" s="205">
        <f t="shared" si="0"/>
        <v>0.10526315789473684</v>
      </c>
      <c r="J38" s="206" t="s">
        <v>90</v>
      </c>
      <c r="K38" s="204"/>
      <c r="L38" s="19"/>
    </row>
    <row r="39" spans="1:12" s="197" customFormat="1" ht="48">
      <c r="A39" s="198" t="s">
        <v>1722</v>
      </c>
      <c r="B39" s="199" t="s">
        <v>16</v>
      </c>
      <c r="C39" s="199" t="s">
        <v>17</v>
      </c>
      <c r="D39" s="208" t="s">
        <v>1755</v>
      </c>
      <c r="E39" s="210" t="s">
        <v>1907</v>
      </c>
      <c r="F39" s="202" t="str">
        <f>VLOOKUP(D39,CSR!$D$4:$E$1180,2,FALSE)</f>
        <v>CSR_11402</v>
      </c>
      <c r="G39" s="203">
        <v>45968</v>
      </c>
      <c r="H39" s="204">
        <v>2</v>
      </c>
      <c r="I39" s="205">
        <f t="shared" si="0"/>
        <v>0.10526315789473684</v>
      </c>
      <c r="J39" s="206" t="s">
        <v>90</v>
      </c>
      <c r="K39" s="212"/>
      <c r="L39" s="19"/>
    </row>
    <row r="40" spans="1:12" s="197" customFormat="1" ht="32">
      <c r="A40" s="198" t="s">
        <v>1722</v>
      </c>
      <c r="B40" s="199" t="s">
        <v>49</v>
      </c>
      <c r="C40" s="199" t="s">
        <v>175</v>
      </c>
      <c r="D40" s="210" t="s">
        <v>176</v>
      </c>
      <c r="E40" s="201" t="s">
        <v>1924</v>
      </c>
      <c r="F40" s="202" t="str">
        <f>VLOOKUP(D40,CSR!$D$4:$E$1180,2,FALSE)</f>
        <v>CSR_40700</v>
      </c>
      <c r="G40" s="203">
        <v>45968</v>
      </c>
      <c r="H40" s="204">
        <v>2</v>
      </c>
      <c r="I40" s="205">
        <f t="shared" si="0"/>
        <v>0.10526315789473684</v>
      </c>
      <c r="J40" s="206" t="s">
        <v>90</v>
      </c>
      <c r="K40" s="204"/>
      <c r="L40" s="19"/>
    </row>
    <row r="41" spans="1:12" s="197" customFormat="1" ht="48">
      <c r="A41" s="198" t="s">
        <v>1722</v>
      </c>
      <c r="B41" s="199" t="s">
        <v>16</v>
      </c>
      <c r="C41" s="199" t="s">
        <v>17</v>
      </c>
      <c r="D41" s="208" t="s">
        <v>1755</v>
      </c>
      <c r="E41" s="210" t="s">
        <v>1908</v>
      </c>
      <c r="F41" s="202" t="str">
        <f>VLOOKUP(D41,CSR!$D$4:$E$1180,2,FALSE)</f>
        <v>CSR_11402</v>
      </c>
      <c r="G41" s="203">
        <v>45975</v>
      </c>
      <c r="H41" s="208">
        <v>3</v>
      </c>
      <c r="I41" s="205">
        <f t="shared" si="0"/>
        <v>0.15789473684210525</v>
      </c>
      <c r="J41" s="199" t="s">
        <v>90</v>
      </c>
      <c r="K41" s="204"/>
      <c r="L41" s="19"/>
    </row>
    <row r="42" spans="1:12" s="197" customFormat="1" ht="32">
      <c r="A42" s="198" t="s">
        <v>1722</v>
      </c>
      <c r="B42" s="199" t="s">
        <v>49</v>
      </c>
      <c r="C42" s="199" t="s">
        <v>175</v>
      </c>
      <c r="D42" s="210" t="s">
        <v>176</v>
      </c>
      <c r="E42" s="201" t="s">
        <v>1924</v>
      </c>
      <c r="F42" s="202" t="str">
        <f>VLOOKUP(D42,CSR!$D$4:$E$1180,2,FALSE)</f>
        <v>CSR_40700</v>
      </c>
      <c r="G42" s="203">
        <v>45975</v>
      </c>
      <c r="H42" s="204">
        <v>1</v>
      </c>
      <c r="I42" s="205">
        <f t="shared" si="0"/>
        <v>5.2631578947368418E-2</v>
      </c>
      <c r="J42" s="206" t="s">
        <v>90</v>
      </c>
      <c r="K42" s="204"/>
      <c r="L42" s="19"/>
    </row>
    <row r="43" spans="1:12" s="197" customFormat="1" ht="32">
      <c r="A43" s="198" t="s">
        <v>1722</v>
      </c>
      <c r="B43" s="199" t="s">
        <v>16</v>
      </c>
      <c r="C43" s="199" t="s">
        <v>17</v>
      </c>
      <c r="D43" s="200" t="s">
        <v>18</v>
      </c>
      <c r="E43" s="210" t="s">
        <v>1925</v>
      </c>
      <c r="F43" s="202" t="str">
        <f>VLOOKUP(D43,CSR!$D$4:$E$1180,2,FALSE)</f>
        <v>CSR_11300</v>
      </c>
      <c r="G43" s="203">
        <v>45981</v>
      </c>
      <c r="H43" s="208">
        <v>2</v>
      </c>
      <c r="I43" s="205">
        <f t="shared" si="0"/>
        <v>0.10526315789473684</v>
      </c>
      <c r="J43" s="206" t="s">
        <v>90</v>
      </c>
      <c r="K43" s="204"/>
      <c r="L43" s="19"/>
    </row>
    <row r="44" spans="1:12" s="197" customFormat="1" ht="32">
      <c r="A44" s="198" t="s">
        <v>1722</v>
      </c>
      <c r="B44" s="199" t="s">
        <v>16</v>
      </c>
      <c r="C44" s="199" t="s">
        <v>17</v>
      </c>
      <c r="D44" s="200" t="s">
        <v>18</v>
      </c>
      <c r="E44" s="210" t="s">
        <v>1541</v>
      </c>
      <c r="F44" s="202" t="str">
        <f>VLOOKUP(D44,CSR!$D$4:$E$1180,2,FALSE)</f>
        <v>CSR_11300</v>
      </c>
      <c r="G44" s="203">
        <v>45981</v>
      </c>
      <c r="H44" s="204">
        <v>2</v>
      </c>
      <c r="I44" s="205">
        <f t="shared" si="0"/>
        <v>0.10526315789473684</v>
      </c>
      <c r="J44" s="206" t="s">
        <v>90</v>
      </c>
      <c r="K44" s="204"/>
      <c r="L44" s="19"/>
    </row>
    <row r="45" spans="1:12" s="197" customFormat="1" ht="32">
      <c r="A45" s="198" t="s">
        <v>1722</v>
      </c>
      <c r="B45" s="199" t="s">
        <v>758</v>
      </c>
      <c r="C45" s="198" t="s">
        <v>32</v>
      </c>
      <c r="D45" s="208" t="s">
        <v>97</v>
      </c>
      <c r="E45" s="218" t="s">
        <v>823</v>
      </c>
      <c r="F45" s="202" t="str">
        <f>VLOOKUP(D45,CSR!$D$4:$E$1180,2,FALSE)</f>
        <v>CSR_30300</v>
      </c>
      <c r="G45" s="203">
        <v>45981</v>
      </c>
      <c r="H45" s="204">
        <v>2</v>
      </c>
      <c r="I45" s="205">
        <f t="shared" si="0"/>
        <v>0.10526315789473684</v>
      </c>
      <c r="J45" s="199" t="s">
        <v>824</v>
      </c>
      <c r="K45" s="204"/>
      <c r="L45" s="19"/>
    </row>
    <row r="46" spans="1:12" s="197" customFormat="1" ht="32">
      <c r="A46" s="198" t="s">
        <v>1722</v>
      </c>
      <c r="B46" s="199" t="s">
        <v>758</v>
      </c>
      <c r="C46" s="198" t="s">
        <v>32</v>
      </c>
      <c r="D46" s="208" t="s">
        <v>97</v>
      </c>
      <c r="E46" s="218" t="s">
        <v>823</v>
      </c>
      <c r="F46" s="202" t="str">
        <f>VLOOKUP(D46,CSR!$D$4:$E$1180,2,FALSE)</f>
        <v>CSR_30300</v>
      </c>
      <c r="G46" s="203">
        <v>45981</v>
      </c>
      <c r="H46" s="204">
        <v>2</v>
      </c>
      <c r="I46" s="205">
        <f t="shared" si="0"/>
        <v>0.10526315789473684</v>
      </c>
      <c r="J46" s="199" t="s">
        <v>101</v>
      </c>
      <c r="K46" s="204"/>
      <c r="L46" s="19"/>
    </row>
    <row r="47" spans="1:12" s="197" customFormat="1" ht="32">
      <c r="A47" s="198" t="s">
        <v>1722</v>
      </c>
      <c r="B47" s="199" t="s">
        <v>758</v>
      </c>
      <c r="C47" s="198" t="s">
        <v>32</v>
      </c>
      <c r="D47" s="208" t="s">
        <v>97</v>
      </c>
      <c r="E47" s="218" t="s">
        <v>823</v>
      </c>
      <c r="F47" s="202" t="str">
        <f>VLOOKUP(D47,CSR!$D$4:$E$1180,2,FALSE)</f>
        <v>CSR_30300</v>
      </c>
      <c r="G47" s="203">
        <v>45981</v>
      </c>
      <c r="H47" s="204">
        <v>2</v>
      </c>
      <c r="I47" s="205">
        <f t="shared" si="0"/>
        <v>0.10526315789473684</v>
      </c>
      <c r="J47" s="199" t="s">
        <v>102</v>
      </c>
      <c r="K47" s="204"/>
      <c r="L47" s="19"/>
    </row>
    <row r="48" spans="1:12" s="197" customFormat="1" ht="32">
      <c r="A48" s="198" t="s">
        <v>1901</v>
      </c>
      <c r="B48" s="199" t="s">
        <v>16</v>
      </c>
      <c r="C48" s="199" t="s">
        <v>17</v>
      </c>
      <c r="D48" s="200" t="s">
        <v>18</v>
      </c>
      <c r="E48" s="226" t="s">
        <v>1926</v>
      </c>
      <c r="F48" s="202" t="str">
        <f>VLOOKUP(D48,CSR!$D$4:$E$1180,2,FALSE)</f>
        <v>CSR_11300</v>
      </c>
      <c r="G48" s="203">
        <v>45954</v>
      </c>
      <c r="H48" s="208">
        <v>2</v>
      </c>
      <c r="I48" s="205">
        <f t="shared" si="0"/>
        <v>0.10526315789473684</v>
      </c>
      <c r="J48" s="199" t="s">
        <v>104</v>
      </c>
      <c r="K48" s="204"/>
      <c r="L48" s="19"/>
    </row>
    <row r="49" spans="1:12" s="197" customFormat="1" ht="32">
      <c r="A49" s="198" t="s">
        <v>1901</v>
      </c>
      <c r="B49" s="199" t="s">
        <v>31</v>
      </c>
      <c r="C49" s="198" t="s">
        <v>32</v>
      </c>
      <c r="D49" s="200" t="s">
        <v>33</v>
      </c>
      <c r="E49" s="218" t="s">
        <v>1927</v>
      </c>
      <c r="F49" s="202" t="str">
        <f>VLOOKUP(D49,CSR!$D$4:$E$1180,2,FALSE)</f>
        <v>CSR_30200</v>
      </c>
      <c r="G49" s="203">
        <v>45954</v>
      </c>
      <c r="H49" s="204">
        <v>1</v>
      </c>
      <c r="I49" s="205">
        <f t="shared" si="0"/>
        <v>5.2631578947368418E-2</v>
      </c>
      <c r="J49" s="199" t="s">
        <v>104</v>
      </c>
      <c r="K49" s="204"/>
      <c r="L49" s="19"/>
    </row>
    <row r="50" spans="1:12" s="197" customFormat="1" ht="32">
      <c r="A50" s="198" t="s">
        <v>1901</v>
      </c>
      <c r="B50" s="199" t="s">
        <v>31</v>
      </c>
      <c r="C50" s="198" t="s">
        <v>32</v>
      </c>
      <c r="D50" s="200" t="s">
        <v>33</v>
      </c>
      <c r="E50" s="210" t="s">
        <v>1903</v>
      </c>
      <c r="F50" s="202" t="str">
        <f>VLOOKUP(D50,CSR!$D$4:$E$1180,2,FALSE)</f>
        <v>CSR_30200</v>
      </c>
      <c r="G50" s="203">
        <v>45954</v>
      </c>
      <c r="H50" s="218">
        <v>1</v>
      </c>
      <c r="I50" s="205">
        <f t="shared" si="0"/>
        <v>5.2631578947368418E-2</v>
      </c>
      <c r="J50" s="199" t="s">
        <v>104</v>
      </c>
      <c r="K50" s="204"/>
      <c r="L50" s="19"/>
    </row>
    <row r="51" spans="1:12" s="197" customFormat="1" ht="32">
      <c r="A51" s="198" t="s">
        <v>1901</v>
      </c>
      <c r="B51" s="199" t="s">
        <v>16</v>
      </c>
      <c r="C51" s="199" t="s">
        <v>17</v>
      </c>
      <c r="D51" s="200" t="s">
        <v>18</v>
      </c>
      <c r="E51" s="210" t="s">
        <v>1928</v>
      </c>
      <c r="F51" s="202" t="str">
        <f>VLOOKUP(D51,CSR!$D$4:$E$1180,2,FALSE)</f>
        <v>CSR_11300</v>
      </c>
      <c r="G51" s="203">
        <v>45961</v>
      </c>
      <c r="H51" s="204">
        <v>2</v>
      </c>
      <c r="I51" s="205">
        <f t="shared" si="0"/>
        <v>0.10526315789473684</v>
      </c>
      <c r="J51" s="206" t="s">
        <v>104</v>
      </c>
      <c r="K51" s="204"/>
      <c r="L51" s="19"/>
    </row>
    <row r="52" spans="1:12" s="197" customFormat="1" ht="32">
      <c r="A52" s="198" t="s">
        <v>1901</v>
      </c>
      <c r="B52" s="199" t="s">
        <v>49</v>
      </c>
      <c r="C52" s="199" t="s">
        <v>175</v>
      </c>
      <c r="D52" s="208" t="s">
        <v>187</v>
      </c>
      <c r="E52" s="218" t="s">
        <v>1929</v>
      </c>
      <c r="F52" s="202" t="str">
        <f>VLOOKUP(D52,CSR!$D$4:$E$1180,2,FALSE)</f>
        <v>CSR_40400</v>
      </c>
      <c r="G52" s="203">
        <v>45961</v>
      </c>
      <c r="H52" s="204">
        <v>2</v>
      </c>
      <c r="I52" s="205">
        <f t="shared" si="0"/>
        <v>0.10526315789473684</v>
      </c>
      <c r="J52" s="206" t="s">
        <v>104</v>
      </c>
      <c r="K52" s="204"/>
      <c r="L52" s="19"/>
    </row>
    <row r="53" spans="1:12" s="197" customFormat="1" ht="32">
      <c r="A53" s="198" t="s">
        <v>1722</v>
      </c>
      <c r="B53" s="199" t="s">
        <v>49</v>
      </c>
      <c r="C53" s="199" t="s">
        <v>175</v>
      </c>
      <c r="D53" s="208" t="s">
        <v>183</v>
      </c>
      <c r="E53" s="218" t="s">
        <v>1930</v>
      </c>
      <c r="F53" s="202" t="str">
        <f>VLOOKUP(D53,CSR!$D$4:$E$1180,2,FALSE)</f>
        <v>CSR_40500</v>
      </c>
      <c r="G53" s="203">
        <v>45968</v>
      </c>
      <c r="H53" s="208">
        <v>3</v>
      </c>
      <c r="I53" s="205">
        <f t="shared" si="0"/>
        <v>0.15789473684210525</v>
      </c>
      <c r="J53" s="199" t="s">
        <v>104</v>
      </c>
      <c r="K53" s="204"/>
      <c r="L53" s="19"/>
    </row>
    <row r="54" spans="1:12" s="197" customFormat="1" ht="48">
      <c r="A54" s="198" t="s">
        <v>1722</v>
      </c>
      <c r="B54" s="199" t="s">
        <v>16</v>
      </c>
      <c r="C54" s="199" t="s">
        <v>17</v>
      </c>
      <c r="D54" s="208" t="s">
        <v>1755</v>
      </c>
      <c r="E54" s="210" t="s">
        <v>1931</v>
      </c>
      <c r="F54" s="202" t="str">
        <f>VLOOKUP(D54,CSR!$D$4:$E$1180,2,FALSE)</f>
        <v>CSR_11402</v>
      </c>
      <c r="G54" s="203">
        <v>45975</v>
      </c>
      <c r="H54" s="204">
        <v>2</v>
      </c>
      <c r="I54" s="205">
        <f t="shared" si="0"/>
        <v>0.10526315789473684</v>
      </c>
      <c r="J54" s="206" t="s">
        <v>104</v>
      </c>
      <c r="K54" s="208"/>
      <c r="L54" s="19"/>
    </row>
    <row r="55" spans="1:12" s="197" customFormat="1" ht="48">
      <c r="A55" s="198" t="s">
        <v>1722</v>
      </c>
      <c r="B55" s="199" t="s">
        <v>16</v>
      </c>
      <c r="C55" s="199" t="s">
        <v>17</v>
      </c>
      <c r="D55" s="208" t="s">
        <v>1755</v>
      </c>
      <c r="E55" s="210" t="s">
        <v>1932</v>
      </c>
      <c r="F55" s="202" t="str">
        <f>VLOOKUP(D55,CSR!$D$4:$E$1180,2,FALSE)</f>
        <v>CSR_11402</v>
      </c>
      <c r="G55" s="203">
        <v>45975</v>
      </c>
      <c r="H55" s="208">
        <v>1</v>
      </c>
      <c r="I55" s="205">
        <f t="shared" si="0"/>
        <v>5.2631578947368418E-2</v>
      </c>
      <c r="J55" s="206" t="s">
        <v>104</v>
      </c>
      <c r="K55" s="204"/>
      <c r="L55" s="19"/>
    </row>
    <row r="56" spans="1:12" s="197" customFormat="1" ht="32">
      <c r="A56" s="198" t="s">
        <v>1722</v>
      </c>
      <c r="B56" s="199" t="s">
        <v>49</v>
      </c>
      <c r="C56" s="199" t="s">
        <v>175</v>
      </c>
      <c r="D56" s="208" t="s">
        <v>183</v>
      </c>
      <c r="E56" s="218" t="s">
        <v>1930</v>
      </c>
      <c r="F56" s="202" t="str">
        <f>VLOOKUP(D56,CSR!$D$4:$E$1180,2,FALSE)</f>
        <v>CSR_40500</v>
      </c>
      <c r="G56" s="203">
        <v>45975</v>
      </c>
      <c r="H56" s="208">
        <v>1</v>
      </c>
      <c r="I56" s="205">
        <f t="shared" si="0"/>
        <v>5.2631578947368418E-2</v>
      </c>
      <c r="J56" s="199" t="s">
        <v>104</v>
      </c>
      <c r="K56" s="204"/>
      <c r="L56" s="19"/>
    </row>
    <row r="57" spans="1:12" s="197" customFormat="1" ht="48">
      <c r="A57" s="198" t="s">
        <v>1722</v>
      </c>
      <c r="B57" s="199" t="s">
        <v>16</v>
      </c>
      <c r="C57" s="199" t="s">
        <v>17</v>
      </c>
      <c r="D57" s="208" t="s">
        <v>1755</v>
      </c>
      <c r="E57" s="210" t="s">
        <v>1933</v>
      </c>
      <c r="F57" s="202" t="str">
        <f>VLOOKUP(D57,CSR!$D$4:$E$1180,2,FALSE)</f>
        <v>CSR_11402</v>
      </c>
      <c r="G57" s="203">
        <v>45981</v>
      </c>
      <c r="H57" s="208">
        <v>2</v>
      </c>
      <c r="I57" s="205">
        <f t="shared" si="0"/>
        <v>0.10526315789473684</v>
      </c>
      <c r="J57" s="199" t="s">
        <v>104</v>
      </c>
      <c r="K57" s="204"/>
      <c r="L57" s="19"/>
    </row>
    <row r="58" spans="1:12" s="197" customFormat="1" ht="48">
      <c r="A58" s="198" t="s">
        <v>1722</v>
      </c>
      <c r="B58" s="199" t="s">
        <v>31</v>
      </c>
      <c r="C58" s="198" t="s">
        <v>32</v>
      </c>
      <c r="D58" s="200" t="s">
        <v>33</v>
      </c>
      <c r="E58" s="210" t="s">
        <v>1934</v>
      </c>
      <c r="F58" s="202" t="str">
        <f>VLOOKUP(D58,CSR!$D$4:$E$1180,2,FALSE)</f>
        <v>CSR_30200</v>
      </c>
      <c r="G58" s="203">
        <v>45981</v>
      </c>
      <c r="H58" s="208">
        <v>2</v>
      </c>
      <c r="I58" s="205">
        <f t="shared" si="0"/>
        <v>0.10526315789473684</v>
      </c>
      <c r="J58" s="206" t="s">
        <v>104</v>
      </c>
      <c r="K58" s="204"/>
      <c r="L58" s="19"/>
    </row>
    <row r="59" spans="1:12" s="197" customFormat="1" ht="32">
      <c r="A59" s="198" t="s">
        <v>1901</v>
      </c>
      <c r="B59" s="199" t="s">
        <v>49</v>
      </c>
      <c r="C59" s="199" t="s">
        <v>175</v>
      </c>
      <c r="D59" s="200" t="s">
        <v>183</v>
      </c>
      <c r="E59" s="218" t="s">
        <v>1935</v>
      </c>
      <c r="F59" s="202" t="str">
        <f>VLOOKUP(D59,CSR!$D$4:$E$1180,2,FALSE)</f>
        <v>CSR_40500</v>
      </c>
      <c r="G59" s="203">
        <v>45954</v>
      </c>
      <c r="H59" s="204">
        <v>3</v>
      </c>
      <c r="I59" s="205">
        <f t="shared" si="0"/>
        <v>0.15789473684210525</v>
      </c>
      <c r="J59" s="199" t="s">
        <v>114</v>
      </c>
      <c r="K59" s="208"/>
      <c r="L59" s="19"/>
    </row>
    <row r="60" spans="1:12" s="197" customFormat="1" ht="32">
      <c r="A60" s="198" t="s">
        <v>1901</v>
      </c>
      <c r="B60" s="199" t="s">
        <v>16</v>
      </c>
      <c r="C60" s="199" t="s">
        <v>17</v>
      </c>
      <c r="D60" s="200" t="s">
        <v>18</v>
      </c>
      <c r="E60" s="208" t="s">
        <v>1936</v>
      </c>
      <c r="F60" s="202" t="str">
        <f>VLOOKUP(D60,CSR!$D$4:$E$1180,2,FALSE)</f>
        <v>CSR_11300</v>
      </c>
      <c r="G60" s="203">
        <v>45961</v>
      </c>
      <c r="H60" s="208">
        <v>1</v>
      </c>
      <c r="I60" s="205">
        <f t="shared" si="0"/>
        <v>5.2631578947368418E-2</v>
      </c>
      <c r="J60" s="206" t="s">
        <v>114</v>
      </c>
      <c r="K60" s="204"/>
      <c r="L60" s="19"/>
    </row>
    <row r="61" spans="1:12" s="197" customFormat="1" ht="48">
      <c r="A61" s="198" t="s">
        <v>1901</v>
      </c>
      <c r="B61" s="199" t="s">
        <v>16</v>
      </c>
      <c r="C61" s="199" t="s">
        <v>17</v>
      </c>
      <c r="D61" s="208" t="s">
        <v>1755</v>
      </c>
      <c r="E61" s="210" t="s">
        <v>1907</v>
      </c>
      <c r="F61" s="202" t="str">
        <f>VLOOKUP(D61,CSR!$D$4:$E$1180,2,FALSE)</f>
        <v>CSR_11402</v>
      </c>
      <c r="G61" s="203">
        <v>45961</v>
      </c>
      <c r="H61" s="204">
        <v>3</v>
      </c>
      <c r="I61" s="205">
        <f t="shared" si="0"/>
        <v>0.15789473684210525</v>
      </c>
      <c r="J61" s="206" t="s">
        <v>114</v>
      </c>
      <c r="K61" s="208"/>
      <c r="L61" s="19"/>
    </row>
    <row r="62" spans="1:12" s="197" customFormat="1" ht="32">
      <c r="A62" s="198" t="s">
        <v>1722</v>
      </c>
      <c r="B62" s="199" t="s">
        <v>16</v>
      </c>
      <c r="C62" s="199" t="s">
        <v>17</v>
      </c>
      <c r="D62" s="208" t="s">
        <v>18</v>
      </c>
      <c r="E62" s="208" t="s">
        <v>1937</v>
      </c>
      <c r="F62" s="202" t="str">
        <f>VLOOKUP(D62,CSR!$D$4:$E$1180,2,FALSE)</f>
        <v>CSR_11300</v>
      </c>
      <c r="G62" s="203">
        <v>45968</v>
      </c>
      <c r="H62" s="208">
        <v>3</v>
      </c>
      <c r="I62" s="205">
        <f t="shared" si="0"/>
        <v>0.15789473684210525</v>
      </c>
      <c r="J62" s="206" t="s">
        <v>114</v>
      </c>
      <c r="K62" s="204"/>
      <c r="L62" s="19"/>
    </row>
    <row r="63" spans="1:12" s="197" customFormat="1" ht="48">
      <c r="A63" s="198" t="s">
        <v>1722</v>
      </c>
      <c r="B63" s="199" t="s">
        <v>16</v>
      </c>
      <c r="C63" s="199" t="s">
        <v>17</v>
      </c>
      <c r="D63" s="208" t="s">
        <v>1755</v>
      </c>
      <c r="E63" s="210" t="s">
        <v>1918</v>
      </c>
      <c r="F63" s="202" t="str">
        <f>VLOOKUP(D63,CSR!$D$4:$E$1180,2,FALSE)</f>
        <v>CSR_11402</v>
      </c>
      <c r="G63" s="203">
        <v>45968</v>
      </c>
      <c r="H63" s="208">
        <v>1</v>
      </c>
      <c r="I63" s="205">
        <f t="shared" si="0"/>
        <v>5.2631578947368418E-2</v>
      </c>
      <c r="J63" s="199" t="s">
        <v>114</v>
      </c>
      <c r="K63" s="204"/>
      <c r="L63" s="19"/>
    </row>
    <row r="64" spans="1:12" s="197" customFormat="1" ht="48">
      <c r="A64" s="198" t="s">
        <v>1722</v>
      </c>
      <c r="B64" s="199" t="s">
        <v>16</v>
      </c>
      <c r="C64" s="199" t="s">
        <v>17</v>
      </c>
      <c r="D64" s="208" t="s">
        <v>1755</v>
      </c>
      <c r="E64" s="210" t="s">
        <v>1931</v>
      </c>
      <c r="F64" s="202" t="str">
        <f>VLOOKUP(D64,CSR!$D$4:$E$1180,2,FALSE)</f>
        <v>CSR_11402</v>
      </c>
      <c r="G64" s="203">
        <v>45975</v>
      </c>
      <c r="H64" s="208">
        <v>2</v>
      </c>
      <c r="I64" s="205">
        <f t="shared" si="0"/>
        <v>0.10526315789473684</v>
      </c>
      <c r="J64" s="199" t="s">
        <v>114</v>
      </c>
      <c r="K64" s="204"/>
      <c r="L64" s="19"/>
    </row>
    <row r="65" spans="1:12" s="197" customFormat="1" ht="48">
      <c r="A65" s="198" t="s">
        <v>1722</v>
      </c>
      <c r="B65" s="199" t="s">
        <v>16</v>
      </c>
      <c r="C65" s="199" t="s">
        <v>17</v>
      </c>
      <c r="D65" s="208" t="s">
        <v>1755</v>
      </c>
      <c r="E65" s="210" t="s">
        <v>1932</v>
      </c>
      <c r="F65" s="202" t="str">
        <f>VLOOKUP(D65,CSR!$D$4:$E$1180,2,FALSE)</f>
        <v>CSR_11402</v>
      </c>
      <c r="G65" s="203">
        <v>45975</v>
      </c>
      <c r="H65" s="208">
        <v>2</v>
      </c>
      <c r="I65" s="205">
        <f t="shared" si="0"/>
        <v>0.10526315789473684</v>
      </c>
      <c r="J65" s="199" t="s">
        <v>114</v>
      </c>
      <c r="K65" s="204"/>
      <c r="L65" s="19"/>
    </row>
    <row r="66" spans="1:12" s="197" customFormat="1" ht="32">
      <c r="A66" s="198" t="s">
        <v>1722</v>
      </c>
      <c r="B66" s="199" t="s">
        <v>16</v>
      </c>
      <c r="C66" s="199" t="s">
        <v>17</v>
      </c>
      <c r="D66" s="200" t="s">
        <v>18</v>
      </c>
      <c r="E66" s="210" t="s">
        <v>1569</v>
      </c>
      <c r="F66" s="202" t="str">
        <f>VLOOKUP(D66,CSR!$D$4:$E$1180,2,FALSE)</f>
        <v>CSR_11300</v>
      </c>
      <c r="G66" s="203">
        <v>45981</v>
      </c>
      <c r="H66" s="204">
        <v>2</v>
      </c>
      <c r="I66" s="205">
        <f t="shared" ref="I66:I89" si="1">H66*10/190</f>
        <v>0.10526315789473684</v>
      </c>
      <c r="J66" s="206" t="s">
        <v>114</v>
      </c>
      <c r="K66" s="204"/>
      <c r="L66" s="19"/>
    </row>
    <row r="67" spans="1:12" s="197" customFormat="1" ht="48">
      <c r="A67" s="198" t="s">
        <v>1722</v>
      </c>
      <c r="B67" s="199" t="s">
        <v>16</v>
      </c>
      <c r="C67" s="199" t="s">
        <v>17</v>
      </c>
      <c r="D67" s="208" t="s">
        <v>1755</v>
      </c>
      <c r="E67" s="210" t="s">
        <v>1932</v>
      </c>
      <c r="F67" s="202" t="str">
        <f>VLOOKUP(D67,CSR!$D$4:$E$1180,2,FALSE)</f>
        <v>CSR_11402</v>
      </c>
      <c r="G67" s="203">
        <v>45981</v>
      </c>
      <c r="H67" s="208">
        <v>2</v>
      </c>
      <c r="I67" s="205">
        <f t="shared" si="1"/>
        <v>0.10526315789473684</v>
      </c>
      <c r="J67" s="199" t="s">
        <v>114</v>
      </c>
      <c r="K67" s="204"/>
      <c r="L67" s="19"/>
    </row>
    <row r="68" spans="1:12" s="197" customFormat="1" ht="32">
      <c r="A68" s="198" t="s">
        <v>1901</v>
      </c>
      <c r="B68" s="199" t="s">
        <v>49</v>
      </c>
      <c r="C68" s="199" t="s">
        <v>175</v>
      </c>
      <c r="D68" s="208" t="s">
        <v>191</v>
      </c>
      <c r="E68" s="218" t="s">
        <v>1938</v>
      </c>
      <c r="F68" s="202" t="str">
        <f>VLOOKUP(D68,CSR!$D$4:$E$1180,2,FALSE)</f>
        <v>CSR_40300</v>
      </c>
      <c r="G68" s="203">
        <v>45954</v>
      </c>
      <c r="H68" s="204">
        <v>2</v>
      </c>
      <c r="I68" s="205">
        <f t="shared" si="1"/>
        <v>0.10526315789473684</v>
      </c>
      <c r="J68" s="206" t="s">
        <v>125</v>
      </c>
      <c r="K68" s="204"/>
      <c r="L68" s="19"/>
    </row>
    <row r="69" spans="1:12" s="197" customFormat="1" ht="32">
      <c r="A69" s="198" t="s">
        <v>1901</v>
      </c>
      <c r="B69" s="199" t="s">
        <v>49</v>
      </c>
      <c r="C69" s="199" t="s">
        <v>175</v>
      </c>
      <c r="D69" s="208" t="s">
        <v>191</v>
      </c>
      <c r="E69" s="218" t="s">
        <v>1939</v>
      </c>
      <c r="F69" s="202" t="str">
        <f>VLOOKUP(D69,CSR!$D$4:$E$1180,2,FALSE)</f>
        <v>CSR_40300</v>
      </c>
      <c r="G69" s="203">
        <v>45954</v>
      </c>
      <c r="H69" s="218">
        <v>1</v>
      </c>
      <c r="I69" s="205">
        <f t="shared" si="1"/>
        <v>5.2631578947368418E-2</v>
      </c>
      <c r="J69" s="199" t="s">
        <v>125</v>
      </c>
      <c r="K69" s="208"/>
      <c r="L69" s="19"/>
    </row>
    <row r="70" spans="1:12" s="197" customFormat="1" ht="48">
      <c r="A70" s="198" t="s">
        <v>1901</v>
      </c>
      <c r="B70" s="199" t="s">
        <v>16</v>
      </c>
      <c r="C70" s="199" t="s">
        <v>17</v>
      </c>
      <c r="D70" s="208" t="s">
        <v>1755</v>
      </c>
      <c r="E70" s="210" t="s">
        <v>1918</v>
      </c>
      <c r="F70" s="202" t="str">
        <f>VLOOKUP(D70,CSR!$D$4:$E$1180,2,FALSE)</f>
        <v>CSR_11402</v>
      </c>
      <c r="G70" s="203">
        <v>45961</v>
      </c>
      <c r="H70" s="208">
        <v>3</v>
      </c>
      <c r="I70" s="205">
        <f t="shared" si="1"/>
        <v>0.15789473684210525</v>
      </c>
      <c r="J70" s="199" t="s">
        <v>125</v>
      </c>
      <c r="K70" s="204"/>
      <c r="L70" s="19"/>
    </row>
    <row r="71" spans="1:12" s="197" customFormat="1" ht="32">
      <c r="A71" s="198" t="s">
        <v>1901</v>
      </c>
      <c r="B71" s="199" t="s">
        <v>49</v>
      </c>
      <c r="C71" s="199" t="s">
        <v>175</v>
      </c>
      <c r="D71" s="208" t="s">
        <v>176</v>
      </c>
      <c r="E71" s="201" t="s">
        <v>1940</v>
      </c>
      <c r="F71" s="202" t="str">
        <f>VLOOKUP(D71,CSR!$D$4:$E$1180,2,FALSE)</f>
        <v>CSR_40700</v>
      </c>
      <c r="G71" s="203">
        <v>45961</v>
      </c>
      <c r="H71" s="204">
        <v>1</v>
      </c>
      <c r="I71" s="205">
        <f t="shared" si="1"/>
        <v>5.2631578947368418E-2</v>
      </c>
      <c r="J71" s="206" t="s">
        <v>125</v>
      </c>
      <c r="K71" s="204"/>
      <c r="L71" s="19"/>
    </row>
    <row r="72" spans="1:12" s="197" customFormat="1" ht="48">
      <c r="A72" s="198" t="s">
        <v>1722</v>
      </c>
      <c r="B72" s="199" t="s">
        <v>16</v>
      </c>
      <c r="C72" s="199" t="s">
        <v>17</v>
      </c>
      <c r="D72" s="208" t="s">
        <v>1755</v>
      </c>
      <c r="E72" s="210" t="s">
        <v>1918</v>
      </c>
      <c r="F72" s="202" t="str">
        <f>VLOOKUP(D72,CSR!$D$4:$E$1180,2,FALSE)</f>
        <v>CSR_11402</v>
      </c>
      <c r="G72" s="203">
        <v>45968</v>
      </c>
      <c r="H72" s="208">
        <v>2</v>
      </c>
      <c r="I72" s="205">
        <f t="shared" si="1"/>
        <v>0.10526315789473684</v>
      </c>
      <c r="J72" s="199" t="s">
        <v>125</v>
      </c>
      <c r="K72" s="204"/>
      <c r="L72" s="19"/>
    </row>
    <row r="73" spans="1:12" s="197" customFormat="1" ht="32">
      <c r="A73" s="198" t="s">
        <v>1722</v>
      </c>
      <c r="B73" s="199" t="s">
        <v>49</v>
      </c>
      <c r="C73" s="199" t="s">
        <v>175</v>
      </c>
      <c r="D73" s="210" t="s">
        <v>176</v>
      </c>
      <c r="E73" s="201" t="s">
        <v>1941</v>
      </c>
      <c r="F73" s="202" t="str">
        <f>VLOOKUP(D73,CSR!$D$4:$E$1180,2,FALSE)</f>
        <v>CSR_40700</v>
      </c>
      <c r="G73" s="203">
        <v>45968</v>
      </c>
      <c r="H73" s="204">
        <v>2</v>
      </c>
      <c r="I73" s="205">
        <f t="shared" si="1"/>
        <v>0.10526315789473684</v>
      </c>
      <c r="J73" s="206" t="s">
        <v>125</v>
      </c>
      <c r="K73" s="204"/>
      <c r="L73" s="19"/>
    </row>
    <row r="74" spans="1:12" s="197" customFormat="1" ht="48">
      <c r="A74" s="198" t="s">
        <v>1722</v>
      </c>
      <c r="B74" s="199" t="s">
        <v>16</v>
      </c>
      <c r="C74" s="199" t="s">
        <v>17</v>
      </c>
      <c r="D74" s="208" t="s">
        <v>1755</v>
      </c>
      <c r="E74" s="210" t="s">
        <v>1918</v>
      </c>
      <c r="F74" s="202" t="str">
        <f>VLOOKUP(D74,CSR!$D$4:$E$1180,2,FALSE)</f>
        <v>CSR_11402</v>
      </c>
      <c r="G74" s="203">
        <v>45975</v>
      </c>
      <c r="H74" s="208">
        <v>2</v>
      </c>
      <c r="I74" s="205">
        <f t="shared" si="1"/>
        <v>0.10526315789473684</v>
      </c>
      <c r="J74" s="199" t="s">
        <v>125</v>
      </c>
      <c r="K74" s="204"/>
      <c r="L74" s="19"/>
    </row>
    <row r="75" spans="1:12" s="197" customFormat="1" ht="48">
      <c r="A75" s="198" t="s">
        <v>1722</v>
      </c>
      <c r="B75" s="199" t="s">
        <v>16</v>
      </c>
      <c r="C75" s="199" t="s">
        <v>17</v>
      </c>
      <c r="D75" s="208" t="s">
        <v>1755</v>
      </c>
      <c r="E75" s="210" t="s">
        <v>1932</v>
      </c>
      <c r="F75" s="202" t="str">
        <f>VLOOKUP(D75,CSR!$D$4:$E$1180,2,FALSE)</f>
        <v>CSR_11402</v>
      </c>
      <c r="G75" s="203">
        <v>45975</v>
      </c>
      <c r="H75" s="208">
        <v>1</v>
      </c>
      <c r="I75" s="205">
        <f t="shared" si="1"/>
        <v>5.2631578947368418E-2</v>
      </c>
      <c r="J75" s="199" t="s">
        <v>125</v>
      </c>
      <c r="K75" s="204"/>
      <c r="L75" s="19"/>
    </row>
    <row r="76" spans="1:12" s="197" customFormat="1" ht="32">
      <c r="A76" s="198" t="s">
        <v>1722</v>
      </c>
      <c r="B76" s="199" t="s">
        <v>49</v>
      </c>
      <c r="C76" s="199" t="s">
        <v>175</v>
      </c>
      <c r="D76" s="210" t="s">
        <v>176</v>
      </c>
      <c r="E76" s="201" t="s">
        <v>1941</v>
      </c>
      <c r="F76" s="202" t="str">
        <f>VLOOKUP(D76,CSR!$D$4:$E$1180,2,FALSE)</f>
        <v>CSR_40700</v>
      </c>
      <c r="G76" s="203">
        <v>45975</v>
      </c>
      <c r="H76" s="204">
        <v>1</v>
      </c>
      <c r="I76" s="205">
        <f t="shared" si="1"/>
        <v>5.2631578947368418E-2</v>
      </c>
      <c r="J76" s="206" t="s">
        <v>125</v>
      </c>
      <c r="K76" s="204"/>
      <c r="L76" s="19"/>
    </row>
    <row r="77" spans="1:12" s="197" customFormat="1" ht="48">
      <c r="A77" s="198" t="s">
        <v>1722</v>
      </c>
      <c r="B77" s="199" t="s">
        <v>16</v>
      </c>
      <c r="C77" s="199" t="s">
        <v>17</v>
      </c>
      <c r="D77" s="208" t="s">
        <v>1755</v>
      </c>
      <c r="E77" s="210" t="s">
        <v>1932</v>
      </c>
      <c r="F77" s="202" t="str">
        <f>VLOOKUP(D77,CSR!$D$4:$E$1180,2,FALSE)</f>
        <v>CSR_11402</v>
      </c>
      <c r="G77" s="203">
        <v>45981</v>
      </c>
      <c r="H77" s="208">
        <v>2</v>
      </c>
      <c r="I77" s="205">
        <f t="shared" si="1"/>
        <v>0.10526315789473684</v>
      </c>
      <c r="J77" s="199" t="s">
        <v>125</v>
      </c>
      <c r="K77" s="204"/>
      <c r="L77" s="19"/>
    </row>
    <row r="78" spans="1:12" s="197" customFormat="1" ht="48">
      <c r="A78" s="198" t="s">
        <v>1722</v>
      </c>
      <c r="B78" s="199" t="s">
        <v>16</v>
      </c>
      <c r="C78" s="199" t="s">
        <v>17</v>
      </c>
      <c r="D78" s="208" t="s">
        <v>1755</v>
      </c>
      <c r="E78" s="210" t="s">
        <v>1933</v>
      </c>
      <c r="F78" s="202" t="str">
        <f>VLOOKUP(D78,CSR!$D$4:$E$1180,2,FALSE)</f>
        <v>CSR_11402</v>
      </c>
      <c r="G78" s="203">
        <v>45981</v>
      </c>
      <c r="H78" s="208">
        <v>2</v>
      </c>
      <c r="I78" s="205">
        <f t="shared" si="1"/>
        <v>0.10526315789473684</v>
      </c>
      <c r="J78" s="199" t="s">
        <v>125</v>
      </c>
      <c r="K78" s="204"/>
      <c r="L78" s="19"/>
    </row>
    <row r="79" spans="1:12" s="197" customFormat="1" ht="32">
      <c r="A79" s="198" t="s">
        <v>1901</v>
      </c>
      <c r="B79" s="199" t="s">
        <v>16</v>
      </c>
      <c r="C79" s="199" t="s">
        <v>17</v>
      </c>
      <c r="D79" s="210" t="s">
        <v>651</v>
      </c>
      <c r="E79" s="210" t="s">
        <v>1942</v>
      </c>
      <c r="F79" s="202" t="str">
        <f>VLOOKUP(D79,CSR!$D$4:$E$1180,2,FALSE)</f>
        <v>CSR_11302</v>
      </c>
      <c r="G79" s="203">
        <v>45954</v>
      </c>
      <c r="H79" s="204">
        <v>1</v>
      </c>
      <c r="I79" s="205">
        <f t="shared" si="1"/>
        <v>5.2631578947368418E-2</v>
      </c>
      <c r="J79" s="199" t="s">
        <v>134</v>
      </c>
      <c r="K79" s="204"/>
      <c r="L79" s="19"/>
    </row>
    <row r="80" spans="1:12" s="197" customFormat="1" ht="32">
      <c r="A80" s="198" t="s">
        <v>1901</v>
      </c>
      <c r="B80" s="199" t="s">
        <v>70</v>
      </c>
      <c r="C80" s="199" t="s">
        <v>71</v>
      </c>
      <c r="D80" s="200" t="s">
        <v>72</v>
      </c>
      <c r="E80" s="201" t="s">
        <v>1943</v>
      </c>
      <c r="F80" s="202" t="str">
        <f>VLOOKUP(D80,CSR!$D$4:$E$1180,2,FALSE)</f>
        <v>CSR_20400</v>
      </c>
      <c r="G80" s="203">
        <v>45954</v>
      </c>
      <c r="H80" s="204">
        <v>2</v>
      </c>
      <c r="I80" s="205">
        <f t="shared" si="1"/>
        <v>0.10526315789473684</v>
      </c>
      <c r="J80" s="199" t="s">
        <v>134</v>
      </c>
      <c r="K80" s="208"/>
      <c r="L80" s="19"/>
    </row>
    <row r="81" spans="1:12" s="197" customFormat="1" ht="48">
      <c r="A81" s="198" t="s">
        <v>1901</v>
      </c>
      <c r="B81" s="199" t="s">
        <v>31</v>
      </c>
      <c r="C81" s="198" t="s">
        <v>32</v>
      </c>
      <c r="D81" s="200" t="s">
        <v>199</v>
      </c>
      <c r="E81" s="201" t="s">
        <v>1944</v>
      </c>
      <c r="F81" s="202" t="str">
        <f>VLOOKUP(D81,CSR!$D$4:$E$1180,2,FALSE)</f>
        <v>CSR_30000</v>
      </c>
      <c r="G81" s="203">
        <v>45961</v>
      </c>
      <c r="H81" s="208">
        <v>1</v>
      </c>
      <c r="I81" s="205">
        <f t="shared" si="1"/>
        <v>5.2631578947368418E-2</v>
      </c>
      <c r="J81" s="206" t="s">
        <v>134</v>
      </c>
      <c r="K81" s="204"/>
      <c r="L81" s="19"/>
    </row>
    <row r="82" spans="1:12" s="197" customFormat="1" ht="32">
      <c r="A82" s="198" t="s">
        <v>1901</v>
      </c>
      <c r="B82" s="199" t="s">
        <v>49</v>
      </c>
      <c r="C82" s="199" t="s">
        <v>175</v>
      </c>
      <c r="D82" s="208" t="s">
        <v>187</v>
      </c>
      <c r="E82" s="210" t="s">
        <v>1945</v>
      </c>
      <c r="F82" s="202" t="str">
        <f>VLOOKUP(D82,CSR!$D$4:$E$1180,2,FALSE)</f>
        <v>CSR_40400</v>
      </c>
      <c r="G82" s="203">
        <v>45961</v>
      </c>
      <c r="H82" s="218">
        <v>3</v>
      </c>
      <c r="I82" s="205">
        <f t="shared" si="1"/>
        <v>0.15789473684210525</v>
      </c>
      <c r="J82" s="206" t="s">
        <v>134</v>
      </c>
      <c r="K82" s="204"/>
      <c r="L82" s="19"/>
    </row>
    <row r="83" spans="1:12" s="197" customFormat="1" ht="48">
      <c r="A83" s="198" t="s">
        <v>1722</v>
      </c>
      <c r="B83" s="199" t="s">
        <v>16</v>
      </c>
      <c r="C83" s="199" t="s">
        <v>17</v>
      </c>
      <c r="D83" s="208" t="s">
        <v>1755</v>
      </c>
      <c r="E83" s="210" t="s">
        <v>1918</v>
      </c>
      <c r="F83" s="202" t="str">
        <f>VLOOKUP(D83,CSR!$D$4:$E$1180,2,FALSE)</f>
        <v>CSR_11402</v>
      </c>
      <c r="G83" s="203">
        <v>45968</v>
      </c>
      <c r="H83" s="208">
        <v>3</v>
      </c>
      <c r="I83" s="205">
        <f t="shared" si="1"/>
        <v>0.15789473684210525</v>
      </c>
      <c r="J83" s="199" t="s">
        <v>134</v>
      </c>
      <c r="K83" s="204"/>
      <c r="L83" s="19"/>
    </row>
    <row r="84" spans="1:12" s="197" customFormat="1" ht="32">
      <c r="A84" s="198" t="s">
        <v>1722</v>
      </c>
      <c r="B84" s="199" t="s">
        <v>31</v>
      </c>
      <c r="C84" s="198" t="s">
        <v>32</v>
      </c>
      <c r="D84" s="200" t="s">
        <v>199</v>
      </c>
      <c r="E84" s="218" t="s">
        <v>1946</v>
      </c>
      <c r="F84" s="202" t="str">
        <f>VLOOKUP(D84,CSR!$D$4:$E$1180,2,FALSE)</f>
        <v>CSR_30000</v>
      </c>
      <c r="G84" s="203">
        <v>45968</v>
      </c>
      <c r="H84" s="208">
        <v>1</v>
      </c>
      <c r="I84" s="205">
        <f t="shared" si="1"/>
        <v>5.2631578947368418E-2</v>
      </c>
      <c r="J84" s="199" t="s">
        <v>134</v>
      </c>
      <c r="K84" s="204"/>
      <c r="L84" s="19"/>
    </row>
    <row r="85" spans="1:12" s="197" customFormat="1" ht="48">
      <c r="A85" s="198" t="s">
        <v>1722</v>
      </c>
      <c r="B85" s="199" t="s">
        <v>16</v>
      </c>
      <c r="C85" s="199" t="s">
        <v>17</v>
      </c>
      <c r="D85" s="208" t="s">
        <v>1755</v>
      </c>
      <c r="E85" s="210" t="s">
        <v>1918</v>
      </c>
      <c r="F85" s="202" t="str">
        <f>VLOOKUP(D85,CSR!$D$4:$E$1180,2,FALSE)</f>
        <v>CSR_11402</v>
      </c>
      <c r="G85" s="203">
        <v>45975</v>
      </c>
      <c r="H85" s="208">
        <v>3</v>
      </c>
      <c r="I85" s="205">
        <f t="shared" si="1"/>
        <v>0.15789473684210525</v>
      </c>
      <c r="J85" s="199" t="s">
        <v>134</v>
      </c>
      <c r="K85" s="204"/>
      <c r="L85" s="19"/>
    </row>
    <row r="86" spans="1:12" s="197" customFormat="1" ht="48">
      <c r="A86" s="198" t="s">
        <v>1722</v>
      </c>
      <c r="B86" s="199" t="s">
        <v>31</v>
      </c>
      <c r="C86" s="198" t="s">
        <v>32</v>
      </c>
      <c r="D86" s="200" t="s">
        <v>199</v>
      </c>
      <c r="E86" s="201" t="s">
        <v>1947</v>
      </c>
      <c r="F86" s="202" t="str">
        <f>VLOOKUP(D86,CSR!$D$4:$E$1180,2,FALSE)</f>
        <v>CSR_30000</v>
      </c>
      <c r="G86" s="203">
        <v>45975</v>
      </c>
      <c r="H86" s="208">
        <v>1</v>
      </c>
      <c r="I86" s="205">
        <f t="shared" si="1"/>
        <v>5.2631578947368418E-2</v>
      </c>
      <c r="J86" s="206" t="s">
        <v>134</v>
      </c>
      <c r="K86" s="204"/>
      <c r="L86" s="19"/>
    </row>
    <row r="87" spans="1:12" s="197" customFormat="1" ht="48">
      <c r="A87" s="198" t="s">
        <v>1722</v>
      </c>
      <c r="B87" s="199" t="s">
        <v>16</v>
      </c>
      <c r="C87" s="199" t="s">
        <v>17</v>
      </c>
      <c r="D87" s="208" t="s">
        <v>1755</v>
      </c>
      <c r="E87" s="210" t="s">
        <v>1932</v>
      </c>
      <c r="F87" s="202" t="str">
        <f>VLOOKUP(D87,CSR!$D$4:$E$1180,2,FALSE)</f>
        <v>CSR_11402</v>
      </c>
      <c r="G87" s="203">
        <v>45981</v>
      </c>
      <c r="H87" s="204">
        <v>2</v>
      </c>
      <c r="I87" s="205">
        <f t="shared" si="1"/>
        <v>0.10526315789473684</v>
      </c>
      <c r="J87" s="206" t="s">
        <v>134</v>
      </c>
      <c r="K87" s="204"/>
      <c r="L87" s="19"/>
    </row>
    <row r="88" spans="1:12" s="197" customFormat="1" ht="48">
      <c r="A88" s="198" t="s">
        <v>1722</v>
      </c>
      <c r="B88" s="199" t="s">
        <v>16</v>
      </c>
      <c r="C88" s="199" t="s">
        <v>17</v>
      </c>
      <c r="D88" s="208" t="s">
        <v>1755</v>
      </c>
      <c r="E88" s="210" t="s">
        <v>1933</v>
      </c>
      <c r="F88" s="202" t="str">
        <f>VLOOKUP(D88,CSR!$D$4:$E$1180,2,FALSE)</f>
        <v>CSR_11402</v>
      </c>
      <c r="G88" s="203">
        <v>45981</v>
      </c>
      <c r="H88" s="208">
        <v>1</v>
      </c>
      <c r="I88" s="205">
        <f t="shared" si="1"/>
        <v>5.2631578947368418E-2</v>
      </c>
      <c r="J88" s="199" t="s">
        <v>134</v>
      </c>
      <c r="K88" s="204"/>
      <c r="L88" s="19"/>
    </row>
    <row r="89" spans="1:12" s="197" customFormat="1" ht="48">
      <c r="A89" s="198" t="s">
        <v>1722</v>
      </c>
      <c r="B89" s="199" t="s">
        <v>31</v>
      </c>
      <c r="C89" s="198" t="s">
        <v>32</v>
      </c>
      <c r="D89" s="200" t="s">
        <v>199</v>
      </c>
      <c r="E89" s="201" t="s">
        <v>1948</v>
      </c>
      <c r="F89" s="202" t="str">
        <f>VLOOKUP(D89,CSR!$D$4:$E$1180,2,FALSE)</f>
        <v>CSR_30000</v>
      </c>
      <c r="G89" s="203">
        <v>45981</v>
      </c>
      <c r="H89" s="208">
        <v>1</v>
      </c>
      <c r="I89" s="205">
        <f t="shared" si="1"/>
        <v>5.2631578947368418E-2</v>
      </c>
      <c r="J89" s="206" t="s">
        <v>134</v>
      </c>
      <c r="K89" s="204"/>
      <c r="L89" s="19"/>
    </row>
    <row r="90" spans="1:12" s="197" customFormat="1" ht="48">
      <c r="A90" s="198" t="s">
        <v>1949</v>
      </c>
      <c r="B90" s="199" t="s">
        <v>16</v>
      </c>
      <c r="C90" s="199" t="s">
        <v>17</v>
      </c>
      <c r="D90" s="208" t="s">
        <v>1755</v>
      </c>
      <c r="E90" s="210" t="s">
        <v>1950</v>
      </c>
      <c r="F90" s="202" t="str">
        <f>VLOOKUP(D90,CSR!$D$4:$E$1180,2,FALSE)</f>
        <v>CSR_11402</v>
      </c>
      <c r="G90" s="203">
        <v>45954</v>
      </c>
      <c r="H90" s="208">
        <v>3</v>
      </c>
      <c r="I90" s="205">
        <v>0.15789473684210525</v>
      </c>
      <c r="J90" s="206" t="s">
        <v>142</v>
      </c>
      <c r="K90" s="204"/>
      <c r="L90" s="19"/>
    </row>
    <row r="91" spans="1:12" s="197" customFormat="1" ht="48">
      <c r="A91" s="198" t="s">
        <v>1949</v>
      </c>
      <c r="B91" s="199" t="s">
        <v>16</v>
      </c>
      <c r="C91" s="199" t="s">
        <v>17</v>
      </c>
      <c r="D91" s="208" t="s">
        <v>1755</v>
      </c>
      <c r="E91" s="210" t="s">
        <v>1950</v>
      </c>
      <c r="F91" s="202" t="str">
        <f>VLOOKUP(D91,CSR!$D$4:$E$1180,2,FALSE)</f>
        <v>CSR_11402</v>
      </c>
      <c r="G91" s="203">
        <v>45954</v>
      </c>
      <c r="H91" s="208">
        <v>2</v>
      </c>
      <c r="I91" s="205">
        <v>0.10526315789473684</v>
      </c>
      <c r="J91" s="206" t="s">
        <v>142</v>
      </c>
      <c r="K91" s="204"/>
      <c r="L91" s="19"/>
    </row>
    <row r="92" spans="1:12" s="197" customFormat="1" ht="32">
      <c r="A92" s="198" t="s">
        <v>1949</v>
      </c>
      <c r="B92" s="199" t="s">
        <v>16</v>
      </c>
      <c r="C92" s="199" t="s">
        <v>17</v>
      </c>
      <c r="D92" s="208" t="s">
        <v>1755</v>
      </c>
      <c r="E92" s="210" t="s">
        <v>1951</v>
      </c>
      <c r="F92" s="202" t="str">
        <f>VLOOKUP(D92,CSR!$D$4:$E$1180,2,FALSE)</f>
        <v>CSR_11402</v>
      </c>
      <c r="G92" s="203">
        <v>45961</v>
      </c>
      <c r="H92" s="208">
        <v>5</v>
      </c>
      <c r="I92" s="205">
        <v>0.26315789473684209</v>
      </c>
      <c r="J92" s="206" t="s">
        <v>142</v>
      </c>
      <c r="K92" s="204"/>
      <c r="L92" s="19"/>
    </row>
    <row r="93" spans="1:12" s="197" customFormat="1" ht="32">
      <c r="A93" s="198" t="s">
        <v>1783</v>
      </c>
      <c r="B93" s="199" t="s">
        <v>16</v>
      </c>
      <c r="C93" s="199" t="s">
        <v>17</v>
      </c>
      <c r="D93" s="208" t="s">
        <v>1755</v>
      </c>
      <c r="E93" s="210" t="s">
        <v>1951</v>
      </c>
      <c r="F93" s="202" t="str">
        <f>VLOOKUP(D93,CSR!$D$4:$E$1180,2,FALSE)</f>
        <v>CSR_11402</v>
      </c>
      <c r="G93" s="203">
        <v>45968</v>
      </c>
      <c r="H93" s="208">
        <v>5</v>
      </c>
      <c r="I93" s="205">
        <v>0.26315789473684209</v>
      </c>
      <c r="J93" s="206" t="s">
        <v>142</v>
      </c>
      <c r="K93" s="204"/>
      <c r="L93" s="19"/>
    </row>
    <row r="94" spans="1:12" s="197" customFormat="1" ht="48">
      <c r="A94" s="198" t="s">
        <v>1783</v>
      </c>
      <c r="B94" s="199" t="s">
        <v>16</v>
      </c>
      <c r="C94" s="199" t="s">
        <v>17</v>
      </c>
      <c r="D94" s="208" t="s">
        <v>1755</v>
      </c>
      <c r="E94" s="210" t="s">
        <v>1952</v>
      </c>
      <c r="F94" s="202" t="str">
        <f>VLOOKUP(D94,CSR!$D$4:$E$1180,2,FALSE)</f>
        <v>CSR_11402</v>
      </c>
      <c r="G94" s="203">
        <v>45972</v>
      </c>
      <c r="H94" s="208">
        <v>2</v>
      </c>
      <c r="I94" s="205">
        <v>0.10526315789473684</v>
      </c>
      <c r="J94" s="206" t="s">
        <v>142</v>
      </c>
      <c r="K94" s="204"/>
      <c r="L94" s="19"/>
    </row>
    <row r="95" spans="1:12" s="197" customFormat="1" ht="32">
      <c r="A95" s="198" t="s">
        <v>1783</v>
      </c>
      <c r="B95" s="199" t="s">
        <v>1599</v>
      </c>
      <c r="C95" s="199" t="s">
        <v>1600</v>
      </c>
      <c r="D95" s="200" t="s">
        <v>33</v>
      </c>
      <c r="E95" s="201" t="s">
        <v>1953</v>
      </c>
      <c r="F95" s="202" t="str">
        <f>VLOOKUP(D95,CSR!$D$4:$E$1180,2,FALSE)</f>
        <v>CSR_30200</v>
      </c>
      <c r="G95" s="203">
        <v>45980</v>
      </c>
      <c r="H95" s="208">
        <v>1</v>
      </c>
      <c r="I95" s="205">
        <v>5.2631578947368418E-2</v>
      </c>
      <c r="J95" s="206" t="s">
        <v>142</v>
      </c>
      <c r="K95" s="204"/>
      <c r="L95" s="19"/>
    </row>
    <row r="96" spans="1:12" s="197" customFormat="1" ht="48">
      <c r="A96" s="198" t="s">
        <v>1783</v>
      </c>
      <c r="B96" s="199" t="s">
        <v>16</v>
      </c>
      <c r="C96" s="199" t="s">
        <v>17</v>
      </c>
      <c r="D96" s="208" t="s">
        <v>1755</v>
      </c>
      <c r="E96" s="210" t="s">
        <v>1954</v>
      </c>
      <c r="F96" s="202" t="str">
        <f>VLOOKUP(D96,CSR!$D$4:$E$1180,2,FALSE)</f>
        <v>CSR_11402</v>
      </c>
      <c r="G96" s="203">
        <v>45981</v>
      </c>
      <c r="H96" s="208">
        <v>1</v>
      </c>
      <c r="I96" s="205">
        <v>5.2631578947368418E-2</v>
      </c>
      <c r="J96" s="206" t="s">
        <v>142</v>
      </c>
      <c r="K96" s="204"/>
      <c r="L96" s="19"/>
    </row>
    <row r="97" spans="1:12" s="197" customFormat="1" ht="48">
      <c r="A97" s="198" t="s">
        <v>1949</v>
      </c>
      <c r="B97" s="199" t="s">
        <v>16</v>
      </c>
      <c r="C97" s="199" t="s">
        <v>17</v>
      </c>
      <c r="D97" s="208" t="s">
        <v>1755</v>
      </c>
      <c r="E97" s="210" t="s">
        <v>1955</v>
      </c>
      <c r="F97" s="202" t="s">
        <v>695</v>
      </c>
      <c r="G97" s="203">
        <v>45954</v>
      </c>
      <c r="H97" s="208">
        <v>3</v>
      </c>
      <c r="I97" s="205">
        <v>0.15789473684210525</v>
      </c>
      <c r="J97" s="206" t="s">
        <v>839</v>
      </c>
      <c r="K97" s="204"/>
      <c r="L97" s="19"/>
    </row>
    <row r="98" spans="1:12" s="197" customFormat="1" ht="48">
      <c r="A98" s="198" t="s">
        <v>1949</v>
      </c>
      <c r="B98" s="199" t="s">
        <v>16</v>
      </c>
      <c r="C98" s="199" t="s">
        <v>17</v>
      </c>
      <c r="D98" s="208" t="s">
        <v>1755</v>
      </c>
      <c r="E98" s="210" t="s">
        <v>1950</v>
      </c>
      <c r="F98" s="202" t="s">
        <v>695</v>
      </c>
      <c r="G98" s="203">
        <v>45954</v>
      </c>
      <c r="H98" s="208">
        <v>2</v>
      </c>
      <c r="I98" s="205">
        <v>0.10526315789473684</v>
      </c>
      <c r="J98" s="206" t="s">
        <v>839</v>
      </c>
      <c r="K98" s="204"/>
      <c r="L98" s="19"/>
    </row>
    <row r="99" spans="1:12" s="197" customFormat="1" ht="32">
      <c r="A99" s="198" t="s">
        <v>1949</v>
      </c>
      <c r="B99" s="199" t="s">
        <v>16</v>
      </c>
      <c r="C99" s="199" t="s">
        <v>17</v>
      </c>
      <c r="D99" s="208" t="s">
        <v>1755</v>
      </c>
      <c r="E99" s="210" t="s">
        <v>1951</v>
      </c>
      <c r="F99" s="202" t="s">
        <v>695</v>
      </c>
      <c r="G99" s="203">
        <v>45961</v>
      </c>
      <c r="H99" s="208">
        <v>5</v>
      </c>
      <c r="I99" s="205">
        <v>0.26315789473684209</v>
      </c>
      <c r="J99" s="206" t="s">
        <v>839</v>
      </c>
      <c r="K99" s="204"/>
      <c r="L99" s="19"/>
    </row>
    <row r="100" spans="1:12" s="197" customFormat="1" ht="32">
      <c r="A100" s="198" t="s">
        <v>1783</v>
      </c>
      <c r="B100" s="199" t="s">
        <v>16</v>
      </c>
      <c r="C100" s="199" t="s">
        <v>17</v>
      </c>
      <c r="D100" s="208" t="s">
        <v>1755</v>
      </c>
      <c r="E100" s="210" t="s">
        <v>1951</v>
      </c>
      <c r="F100" s="202" t="s">
        <v>695</v>
      </c>
      <c r="G100" s="203">
        <v>45968</v>
      </c>
      <c r="H100" s="208">
        <v>5</v>
      </c>
      <c r="I100" s="205">
        <v>0.26315789473684209</v>
      </c>
      <c r="J100" s="206" t="s">
        <v>839</v>
      </c>
      <c r="K100" s="204"/>
      <c r="L100" s="19"/>
    </row>
    <row r="101" spans="1:12" s="197" customFormat="1" ht="48">
      <c r="A101" s="198" t="s">
        <v>1783</v>
      </c>
      <c r="B101" s="199" t="s">
        <v>16</v>
      </c>
      <c r="C101" s="199" t="s">
        <v>17</v>
      </c>
      <c r="D101" s="208" t="s">
        <v>1755</v>
      </c>
      <c r="E101" s="210" t="s">
        <v>1956</v>
      </c>
      <c r="F101" s="202" t="s">
        <v>695</v>
      </c>
      <c r="G101" s="203">
        <v>45972</v>
      </c>
      <c r="H101" s="208">
        <v>2</v>
      </c>
      <c r="I101" s="205">
        <v>0.105263157894737</v>
      </c>
      <c r="J101" s="206" t="s">
        <v>839</v>
      </c>
      <c r="K101" s="204"/>
      <c r="L101" s="19"/>
    </row>
    <row r="102" spans="1:12" s="197" customFormat="1" ht="48">
      <c r="A102" s="198" t="s">
        <v>1783</v>
      </c>
      <c r="B102" s="199" t="s">
        <v>16</v>
      </c>
      <c r="C102" s="199" t="s">
        <v>17</v>
      </c>
      <c r="D102" s="208" t="s">
        <v>1755</v>
      </c>
      <c r="E102" s="210" t="s">
        <v>1954</v>
      </c>
      <c r="F102" s="202" t="s">
        <v>695</v>
      </c>
      <c r="G102" s="203">
        <v>45981</v>
      </c>
      <c r="H102" s="208">
        <v>2</v>
      </c>
      <c r="I102" s="205">
        <v>0.11</v>
      </c>
      <c r="J102" s="206" t="s">
        <v>839</v>
      </c>
      <c r="K102" s="204"/>
      <c r="L102" s="19"/>
    </row>
    <row r="103" spans="1:12" s="197" customFormat="1" ht="48">
      <c r="A103" s="198" t="s">
        <v>1901</v>
      </c>
      <c r="B103" s="199" t="s">
        <v>758</v>
      </c>
      <c r="C103" s="198" t="s">
        <v>32</v>
      </c>
      <c r="D103" s="208" t="s">
        <v>880</v>
      </c>
      <c r="E103" s="218" t="s">
        <v>842</v>
      </c>
      <c r="F103" s="202" t="str">
        <f>VLOOKUP(D103,CSR!$D$4:$E$1180,2,FALSE)</f>
        <v>CSR_30600</v>
      </c>
      <c r="G103" s="203">
        <v>45954</v>
      </c>
      <c r="H103" s="208">
        <v>3</v>
      </c>
      <c r="I103" s="205">
        <f t="shared" ref="I103:I166" si="2">H103*10/190</f>
        <v>0.15789473684210525</v>
      </c>
      <c r="J103" s="199" t="s">
        <v>160</v>
      </c>
      <c r="K103" s="204"/>
      <c r="L103" s="19"/>
    </row>
    <row r="104" spans="1:12" s="197" customFormat="1" ht="48">
      <c r="A104" s="198" t="s">
        <v>1901</v>
      </c>
      <c r="B104" s="199" t="s">
        <v>758</v>
      </c>
      <c r="C104" s="198" t="s">
        <v>32</v>
      </c>
      <c r="D104" s="208" t="s">
        <v>880</v>
      </c>
      <c r="E104" s="218" t="s">
        <v>842</v>
      </c>
      <c r="F104" s="202" t="str">
        <f>VLOOKUP(D104,CSR!$D$4:$E$1180,2,FALSE)</f>
        <v>CSR_30600</v>
      </c>
      <c r="G104" s="203">
        <v>45961</v>
      </c>
      <c r="H104" s="208">
        <v>4</v>
      </c>
      <c r="I104" s="205">
        <f t="shared" si="2"/>
        <v>0.21052631578947367</v>
      </c>
      <c r="J104" s="199" t="s">
        <v>160</v>
      </c>
      <c r="K104" s="208"/>
      <c r="L104" s="19"/>
    </row>
    <row r="105" spans="1:12" s="197" customFormat="1" ht="48">
      <c r="A105" s="198" t="s">
        <v>1722</v>
      </c>
      <c r="B105" s="199" t="s">
        <v>758</v>
      </c>
      <c r="C105" s="198" t="s">
        <v>32</v>
      </c>
      <c r="D105" s="208" t="s">
        <v>880</v>
      </c>
      <c r="E105" s="218" t="s">
        <v>842</v>
      </c>
      <c r="F105" s="202" t="str">
        <f>VLOOKUP(D105,CSR!$D$4:$E$1180,2,FALSE)</f>
        <v>CSR_30600</v>
      </c>
      <c r="G105" s="203">
        <v>45968</v>
      </c>
      <c r="H105" s="208">
        <v>4</v>
      </c>
      <c r="I105" s="205">
        <f t="shared" si="2"/>
        <v>0.21052631578947367</v>
      </c>
      <c r="J105" s="199" t="s">
        <v>160</v>
      </c>
      <c r="K105" s="204"/>
      <c r="L105" s="19"/>
    </row>
    <row r="106" spans="1:12" s="197" customFormat="1" ht="48">
      <c r="A106" s="198" t="s">
        <v>1722</v>
      </c>
      <c r="B106" s="199" t="s">
        <v>758</v>
      </c>
      <c r="C106" s="198" t="s">
        <v>32</v>
      </c>
      <c r="D106" s="208" t="s">
        <v>880</v>
      </c>
      <c r="E106" s="218" t="s">
        <v>842</v>
      </c>
      <c r="F106" s="202" t="str">
        <f>VLOOKUP(D106,CSR!$D$4:$E$1180,2,FALSE)</f>
        <v>CSR_30600</v>
      </c>
      <c r="G106" s="203">
        <v>45975</v>
      </c>
      <c r="H106" s="208">
        <v>4</v>
      </c>
      <c r="I106" s="205">
        <f t="shared" si="2"/>
        <v>0.21052631578947367</v>
      </c>
      <c r="J106" s="199" t="s">
        <v>160</v>
      </c>
      <c r="K106" s="208"/>
      <c r="L106" s="19"/>
    </row>
    <row r="107" spans="1:12" s="197" customFormat="1" ht="48">
      <c r="A107" s="198" t="s">
        <v>1722</v>
      </c>
      <c r="B107" s="199" t="s">
        <v>758</v>
      </c>
      <c r="C107" s="198" t="s">
        <v>32</v>
      </c>
      <c r="D107" s="208" t="s">
        <v>880</v>
      </c>
      <c r="E107" s="218" t="s">
        <v>842</v>
      </c>
      <c r="F107" s="202" t="str">
        <f>VLOOKUP(D107,CSR!$D$4:$E$1180,2,FALSE)</f>
        <v>CSR_30600</v>
      </c>
      <c r="G107" s="203">
        <v>45981</v>
      </c>
      <c r="H107" s="208">
        <v>4</v>
      </c>
      <c r="I107" s="205">
        <f t="shared" si="2"/>
        <v>0.21052631578947367</v>
      </c>
      <c r="J107" s="199" t="s">
        <v>160</v>
      </c>
      <c r="K107" s="204"/>
      <c r="L107" s="19"/>
    </row>
    <row r="108" spans="1:12" s="197" customFormat="1" ht="64">
      <c r="A108" s="198" t="s">
        <v>1722</v>
      </c>
      <c r="B108" s="199" t="s">
        <v>16</v>
      </c>
      <c r="C108" s="199" t="s">
        <v>17</v>
      </c>
      <c r="D108" s="208" t="s">
        <v>1755</v>
      </c>
      <c r="E108" s="218" t="s">
        <v>1957</v>
      </c>
      <c r="F108" s="202" t="str">
        <f>VLOOKUP(D108,CSR!$D$4:$E$1180,2,FALSE)</f>
        <v>CSR_11402</v>
      </c>
      <c r="G108" s="203">
        <v>45972</v>
      </c>
      <c r="H108" s="204">
        <v>2</v>
      </c>
      <c r="I108" s="241">
        <f t="shared" si="2"/>
        <v>0.10526315789473684</v>
      </c>
      <c r="J108" s="199" t="s">
        <v>1958</v>
      </c>
      <c r="K108" s="204"/>
      <c r="L108" s="19"/>
    </row>
    <row r="109" spans="1:12" s="197" customFormat="1" ht="32">
      <c r="A109" s="198" t="s">
        <v>1722</v>
      </c>
      <c r="B109" s="199" t="s">
        <v>49</v>
      </c>
      <c r="C109" s="199" t="s">
        <v>175</v>
      </c>
      <c r="D109" s="208" t="s">
        <v>1327</v>
      </c>
      <c r="E109" s="201" t="s">
        <v>1959</v>
      </c>
      <c r="F109" s="202" t="str">
        <f>VLOOKUP(D109,CSR!$D$4:$E$1180,2,FALSE)</f>
        <v>CSR_40800</v>
      </c>
      <c r="G109" s="203">
        <v>45972</v>
      </c>
      <c r="H109" s="204">
        <v>1</v>
      </c>
      <c r="I109" s="241">
        <f t="shared" si="2"/>
        <v>5.2631578947368418E-2</v>
      </c>
      <c r="J109" s="199" t="s">
        <v>1958</v>
      </c>
      <c r="K109" s="208"/>
      <c r="L109" s="19"/>
    </row>
    <row r="110" spans="1:12" s="197" customFormat="1" ht="48">
      <c r="A110" s="198" t="s">
        <v>1722</v>
      </c>
      <c r="B110" s="213" t="s">
        <v>775</v>
      </c>
      <c r="C110" s="213" t="s">
        <v>175</v>
      </c>
      <c r="D110" s="204" t="s">
        <v>784</v>
      </c>
      <c r="E110" s="226" t="s">
        <v>1960</v>
      </c>
      <c r="F110" s="202" t="str">
        <f>VLOOKUP(D110,CSR!$D$4:$E$1180,2,FALSE)</f>
        <v>CSR_40300</v>
      </c>
      <c r="G110" s="203">
        <v>45973</v>
      </c>
      <c r="H110" s="208">
        <v>2</v>
      </c>
      <c r="I110" s="241">
        <f t="shared" si="2"/>
        <v>0.10526315789473684</v>
      </c>
      <c r="J110" s="199" t="s">
        <v>1958</v>
      </c>
      <c r="K110" s="204"/>
      <c r="L110" s="19"/>
    </row>
    <row r="111" spans="1:12" s="197" customFormat="1" ht="32">
      <c r="A111" s="198" t="s">
        <v>1722</v>
      </c>
      <c r="B111" s="213" t="s">
        <v>775</v>
      </c>
      <c r="C111" s="213" t="s">
        <v>175</v>
      </c>
      <c r="D111" s="204" t="s">
        <v>786</v>
      </c>
      <c r="E111" s="218" t="s">
        <v>1961</v>
      </c>
      <c r="F111" s="202" t="str">
        <f>VLOOKUP(D111,CSR!$D$4:$E$1180,2,FALSE)</f>
        <v>CSR_40500</v>
      </c>
      <c r="G111" s="203">
        <v>45980</v>
      </c>
      <c r="H111" s="208">
        <v>3</v>
      </c>
      <c r="I111" s="241">
        <f t="shared" si="2"/>
        <v>0.15789473684210525</v>
      </c>
      <c r="J111" s="199" t="s">
        <v>1958</v>
      </c>
      <c r="K111" s="204"/>
      <c r="L111" s="19"/>
    </row>
    <row r="112" spans="1:12" s="197" customFormat="1" ht="96">
      <c r="A112" s="198" t="s">
        <v>1722</v>
      </c>
      <c r="B112" s="199" t="s">
        <v>16</v>
      </c>
      <c r="C112" s="199" t="s">
        <v>17</v>
      </c>
      <c r="D112" s="208" t="s">
        <v>1755</v>
      </c>
      <c r="E112" s="218" t="s">
        <v>1962</v>
      </c>
      <c r="F112" s="202" t="str">
        <f>VLOOKUP(D112,CSR!$D$4:$E$1180,2,FALSE)</f>
        <v>CSR_11402</v>
      </c>
      <c r="G112" s="203">
        <v>45981</v>
      </c>
      <c r="H112" s="218">
        <v>4</v>
      </c>
      <c r="I112" s="241">
        <f t="shared" si="2"/>
        <v>0.21052631578947367</v>
      </c>
      <c r="J112" s="199" t="s">
        <v>1958</v>
      </c>
      <c r="K112" s="204"/>
      <c r="L112" s="19"/>
    </row>
    <row r="113" spans="1:12" s="197" customFormat="1" ht="64">
      <c r="A113" s="198" t="s">
        <v>1722</v>
      </c>
      <c r="B113" s="213" t="s">
        <v>775</v>
      </c>
      <c r="C113" s="213" t="s">
        <v>175</v>
      </c>
      <c r="D113" s="215" t="s">
        <v>785</v>
      </c>
      <c r="E113" s="226" t="s">
        <v>1963</v>
      </c>
      <c r="F113" s="202" t="str">
        <f>VLOOKUP(D113,CSR!$D$4:$E$1180,2,FALSE)</f>
        <v>CSR_40400</v>
      </c>
      <c r="G113" s="203">
        <v>45981</v>
      </c>
      <c r="H113" s="204">
        <v>4</v>
      </c>
      <c r="I113" s="241">
        <f t="shared" si="2"/>
        <v>0.21052631578947367</v>
      </c>
      <c r="J113" s="199" t="s">
        <v>1958</v>
      </c>
      <c r="K113" s="204"/>
      <c r="L113" s="19"/>
    </row>
    <row r="114" spans="1:12" s="197" customFormat="1" ht="64">
      <c r="A114" s="198" t="s">
        <v>1722</v>
      </c>
      <c r="B114" s="199" t="s">
        <v>49</v>
      </c>
      <c r="C114" s="199" t="s">
        <v>175</v>
      </c>
      <c r="D114" s="208" t="s">
        <v>1327</v>
      </c>
      <c r="E114" s="201" t="s">
        <v>1964</v>
      </c>
      <c r="F114" s="202" t="str">
        <f>VLOOKUP(D114,CSR!$D$4:$E$1180,2,FALSE)</f>
        <v>CSR_40800</v>
      </c>
      <c r="G114" s="203">
        <v>45981</v>
      </c>
      <c r="H114" s="204">
        <v>3</v>
      </c>
      <c r="I114" s="241">
        <f t="shared" si="2"/>
        <v>0.15789473684210525</v>
      </c>
      <c r="J114" s="199" t="s">
        <v>1958</v>
      </c>
      <c r="K114" s="208"/>
      <c r="L114" s="19"/>
    </row>
    <row r="115" spans="1:12" s="197" customFormat="1" ht="32">
      <c r="A115" s="198" t="s">
        <v>1901</v>
      </c>
      <c r="B115" s="199" t="s">
        <v>31</v>
      </c>
      <c r="C115" s="198" t="s">
        <v>32</v>
      </c>
      <c r="D115" s="200" t="s">
        <v>762</v>
      </c>
      <c r="E115" s="210" t="s">
        <v>1965</v>
      </c>
      <c r="F115" s="202" t="str">
        <f>VLOOKUP(D115,CSR!$D$4:$E$1180,2,FALSE)</f>
        <v>CSR_30100</v>
      </c>
      <c r="G115" s="203">
        <v>45953</v>
      </c>
      <c r="H115" s="204">
        <v>0.3</v>
      </c>
      <c r="I115" s="241">
        <f t="shared" si="2"/>
        <v>1.5789473684210527E-2</v>
      </c>
      <c r="J115" s="217" t="s">
        <v>1966</v>
      </c>
      <c r="K115" s="204"/>
      <c r="L115" s="19"/>
    </row>
    <row r="116" spans="1:12" s="197" customFormat="1" ht="48">
      <c r="A116" s="198" t="s">
        <v>1901</v>
      </c>
      <c r="B116" s="199" t="s">
        <v>16</v>
      </c>
      <c r="C116" s="198" t="s">
        <v>17</v>
      </c>
      <c r="D116" s="208" t="s">
        <v>617</v>
      </c>
      <c r="E116" s="201" t="s">
        <v>1967</v>
      </c>
      <c r="F116" s="202" t="str">
        <f>VLOOKUP(D116,CSR!$D$4:$E$1180,2,FALSE)</f>
        <v>CSR_10100</v>
      </c>
      <c r="G116" s="203">
        <v>45961</v>
      </c>
      <c r="H116" s="204">
        <v>0.5</v>
      </c>
      <c r="I116" s="241">
        <f t="shared" si="2"/>
        <v>2.6315789473684209E-2</v>
      </c>
      <c r="J116" s="217" t="s">
        <v>1966</v>
      </c>
      <c r="K116" s="204"/>
      <c r="L116" s="19"/>
    </row>
    <row r="117" spans="1:12" s="197" customFormat="1" ht="48">
      <c r="A117" s="198" t="s">
        <v>1722</v>
      </c>
      <c r="B117" s="199" t="s">
        <v>49</v>
      </c>
      <c r="C117" s="199" t="s">
        <v>50</v>
      </c>
      <c r="D117" s="200" t="s">
        <v>806</v>
      </c>
      <c r="E117" s="201" t="s">
        <v>1968</v>
      </c>
      <c r="F117" s="202" t="str">
        <f>VLOOKUP(D117,CSR!$D$4:$E$1180,2,FALSE)</f>
        <v>CSR_41200</v>
      </c>
      <c r="G117" s="203">
        <v>45972</v>
      </c>
      <c r="H117" s="204">
        <v>2.5</v>
      </c>
      <c r="I117" s="241">
        <f t="shared" si="2"/>
        <v>0.13157894736842105</v>
      </c>
      <c r="J117" s="217" t="s">
        <v>1966</v>
      </c>
      <c r="K117" s="217"/>
      <c r="L117" s="19"/>
    </row>
    <row r="118" spans="1:12" s="197" customFormat="1" ht="32">
      <c r="A118" s="198" t="s">
        <v>1722</v>
      </c>
      <c r="B118" s="199" t="s">
        <v>16</v>
      </c>
      <c r="C118" s="199" t="s">
        <v>17</v>
      </c>
      <c r="D118" s="200" t="s">
        <v>131</v>
      </c>
      <c r="E118" s="201" t="s">
        <v>1969</v>
      </c>
      <c r="F118" s="202" t="str">
        <f>VLOOKUP(D118,CSR!$D$4:$E$1180,2,FALSE)</f>
        <v>CSR_10400</v>
      </c>
      <c r="G118" s="203">
        <v>45975</v>
      </c>
      <c r="H118" s="208">
        <v>2</v>
      </c>
      <c r="I118" s="241">
        <f t="shared" si="2"/>
        <v>0.10526315789473684</v>
      </c>
      <c r="J118" s="217" t="s">
        <v>1966</v>
      </c>
      <c r="K118" s="204"/>
      <c r="L118" s="19"/>
    </row>
    <row r="119" spans="1:12" s="197" customFormat="1" ht="32">
      <c r="A119" s="198" t="s">
        <v>1722</v>
      </c>
      <c r="B119" s="199" t="s">
        <v>16</v>
      </c>
      <c r="C119" s="198" t="s">
        <v>17</v>
      </c>
      <c r="D119" s="200" t="s">
        <v>1794</v>
      </c>
      <c r="E119" s="201" t="s">
        <v>1970</v>
      </c>
      <c r="F119" s="202" t="str">
        <f>VLOOKUP(D119,CSR!$D$4:$E$1180,2,FALSE)</f>
        <v>CSR_11301</v>
      </c>
      <c r="G119" s="203">
        <v>45979</v>
      </c>
      <c r="H119" s="204">
        <v>2.5</v>
      </c>
      <c r="I119" s="241">
        <f t="shared" si="2"/>
        <v>0.13157894736842105</v>
      </c>
      <c r="J119" s="217" t="s">
        <v>1966</v>
      </c>
      <c r="K119" s="204"/>
      <c r="L119" s="19"/>
    </row>
    <row r="120" spans="1:12" s="197" customFormat="1" ht="48">
      <c r="A120" s="198" t="s">
        <v>1722</v>
      </c>
      <c r="B120" s="199" t="s">
        <v>16</v>
      </c>
      <c r="C120" s="198" t="s">
        <v>17</v>
      </c>
      <c r="D120" s="208" t="s">
        <v>617</v>
      </c>
      <c r="E120" s="210" t="s">
        <v>1971</v>
      </c>
      <c r="F120" s="202" t="str">
        <f>VLOOKUP(D120,CSR!$D$4:$E$1180,2,FALSE)</f>
        <v>CSR_10100</v>
      </c>
      <c r="G120" s="203">
        <v>45980</v>
      </c>
      <c r="H120" s="204">
        <v>2</v>
      </c>
      <c r="I120" s="241">
        <f t="shared" si="2"/>
        <v>0.10526315789473684</v>
      </c>
      <c r="J120" s="217" t="s">
        <v>1966</v>
      </c>
      <c r="K120" s="204"/>
      <c r="L120" s="19"/>
    </row>
    <row r="121" spans="1:12" s="197" customFormat="1" ht="32">
      <c r="A121" s="198" t="s">
        <v>1722</v>
      </c>
      <c r="B121" s="199" t="s">
        <v>16</v>
      </c>
      <c r="C121" s="199" t="s">
        <v>17</v>
      </c>
      <c r="D121" s="200" t="s">
        <v>622</v>
      </c>
      <c r="E121" s="210" t="s">
        <v>1972</v>
      </c>
      <c r="F121" s="202" t="str">
        <f>VLOOKUP(D121,CSR!$D$4:$E$1180,2,FALSE)</f>
        <v>CSR_10200</v>
      </c>
      <c r="G121" s="203">
        <v>45980</v>
      </c>
      <c r="H121" s="218">
        <v>1</v>
      </c>
      <c r="I121" s="241">
        <f t="shared" si="2"/>
        <v>5.2631578947368418E-2</v>
      </c>
      <c r="J121" s="217" t="s">
        <v>1966</v>
      </c>
      <c r="K121" s="212"/>
      <c r="L121" s="19"/>
    </row>
    <row r="122" spans="1:12" s="197" customFormat="1" ht="32">
      <c r="A122" s="198" t="s">
        <v>1722</v>
      </c>
      <c r="B122" s="199" t="s">
        <v>16</v>
      </c>
      <c r="C122" s="199" t="s">
        <v>17</v>
      </c>
      <c r="D122" s="200" t="s">
        <v>632</v>
      </c>
      <c r="E122" s="201" t="s">
        <v>1973</v>
      </c>
      <c r="F122" s="202" t="str">
        <f>VLOOKUP(D122,CSR!$D$4:$E$1180,2,FALSE)</f>
        <v>CSR_10600</v>
      </c>
      <c r="G122" s="203">
        <v>45980</v>
      </c>
      <c r="H122" s="204">
        <v>3</v>
      </c>
      <c r="I122" s="241">
        <f t="shared" si="2"/>
        <v>0.15789473684210525</v>
      </c>
      <c r="J122" s="217" t="s">
        <v>1966</v>
      </c>
      <c r="K122" s="217"/>
      <c r="L122" s="19"/>
    </row>
    <row r="123" spans="1:12" s="197" customFormat="1" ht="32">
      <c r="A123" s="198" t="s">
        <v>1722</v>
      </c>
      <c r="B123" s="199" t="s">
        <v>16</v>
      </c>
      <c r="C123" s="198" t="s">
        <v>17</v>
      </c>
      <c r="D123" s="200" t="s">
        <v>1794</v>
      </c>
      <c r="E123" s="201" t="s">
        <v>1974</v>
      </c>
      <c r="F123" s="202" t="str">
        <f>VLOOKUP(D123,CSR!$D$4:$E$1180,2,FALSE)</f>
        <v>CSR_11301</v>
      </c>
      <c r="G123" s="203">
        <v>45980</v>
      </c>
      <c r="H123" s="204">
        <v>1</v>
      </c>
      <c r="I123" s="241">
        <f t="shared" si="2"/>
        <v>5.2631578947368418E-2</v>
      </c>
      <c r="J123" s="217" t="s">
        <v>1966</v>
      </c>
      <c r="K123" s="204"/>
      <c r="L123" s="19"/>
    </row>
    <row r="124" spans="1:12" s="197" customFormat="1" ht="48">
      <c r="A124" s="198" t="s">
        <v>1722</v>
      </c>
      <c r="B124" s="199" t="s">
        <v>758</v>
      </c>
      <c r="C124" s="198" t="s">
        <v>32</v>
      </c>
      <c r="D124" s="200" t="s">
        <v>33</v>
      </c>
      <c r="E124" s="201" t="s">
        <v>1975</v>
      </c>
      <c r="F124" s="202" t="str">
        <f>VLOOKUP(D124,CSR!$D$4:$E$1180,2,FALSE)</f>
        <v>CSR_30200</v>
      </c>
      <c r="G124" s="203">
        <v>45980</v>
      </c>
      <c r="H124" s="204">
        <v>0.5</v>
      </c>
      <c r="I124" s="241">
        <f t="shared" si="2"/>
        <v>2.6315789473684209E-2</v>
      </c>
      <c r="J124" s="217" t="s">
        <v>1966</v>
      </c>
      <c r="K124" s="204"/>
      <c r="L124" s="19"/>
    </row>
    <row r="125" spans="1:12" s="197" customFormat="1" ht="48">
      <c r="A125" s="198" t="s">
        <v>1722</v>
      </c>
      <c r="B125" s="199" t="s">
        <v>758</v>
      </c>
      <c r="C125" s="198" t="s">
        <v>32</v>
      </c>
      <c r="D125" s="200" t="s">
        <v>766</v>
      </c>
      <c r="E125" s="249" t="s">
        <v>1976</v>
      </c>
      <c r="F125" s="202" t="str">
        <f>VLOOKUP(D125,CSR!$D$4:$E$1180,2,FALSE)</f>
        <v>CSR_30300</v>
      </c>
      <c r="G125" s="203">
        <v>45980</v>
      </c>
      <c r="H125" s="204">
        <v>0.2</v>
      </c>
      <c r="I125" s="241">
        <f t="shared" si="2"/>
        <v>1.0526315789473684E-2</v>
      </c>
      <c r="J125" s="217" t="s">
        <v>1966</v>
      </c>
      <c r="K125" s="204"/>
      <c r="L125" s="19"/>
    </row>
    <row r="126" spans="1:12" s="197" customFormat="1" ht="48">
      <c r="A126" s="198" t="s">
        <v>1722</v>
      </c>
      <c r="B126" s="199" t="s">
        <v>16</v>
      </c>
      <c r="C126" s="199" t="s">
        <v>17</v>
      </c>
      <c r="D126" s="200" t="s">
        <v>131</v>
      </c>
      <c r="E126" s="201" t="s">
        <v>1977</v>
      </c>
      <c r="F126" s="202" t="str">
        <f>VLOOKUP(D126,CSR!$D$4:$E$1180,2,FALSE)</f>
        <v>CSR_10400</v>
      </c>
      <c r="G126" s="203">
        <v>45981</v>
      </c>
      <c r="H126" s="208">
        <v>3.5</v>
      </c>
      <c r="I126" s="241">
        <f t="shared" si="2"/>
        <v>0.18421052631578946</v>
      </c>
      <c r="J126" s="217" t="s">
        <v>1966</v>
      </c>
      <c r="K126" s="204"/>
      <c r="L126" s="19"/>
    </row>
    <row r="127" spans="1:12" s="197" customFormat="1" ht="48">
      <c r="A127" s="198" t="s">
        <v>1901</v>
      </c>
      <c r="B127" s="199" t="s">
        <v>758</v>
      </c>
      <c r="C127" s="198" t="s">
        <v>32</v>
      </c>
      <c r="D127" s="208" t="s">
        <v>880</v>
      </c>
      <c r="E127" s="218" t="s">
        <v>842</v>
      </c>
      <c r="F127" s="202" t="str">
        <f>VLOOKUP(D127,CSR!$D$4:$E$1180,2,FALSE)</f>
        <v>CSR_30600</v>
      </c>
      <c r="G127" s="203">
        <v>45954</v>
      </c>
      <c r="H127" s="208">
        <v>3</v>
      </c>
      <c r="I127" s="205">
        <f t="shared" si="2"/>
        <v>0.15789473684210525</v>
      </c>
      <c r="J127" s="199" t="s">
        <v>843</v>
      </c>
      <c r="K127" s="204"/>
      <c r="L127" s="19"/>
    </row>
    <row r="128" spans="1:12" s="197" customFormat="1" ht="48">
      <c r="A128" s="198" t="s">
        <v>1901</v>
      </c>
      <c r="B128" s="199" t="s">
        <v>758</v>
      </c>
      <c r="C128" s="198" t="s">
        <v>32</v>
      </c>
      <c r="D128" s="208" t="s">
        <v>880</v>
      </c>
      <c r="E128" s="218" t="s">
        <v>842</v>
      </c>
      <c r="F128" s="202" t="str">
        <f>VLOOKUP(D128,CSR!$D$4:$E$1180,2,FALSE)</f>
        <v>CSR_30600</v>
      </c>
      <c r="G128" s="203">
        <v>45961</v>
      </c>
      <c r="H128" s="208">
        <v>4</v>
      </c>
      <c r="I128" s="205">
        <f t="shared" si="2"/>
        <v>0.21052631578947367</v>
      </c>
      <c r="J128" s="199" t="s">
        <v>843</v>
      </c>
      <c r="K128" s="208"/>
      <c r="L128" s="19"/>
    </row>
    <row r="129" spans="1:12" s="197" customFormat="1" ht="48">
      <c r="A129" s="198" t="s">
        <v>1722</v>
      </c>
      <c r="B129" s="199" t="s">
        <v>758</v>
      </c>
      <c r="C129" s="198" t="s">
        <v>32</v>
      </c>
      <c r="D129" s="208" t="s">
        <v>880</v>
      </c>
      <c r="E129" s="218" t="s">
        <v>842</v>
      </c>
      <c r="F129" s="202" t="str">
        <f>VLOOKUP(D129,CSR!$D$4:$E$1180,2,FALSE)</f>
        <v>CSR_30600</v>
      </c>
      <c r="G129" s="203">
        <v>45968</v>
      </c>
      <c r="H129" s="208">
        <v>4</v>
      </c>
      <c r="I129" s="205">
        <f t="shared" si="2"/>
        <v>0.21052631578947367</v>
      </c>
      <c r="J129" s="199" t="s">
        <v>843</v>
      </c>
      <c r="K129" s="204"/>
      <c r="L129" s="19"/>
    </row>
    <row r="130" spans="1:12" s="197" customFormat="1" ht="48">
      <c r="A130" s="198" t="s">
        <v>1722</v>
      </c>
      <c r="B130" s="199" t="s">
        <v>758</v>
      </c>
      <c r="C130" s="198" t="s">
        <v>32</v>
      </c>
      <c r="D130" s="208" t="s">
        <v>880</v>
      </c>
      <c r="E130" s="218" t="s">
        <v>842</v>
      </c>
      <c r="F130" s="202" t="str">
        <f>VLOOKUP(D130,CSR!$D$4:$E$1180,2,FALSE)</f>
        <v>CSR_30600</v>
      </c>
      <c r="G130" s="203">
        <v>45975</v>
      </c>
      <c r="H130" s="208">
        <v>4</v>
      </c>
      <c r="I130" s="205">
        <f t="shared" si="2"/>
        <v>0.21052631578947367</v>
      </c>
      <c r="J130" s="199" t="s">
        <v>843</v>
      </c>
      <c r="K130" s="208"/>
      <c r="L130" s="19"/>
    </row>
    <row r="131" spans="1:12" s="197" customFormat="1" ht="48">
      <c r="A131" s="198" t="s">
        <v>1722</v>
      </c>
      <c r="B131" s="199" t="s">
        <v>758</v>
      </c>
      <c r="C131" s="198" t="s">
        <v>32</v>
      </c>
      <c r="D131" s="208" t="s">
        <v>880</v>
      </c>
      <c r="E131" s="218" t="s">
        <v>842</v>
      </c>
      <c r="F131" s="202" t="str">
        <f>VLOOKUP(D131,CSR!$D$4:$E$1180,2,FALSE)</f>
        <v>CSR_30600</v>
      </c>
      <c r="G131" s="203">
        <v>45981</v>
      </c>
      <c r="H131" s="208">
        <v>4</v>
      </c>
      <c r="I131" s="205">
        <f t="shared" si="2"/>
        <v>0.21052631578947367</v>
      </c>
      <c r="J131" s="199" t="s">
        <v>843</v>
      </c>
      <c r="K131" s="204"/>
      <c r="L131" s="19"/>
    </row>
    <row r="132" spans="1:12" s="197" customFormat="1" ht="48">
      <c r="A132" s="206" t="s">
        <v>1949</v>
      </c>
      <c r="B132" s="213" t="s">
        <v>31</v>
      </c>
      <c r="C132" s="213" t="s">
        <v>32</v>
      </c>
      <c r="D132" s="218" t="s">
        <v>199</v>
      </c>
      <c r="E132" s="218" t="s">
        <v>1978</v>
      </c>
      <c r="F132" s="202" t="str">
        <f>VLOOKUP(D132,CSR!$D$4:$E$1180,2,FALSE)</f>
        <v>CSR_30000</v>
      </c>
      <c r="G132" s="203" t="s">
        <v>1979</v>
      </c>
      <c r="H132" s="208">
        <v>0.5</v>
      </c>
      <c r="I132" s="241">
        <f t="shared" si="2"/>
        <v>2.6315789473684209E-2</v>
      </c>
      <c r="J132" s="199" t="s">
        <v>241</v>
      </c>
      <c r="K132" s="218"/>
      <c r="L132" s="19"/>
    </row>
    <row r="133" spans="1:12" s="197" customFormat="1" ht="32">
      <c r="A133" s="206" t="s">
        <v>1783</v>
      </c>
      <c r="B133" s="213" t="s">
        <v>70</v>
      </c>
      <c r="C133" s="213" t="s">
        <v>245</v>
      </c>
      <c r="D133" s="218" t="s">
        <v>246</v>
      </c>
      <c r="E133" s="218" t="s">
        <v>1980</v>
      </c>
      <c r="F133" s="202" t="str">
        <f>VLOOKUP(D133,CSR!$D$4:$E$1180,2,FALSE)</f>
        <v>CSR_20000</v>
      </c>
      <c r="G133" s="203" t="s">
        <v>1981</v>
      </c>
      <c r="H133" s="208">
        <v>2</v>
      </c>
      <c r="I133" s="241">
        <f t="shared" si="2"/>
        <v>0.10526315789473684</v>
      </c>
      <c r="J133" s="199" t="s">
        <v>241</v>
      </c>
      <c r="K133" s="218"/>
      <c r="L133" s="19"/>
    </row>
    <row r="134" spans="1:12" s="197" customFormat="1" ht="32">
      <c r="A134" s="206" t="s">
        <v>1783</v>
      </c>
      <c r="B134" s="213" t="s">
        <v>70</v>
      </c>
      <c r="C134" s="213" t="s">
        <v>245</v>
      </c>
      <c r="D134" s="218" t="s">
        <v>246</v>
      </c>
      <c r="E134" s="218" t="s">
        <v>1982</v>
      </c>
      <c r="F134" s="202" t="str">
        <f>VLOOKUP(D134,CSR!$D$4:$E$1180,2,FALSE)</f>
        <v>CSR_20000</v>
      </c>
      <c r="G134" s="203" t="s">
        <v>1981</v>
      </c>
      <c r="H134" s="208">
        <v>1.5</v>
      </c>
      <c r="I134" s="241">
        <f t="shared" si="2"/>
        <v>7.8947368421052627E-2</v>
      </c>
      <c r="J134" s="199" t="s">
        <v>241</v>
      </c>
      <c r="K134" s="218"/>
      <c r="L134" s="19"/>
    </row>
    <row r="135" spans="1:12" s="197" customFormat="1" ht="80">
      <c r="A135" s="206" t="s">
        <v>1983</v>
      </c>
      <c r="B135" s="213" t="s">
        <v>70</v>
      </c>
      <c r="C135" s="213" t="s">
        <v>245</v>
      </c>
      <c r="D135" s="218" t="s">
        <v>1984</v>
      </c>
      <c r="E135" s="218" t="s">
        <v>1985</v>
      </c>
      <c r="F135" s="202" t="str">
        <f>VLOOKUP(D135,CSR!$D$4:$E$1180,2,FALSE)</f>
        <v>CSR_20001</v>
      </c>
      <c r="G135" s="203" t="s">
        <v>1986</v>
      </c>
      <c r="H135" s="208">
        <v>1.5</v>
      </c>
      <c r="I135" s="241">
        <f t="shared" si="2"/>
        <v>7.8947368421052627E-2</v>
      </c>
      <c r="J135" s="199" t="s">
        <v>241</v>
      </c>
      <c r="K135" s="218"/>
      <c r="L135" s="19"/>
    </row>
    <row r="136" spans="1:12" s="197" customFormat="1" ht="64">
      <c r="A136" s="206" t="s">
        <v>1783</v>
      </c>
      <c r="B136" s="213" t="s">
        <v>31</v>
      </c>
      <c r="C136" s="213" t="s">
        <v>32</v>
      </c>
      <c r="D136" s="218" t="s">
        <v>199</v>
      </c>
      <c r="E136" s="218" t="s">
        <v>1987</v>
      </c>
      <c r="F136" s="202" t="str">
        <f>VLOOKUP(D136,CSR!$D$4:$E$1180,2,FALSE)</f>
        <v>CSR_30000</v>
      </c>
      <c r="G136" s="203" t="s">
        <v>1986</v>
      </c>
      <c r="H136" s="208">
        <v>1</v>
      </c>
      <c r="I136" s="241">
        <f t="shared" si="2"/>
        <v>5.2631578947368418E-2</v>
      </c>
      <c r="J136" s="199" t="s">
        <v>241</v>
      </c>
      <c r="K136" s="218"/>
      <c r="L136" s="19"/>
    </row>
    <row r="137" spans="1:12" s="197" customFormat="1" ht="80">
      <c r="A137" s="206" t="s">
        <v>1783</v>
      </c>
      <c r="B137" s="213" t="s">
        <v>31</v>
      </c>
      <c r="C137" s="213" t="s">
        <v>32</v>
      </c>
      <c r="D137" s="218" t="s">
        <v>199</v>
      </c>
      <c r="E137" s="218" t="s">
        <v>1988</v>
      </c>
      <c r="F137" s="202" t="str">
        <f>VLOOKUP(D137,CSR!$D$4:$E$1180,2,FALSE)</f>
        <v>CSR_30000</v>
      </c>
      <c r="G137" s="203" t="s">
        <v>1989</v>
      </c>
      <c r="H137" s="208">
        <v>1.5</v>
      </c>
      <c r="I137" s="241">
        <f t="shared" si="2"/>
        <v>7.8947368421052627E-2</v>
      </c>
      <c r="J137" s="199" t="s">
        <v>241</v>
      </c>
      <c r="K137" s="218"/>
      <c r="L137" s="19"/>
    </row>
    <row r="138" spans="1:12" s="197" customFormat="1" ht="48">
      <c r="A138" s="206" t="s">
        <v>1783</v>
      </c>
      <c r="B138" s="213" t="s">
        <v>16</v>
      </c>
      <c r="C138" s="213" t="s">
        <v>17</v>
      </c>
      <c r="D138" s="218" t="s">
        <v>1755</v>
      </c>
      <c r="E138" s="218" t="s">
        <v>1990</v>
      </c>
      <c r="F138" s="202" t="str">
        <f>VLOOKUP(D138,CSR!$D$4:$E$1180,2,FALSE)</f>
        <v>CSR_11402</v>
      </c>
      <c r="G138" s="203" t="s">
        <v>1991</v>
      </c>
      <c r="H138" s="208">
        <v>1</v>
      </c>
      <c r="I138" s="241">
        <f t="shared" si="2"/>
        <v>5.2631578947368418E-2</v>
      </c>
      <c r="J138" s="199" t="s">
        <v>241</v>
      </c>
      <c r="K138" s="218"/>
      <c r="L138" s="19"/>
    </row>
    <row r="139" spans="1:12" s="197" customFormat="1" ht="32">
      <c r="A139" s="206" t="s">
        <v>1783</v>
      </c>
      <c r="B139" s="213" t="s">
        <v>70</v>
      </c>
      <c r="C139" s="213" t="s">
        <v>245</v>
      </c>
      <c r="D139" s="218" t="s">
        <v>246</v>
      </c>
      <c r="E139" s="218" t="s">
        <v>1992</v>
      </c>
      <c r="F139" s="202" t="str">
        <f>VLOOKUP(D139,CSR!$D$4:$E$1180,2,FALSE)</f>
        <v>CSR_20000</v>
      </c>
      <c r="G139" s="203" t="s">
        <v>1991</v>
      </c>
      <c r="H139" s="208">
        <v>0.5</v>
      </c>
      <c r="I139" s="241">
        <f t="shared" si="2"/>
        <v>2.6315789473684209E-2</v>
      </c>
      <c r="J139" s="199" t="s">
        <v>241</v>
      </c>
      <c r="K139" s="218"/>
      <c r="L139" s="19"/>
    </row>
    <row r="140" spans="1:12" s="197" customFormat="1" ht="32">
      <c r="A140" s="206" t="s">
        <v>1783</v>
      </c>
      <c r="B140" s="213" t="s">
        <v>16</v>
      </c>
      <c r="C140" s="213" t="s">
        <v>17</v>
      </c>
      <c r="D140" s="218" t="s">
        <v>262</v>
      </c>
      <c r="E140" s="218" t="s">
        <v>1993</v>
      </c>
      <c r="F140" s="202" t="str">
        <f>VLOOKUP(D140,CSR!$D$4:$E$1180,2,FALSE)</f>
        <v>CSR_11100</v>
      </c>
      <c r="G140" s="203" t="s">
        <v>1994</v>
      </c>
      <c r="H140" s="208">
        <v>0.5</v>
      </c>
      <c r="I140" s="241">
        <f t="shared" si="2"/>
        <v>2.6315789473684209E-2</v>
      </c>
      <c r="J140" s="199" t="s">
        <v>241</v>
      </c>
      <c r="K140" s="218"/>
      <c r="L140" s="19"/>
    </row>
    <row r="141" spans="1:12" s="197" customFormat="1" ht="64">
      <c r="A141" s="206" t="s">
        <v>1783</v>
      </c>
      <c r="B141" s="213" t="s">
        <v>70</v>
      </c>
      <c r="C141" s="213" t="s">
        <v>245</v>
      </c>
      <c r="D141" s="218" t="s">
        <v>1631</v>
      </c>
      <c r="E141" s="218" t="s">
        <v>1995</v>
      </c>
      <c r="F141" s="202" t="str">
        <f>VLOOKUP(D141,CSR!$D$4:$E$1180,2,FALSE)</f>
        <v>CSR_20002</v>
      </c>
      <c r="G141" s="203" t="s">
        <v>1994</v>
      </c>
      <c r="H141" s="208">
        <v>1.5</v>
      </c>
      <c r="I141" s="241">
        <f t="shared" si="2"/>
        <v>7.8947368421052627E-2</v>
      </c>
      <c r="J141" s="199" t="s">
        <v>241</v>
      </c>
      <c r="K141" s="218"/>
      <c r="L141" s="19"/>
    </row>
    <row r="142" spans="1:12" s="197" customFormat="1" ht="64">
      <c r="A142" s="206" t="s">
        <v>1983</v>
      </c>
      <c r="B142" s="213" t="s">
        <v>70</v>
      </c>
      <c r="C142" s="213" t="s">
        <v>71</v>
      </c>
      <c r="D142" s="218" t="s">
        <v>252</v>
      </c>
      <c r="E142" s="218" t="s">
        <v>1996</v>
      </c>
      <c r="F142" s="202" t="str">
        <f>VLOOKUP(D142,CSR!$D$4:$E$1180,2,FALSE)</f>
        <v>CSR_20300</v>
      </c>
      <c r="G142" s="203" t="s">
        <v>1994</v>
      </c>
      <c r="H142" s="208">
        <v>1.5</v>
      </c>
      <c r="I142" s="241">
        <f t="shared" si="2"/>
        <v>7.8947368421052627E-2</v>
      </c>
      <c r="J142" s="199" t="s">
        <v>241</v>
      </c>
      <c r="K142" s="218"/>
      <c r="L142" s="19"/>
    </row>
    <row r="143" spans="1:12" s="197" customFormat="1" ht="32">
      <c r="A143" s="206" t="s">
        <v>1783</v>
      </c>
      <c r="B143" s="213" t="s">
        <v>70</v>
      </c>
      <c r="C143" s="213" t="s">
        <v>71</v>
      </c>
      <c r="D143" s="218" t="s">
        <v>252</v>
      </c>
      <c r="E143" s="218" t="s">
        <v>1997</v>
      </c>
      <c r="F143" s="202" t="str">
        <f>VLOOKUP(D143,CSR!$D$4:$E$1180,2,FALSE)</f>
        <v>CSR_20300</v>
      </c>
      <c r="G143" s="203" t="s">
        <v>1994</v>
      </c>
      <c r="H143" s="208">
        <v>1</v>
      </c>
      <c r="I143" s="241">
        <f t="shared" si="2"/>
        <v>5.2631578947368418E-2</v>
      </c>
      <c r="J143" s="199" t="s">
        <v>241</v>
      </c>
      <c r="K143" s="218"/>
      <c r="L143" s="19"/>
    </row>
    <row r="144" spans="1:12" s="197" customFormat="1" ht="64">
      <c r="A144" s="206" t="s">
        <v>1783</v>
      </c>
      <c r="B144" s="213" t="s">
        <v>31</v>
      </c>
      <c r="C144" s="213" t="s">
        <v>32</v>
      </c>
      <c r="D144" s="218" t="s">
        <v>199</v>
      </c>
      <c r="E144" s="218" t="s">
        <v>1998</v>
      </c>
      <c r="F144" s="202" t="str">
        <f>VLOOKUP(D144,CSR!$D$4:$E$1180,2,FALSE)</f>
        <v>CSR_30000</v>
      </c>
      <c r="G144" s="203" t="s">
        <v>1994</v>
      </c>
      <c r="H144" s="208">
        <v>1</v>
      </c>
      <c r="I144" s="241">
        <f t="shared" si="2"/>
        <v>5.2631578947368418E-2</v>
      </c>
      <c r="J144" s="199" t="s">
        <v>241</v>
      </c>
      <c r="K144" s="218"/>
      <c r="L144" s="19"/>
    </row>
    <row r="145" spans="1:12" s="197" customFormat="1" ht="96">
      <c r="A145" s="206" t="s">
        <v>1983</v>
      </c>
      <c r="B145" s="213" t="s">
        <v>31</v>
      </c>
      <c r="C145" s="213" t="s">
        <v>32</v>
      </c>
      <c r="D145" s="218" t="s">
        <v>259</v>
      </c>
      <c r="E145" s="218" t="s">
        <v>1999</v>
      </c>
      <c r="F145" s="202" t="str">
        <f>VLOOKUP(D145,CSR!$D$4:$E$1180,2,FALSE)</f>
        <v>CSR_30100</v>
      </c>
      <c r="G145" s="203" t="s">
        <v>1994</v>
      </c>
      <c r="H145" s="208">
        <v>1</v>
      </c>
      <c r="I145" s="241">
        <f t="shared" si="2"/>
        <v>5.2631578947368418E-2</v>
      </c>
      <c r="J145" s="199" t="s">
        <v>241</v>
      </c>
      <c r="K145" s="218"/>
      <c r="L145" s="19"/>
    </row>
    <row r="146" spans="1:12" s="197" customFormat="1" ht="64">
      <c r="A146" s="206" t="s">
        <v>1783</v>
      </c>
      <c r="B146" s="213" t="s">
        <v>31</v>
      </c>
      <c r="C146" s="213" t="s">
        <v>32</v>
      </c>
      <c r="D146" s="218" t="s">
        <v>33</v>
      </c>
      <c r="E146" s="218" t="s">
        <v>2000</v>
      </c>
      <c r="F146" s="202" t="str">
        <f>VLOOKUP(D146,CSR!$D$4:$E$1180,2,FALSE)</f>
        <v>CSR_30200</v>
      </c>
      <c r="G146" s="203" t="s">
        <v>1994</v>
      </c>
      <c r="H146" s="208">
        <v>1</v>
      </c>
      <c r="I146" s="241">
        <f t="shared" si="2"/>
        <v>5.2631578947368418E-2</v>
      </c>
      <c r="J146" s="199" t="s">
        <v>241</v>
      </c>
      <c r="K146" s="218"/>
      <c r="L146" s="19"/>
    </row>
    <row r="147" spans="1:12" s="197" customFormat="1" ht="96">
      <c r="A147" s="206" t="s">
        <v>1783</v>
      </c>
      <c r="B147" s="213" t="s">
        <v>70</v>
      </c>
      <c r="C147" s="213" t="s">
        <v>245</v>
      </c>
      <c r="D147" s="218" t="s">
        <v>1475</v>
      </c>
      <c r="E147" s="218" t="s">
        <v>2001</v>
      </c>
      <c r="F147" s="202" t="str">
        <f>VLOOKUP(D147,CSR!$D$4:$E$1180,2,FALSE)</f>
        <v>CSR_20003</v>
      </c>
      <c r="G147" s="203" t="s">
        <v>1994</v>
      </c>
      <c r="H147" s="208">
        <v>1.5</v>
      </c>
      <c r="I147" s="241">
        <f t="shared" si="2"/>
        <v>7.8947368421052627E-2</v>
      </c>
      <c r="J147" s="199" t="s">
        <v>241</v>
      </c>
      <c r="K147" s="218"/>
      <c r="L147" s="19"/>
    </row>
    <row r="148" spans="1:12" s="197" customFormat="1" ht="48">
      <c r="A148" s="206" t="s">
        <v>1783</v>
      </c>
      <c r="B148" s="213" t="s">
        <v>31</v>
      </c>
      <c r="C148" s="213" t="s">
        <v>32</v>
      </c>
      <c r="D148" s="218" t="s">
        <v>33</v>
      </c>
      <c r="E148" s="218" t="s">
        <v>2002</v>
      </c>
      <c r="F148" s="202" t="str">
        <f>VLOOKUP(D148,CSR!$D$4:$E$1180,2,FALSE)</f>
        <v>CSR_30200</v>
      </c>
      <c r="G148" s="203" t="s">
        <v>2003</v>
      </c>
      <c r="H148" s="208">
        <v>0.5</v>
      </c>
      <c r="I148" s="241">
        <f t="shared" si="2"/>
        <v>2.6315789473684209E-2</v>
      </c>
      <c r="J148" s="199" t="s">
        <v>241</v>
      </c>
      <c r="K148" s="218"/>
      <c r="L148" s="19"/>
    </row>
    <row r="149" spans="1:12" s="197" customFormat="1" ht="32">
      <c r="A149" s="198" t="s">
        <v>1722</v>
      </c>
      <c r="B149" s="199" t="s">
        <v>775</v>
      </c>
      <c r="C149" s="199" t="s">
        <v>792</v>
      </c>
      <c r="D149" s="204" t="s">
        <v>801</v>
      </c>
      <c r="E149" s="218" t="s">
        <v>2004</v>
      </c>
      <c r="F149" s="202" t="str">
        <f>VLOOKUP(D149,CSR!$D$4:$E$1180,2,FALSE)</f>
        <v>CSR_41102</v>
      </c>
      <c r="G149" s="261">
        <v>45967</v>
      </c>
      <c r="H149" s="204">
        <v>1</v>
      </c>
      <c r="I149" s="205">
        <f t="shared" si="2"/>
        <v>5.2631578947368418E-2</v>
      </c>
      <c r="J149" s="198" t="s">
        <v>285</v>
      </c>
      <c r="K149" s="204"/>
      <c r="L149" s="19"/>
    </row>
    <row r="150" spans="1:12" s="197" customFormat="1" ht="48">
      <c r="A150" s="198" t="s">
        <v>1722</v>
      </c>
      <c r="B150" s="199" t="s">
        <v>758</v>
      </c>
      <c r="C150" s="199" t="s">
        <v>759</v>
      </c>
      <c r="D150" s="200" t="s">
        <v>760</v>
      </c>
      <c r="E150" s="201" t="s">
        <v>2005</v>
      </c>
      <c r="F150" s="202" t="str">
        <f>VLOOKUP(D150,CSR!$D$4:$E$1180,2,FALSE)</f>
        <v>CSR_30000</v>
      </c>
      <c r="G150" s="261">
        <v>45980</v>
      </c>
      <c r="H150" s="204">
        <v>3</v>
      </c>
      <c r="I150" s="205">
        <f t="shared" si="2"/>
        <v>0.15789473684210525</v>
      </c>
      <c r="J150" s="198" t="s">
        <v>285</v>
      </c>
      <c r="K150" s="204"/>
      <c r="L150" s="19"/>
    </row>
    <row r="151" spans="1:12" s="197" customFormat="1" ht="48">
      <c r="A151" s="198" t="s">
        <v>1722</v>
      </c>
      <c r="B151" s="211" t="s">
        <v>758</v>
      </c>
      <c r="C151" s="211" t="s">
        <v>759</v>
      </c>
      <c r="D151" s="207" t="s">
        <v>760</v>
      </c>
      <c r="E151" s="218" t="s">
        <v>2006</v>
      </c>
      <c r="F151" s="202" t="str">
        <f>VLOOKUP(D151,CSR!$D$4:$E$1180,2,FALSE)</f>
        <v>CSR_30000</v>
      </c>
      <c r="G151" s="261">
        <v>45981</v>
      </c>
      <c r="H151" s="204">
        <v>2</v>
      </c>
      <c r="I151" s="205">
        <f t="shared" si="2"/>
        <v>0.10526315789473684</v>
      </c>
      <c r="J151" s="198" t="s">
        <v>285</v>
      </c>
      <c r="K151" s="204"/>
      <c r="L151" s="19"/>
    </row>
    <row r="152" spans="1:12" s="197" customFormat="1" ht="272">
      <c r="A152" s="198" t="s">
        <v>1722</v>
      </c>
      <c r="B152" s="199" t="s">
        <v>758</v>
      </c>
      <c r="C152" s="199" t="s">
        <v>759</v>
      </c>
      <c r="D152" s="200" t="s">
        <v>760</v>
      </c>
      <c r="E152" s="201" t="s">
        <v>2007</v>
      </c>
      <c r="F152" s="202" t="str">
        <f>VLOOKUP(D152,CSR!$D$4:$E$1180,2,FALSE)</f>
        <v>CSR_30000</v>
      </c>
      <c r="G152" s="261">
        <v>45981</v>
      </c>
      <c r="H152" s="204">
        <v>4</v>
      </c>
      <c r="I152" s="205">
        <f t="shared" si="2"/>
        <v>0.21052631578947367</v>
      </c>
      <c r="J152" s="198" t="s">
        <v>285</v>
      </c>
      <c r="K152" s="204"/>
      <c r="L152" s="19"/>
    </row>
    <row r="153" spans="1:12" s="197" customFormat="1" ht="32">
      <c r="A153" s="198" t="s">
        <v>1722</v>
      </c>
      <c r="B153" s="211" t="s">
        <v>758</v>
      </c>
      <c r="C153" s="211" t="s">
        <v>759</v>
      </c>
      <c r="D153" s="207" t="s">
        <v>651</v>
      </c>
      <c r="E153" s="204" t="s">
        <v>2008</v>
      </c>
      <c r="F153" s="202" t="str">
        <f>VLOOKUP(D153,CSR!$D$4:$E$1180,2,FALSE)</f>
        <v>CSR_11302</v>
      </c>
      <c r="G153" s="261">
        <v>45981</v>
      </c>
      <c r="H153" s="204">
        <v>3</v>
      </c>
      <c r="I153" s="205">
        <f t="shared" si="2"/>
        <v>0.15789473684210525</v>
      </c>
      <c r="J153" s="198" t="s">
        <v>285</v>
      </c>
      <c r="K153" s="204"/>
      <c r="L153" s="19"/>
    </row>
    <row r="154" spans="1:12" s="197" customFormat="1" ht="16">
      <c r="A154" s="265" t="s">
        <v>1901</v>
      </c>
      <c r="B154" s="266" t="s">
        <v>70</v>
      </c>
      <c r="C154" s="266" t="s">
        <v>245</v>
      </c>
      <c r="D154" s="255" t="s">
        <v>1631</v>
      </c>
      <c r="E154" s="255" t="s">
        <v>2009</v>
      </c>
      <c r="F154" s="202" t="str">
        <f>VLOOKUP(D154,CSR!$D$4:$E$1180,2,FALSE)</f>
        <v>CSR_20002</v>
      </c>
      <c r="G154" s="267">
        <v>45951</v>
      </c>
      <c r="H154" s="254">
        <v>0.5</v>
      </c>
      <c r="I154" s="268">
        <f t="shared" si="2"/>
        <v>2.6315789473684209E-2</v>
      </c>
      <c r="J154" s="251" t="s">
        <v>1081</v>
      </c>
      <c r="K154" s="255"/>
      <c r="L154" s="19"/>
    </row>
    <row r="155" spans="1:12" s="197" customFormat="1" ht="16">
      <c r="A155" s="265" t="s">
        <v>1901</v>
      </c>
      <c r="B155" s="199" t="s">
        <v>16</v>
      </c>
      <c r="C155" s="198" t="s">
        <v>17</v>
      </c>
      <c r="D155" s="200" t="s">
        <v>1794</v>
      </c>
      <c r="E155" s="201" t="s">
        <v>2010</v>
      </c>
      <c r="F155" s="202" t="str">
        <f>VLOOKUP(D155,CSR!$D$4:$E$1180,2,FALSE)</f>
        <v>CSR_11301</v>
      </c>
      <c r="G155" s="267">
        <v>45951</v>
      </c>
      <c r="H155" s="257">
        <v>1.5</v>
      </c>
      <c r="I155" s="269">
        <f t="shared" si="2"/>
        <v>7.8947368421052627E-2</v>
      </c>
      <c r="J155" s="251" t="s">
        <v>1081</v>
      </c>
      <c r="K155" s="257"/>
      <c r="L155" s="19"/>
    </row>
    <row r="156" spans="1:12" s="197" customFormat="1" ht="16">
      <c r="A156" s="265" t="s">
        <v>1901</v>
      </c>
      <c r="B156" s="213" t="s">
        <v>775</v>
      </c>
      <c r="C156" s="213" t="s">
        <v>175</v>
      </c>
      <c r="D156" s="204" t="s">
        <v>786</v>
      </c>
      <c r="E156" s="218" t="s">
        <v>2011</v>
      </c>
      <c r="F156" s="202" t="str">
        <f>VLOOKUP(D156,CSR!$D$4:$E$1180,2,FALSE)</f>
        <v>CSR_40500</v>
      </c>
      <c r="G156" s="267">
        <v>45952</v>
      </c>
      <c r="H156" s="257">
        <v>1</v>
      </c>
      <c r="I156" s="269">
        <f t="shared" si="2"/>
        <v>5.2631578947368418E-2</v>
      </c>
      <c r="J156" s="251" t="s">
        <v>1081</v>
      </c>
      <c r="K156" s="257"/>
      <c r="L156" s="19"/>
    </row>
    <row r="157" spans="1:12" s="197" customFormat="1" ht="16">
      <c r="A157" s="265" t="s">
        <v>1901</v>
      </c>
      <c r="B157" s="199" t="s">
        <v>16</v>
      </c>
      <c r="C157" s="199" t="s">
        <v>17</v>
      </c>
      <c r="D157" s="200" t="s">
        <v>632</v>
      </c>
      <c r="E157" s="201" t="s">
        <v>2012</v>
      </c>
      <c r="F157" s="202" t="str">
        <f>VLOOKUP(D157,CSR!$D$4:$E$1180,2,FALSE)</f>
        <v>CSR_10600</v>
      </c>
      <c r="G157" s="267">
        <v>45958</v>
      </c>
      <c r="H157" s="257">
        <v>2</v>
      </c>
      <c r="I157" s="269">
        <f t="shared" si="2"/>
        <v>0.10526315789473684</v>
      </c>
      <c r="J157" s="251" t="s">
        <v>1081</v>
      </c>
      <c r="K157" s="257"/>
      <c r="L157" s="19"/>
    </row>
    <row r="158" spans="1:12" s="197" customFormat="1" ht="16">
      <c r="A158" s="265" t="s">
        <v>1901</v>
      </c>
      <c r="B158" s="213" t="s">
        <v>70</v>
      </c>
      <c r="C158" s="213" t="s">
        <v>245</v>
      </c>
      <c r="D158" s="218" t="s">
        <v>1984</v>
      </c>
      <c r="E158" s="218" t="s">
        <v>2013</v>
      </c>
      <c r="F158" s="202" t="str">
        <f>VLOOKUP(D158,CSR!$D$4:$E$1180,2,FALSE)</f>
        <v>CSR_20001</v>
      </c>
      <c r="G158" s="267">
        <v>45960</v>
      </c>
      <c r="H158" s="257">
        <v>1</v>
      </c>
      <c r="I158" s="269">
        <f t="shared" si="2"/>
        <v>5.2631578947368418E-2</v>
      </c>
      <c r="J158" s="251" t="s">
        <v>1081</v>
      </c>
      <c r="K158" s="257"/>
      <c r="L158" s="19"/>
    </row>
    <row r="159" spans="1:12" s="197" customFormat="1" ht="16">
      <c r="A159" s="198" t="s">
        <v>1722</v>
      </c>
      <c r="B159" s="199" t="s">
        <v>49</v>
      </c>
      <c r="C159" s="199" t="s">
        <v>175</v>
      </c>
      <c r="D159" s="200" t="s">
        <v>1327</v>
      </c>
      <c r="E159" s="210" t="s">
        <v>2014</v>
      </c>
      <c r="F159" s="202" t="str">
        <f>VLOOKUP(D159,CSR!$D$4:$E$1180,2,FALSE)</f>
        <v>CSR_40800</v>
      </c>
      <c r="G159" s="267">
        <v>45964</v>
      </c>
      <c r="H159" s="257">
        <v>1</v>
      </c>
      <c r="I159" s="269">
        <f t="shared" si="2"/>
        <v>5.2631578947368418E-2</v>
      </c>
      <c r="J159" s="251" t="s">
        <v>1081</v>
      </c>
      <c r="K159" s="257"/>
      <c r="L159" s="19"/>
    </row>
    <row r="160" spans="1:12" s="197" customFormat="1" ht="32">
      <c r="A160" s="198" t="s">
        <v>1722</v>
      </c>
      <c r="B160" s="199" t="s">
        <v>16</v>
      </c>
      <c r="C160" s="199" t="s">
        <v>17</v>
      </c>
      <c r="D160" s="208" t="s">
        <v>1755</v>
      </c>
      <c r="E160" s="218" t="s">
        <v>2015</v>
      </c>
      <c r="F160" s="202" t="str">
        <f>VLOOKUP(D160,CSR!$D$4:$E$1180,2,FALSE)</f>
        <v>CSR_11402</v>
      </c>
      <c r="G160" s="267">
        <v>45973</v>
      </c>
      <c r="H160" s="257">
        <v>4</v>
      </c>
      <c r="I160" s="269">
        <f t="shared" si="2"/>
        <v>0.21052631578947367</v>
      </c>
      <c r="J160" s="250" t="s">
        <v>1081</v>
      </c>
      <c r="K160" s="257"/>
      <c r="L160" s="19"/>
    </row>
    <row r="161" spans="1:12" s="197" customFormat="1" ht="16">
      <c r="A161" s="198" t="s">
        <v>1722</v>
      </c>
      <c r="B161" s="199" t="s">
        <v>49</v>
      </c>
      <c r="C161" s="199" t="s">
        <v>50</v>
      </c>
      <c r="D161" s="200" t="s">
        <v>806</v>
      </c>
      <c r="E161" s="201" t="s">
        <v>1661</v>
      </c>
      <c r="F161" s="202" t="str">
        <f>VLOOKUP(D161,CSR!$D$4:$E$1180,2,FALSE)</f>
        <v>CSR_41200</v>
      </c>
      <c r="G161" s="267">
        <v>45973</v>
      </c>
      <c r="H161" s="257">
        <v>3</v>
      </c>
      <c r="I161" s="269">
        <f t="shared" si="2"/>
        <v>0.15789473684210525</v>
      </c>
      <c r="J161" s="251" t="s">
        <v>1081</v>
      </c>
      <c r="K161" s="257"/>
      <c r="L161" s="19"/>
    </row>
    <row r="162" spans="1:12" s="197" customFormat="1" ht="16">
      <c r="A162" s="198" t="s">
        <v>1722</v>
      </c>
      <c r="B162" s="199" t="s">
        <v>16</v>
      </c>
      <c r="C162" s="199" t="s">
        <v>17</v>
      </c>
      <c r="D162" s="200" t="s">
        <v>131</v>
      </c>
      <c r="E162" s="201" t="s">
        <v>2016</v>
      </c>
      <c r="F162" s="202" t="str">
        <f>VLOOKUP(D162,CSR!$D$4:$E$1180,2,FALSE)</f>
        <v>CSR_10400</v>
      </c>
      <c r="G162" s="267">
        <v>45981</v>
      </c>
      <c r="H162" s="257">
        <v>4</v>
      </c>
      <c r="I162" s="269">
        <f t="shared" si="2"/>
        <v>0.21052631578947367</v>
      </c>
      <c r="J162" s="251" t="s">
        <v>1081</v>
      </c>
      <c r="K162" s="257"/>
      <c r="L162" s="19"/>
    </row>
    <row r="163" spans="1:12" s="197" customFormat="1" ht="48">
      <c r="A163" s="206" t="s">
        <v>1783</v>
      </c>
      <c r="B163" s="213" t="s">
        <v>70</v>
      </c>
      <c r="C163" s="213" t="s">
        <v>245</v>
      </c>
      <c r="D163" s="218" t="s">
        <v>1475</v>
      </c>
      <c r="E163" s="218" t="s">
        <v>2017</v>
      </c>
      <c r="F163" s="202" t="str">
        <f>VLOOKUP(D163,CSR!$D$4:$E$1180,2,FALSE)</f>
        <v>CSR_20003</v>
      </c>
      <c r="G163" s="203" t="s">
        <v>2018</v>
      </c>
      <c r="H163" s="257">
        <v>1</v>
      </c>
      <c r="I163" s="269">
        <f t="shared" si="2"/>
        <v>5.2631578947368418E-2</v>
      </c>
      <c r="J163" s="251" t="s">
        <v>1081</v>
      </c>
      <c r="K163" s="257"/>
      <c r="L163" s="19"/>
    </row>
    <row r="164" spans="1:12" s="197" customFormat="1" ht="16">
      <c r="A164" s="250" t="s">
        <v>1901</v>
      </c>
      <c r="B164" s="213" t="s">
        <v>775</v>
      </c>
      <c r="C164" s="213" t="s">
        <v>175</v>
      </c>
      <c r="D164" s="204" t="s">
        <v>784</v>
      </c>
      <c r="E164" s="226" t="s">
        <v>2019</v>
      </c>
      <c r="F164" s="202" t="str">
        <f>VLOOKUP(D164,CSR!$D$4:$E$1180,2,FALSE)</f>
        <v>CSR_40300</v>
      </c>
      <c r="G164" s="267">
        <v>45959</v>
      </c>
      <c r="H164" s="257">
        <v>2</v>
      </c>
      <c r="I164" s="269">
        <f t="shared" si="2"/>
        <v>0.10526315789473684</v>
      </c>
      <c r="J164" s="250" t="s">
        <v>1098</v>
      </c>
      <c r="K164" s="257"/>
      <c r="L164" s="19"/>
    </row>
    <row r="165" spans="1:12" s="197" customFormat="1" ht="16">
      <c r="A165" s="265" t="s">
        <v>1901</v>
      </c>
      <c r="B165" s="266" t="s">
        <v>70</v>
      </c>
      <c r="C165" s="266" t="s">
        <v>245</v>
      </c>
      <c r="D165" s="214" t="s">
        <v>751</v>
      </c>
      <c r="E165" s="270" t="s">
        <v>2020</v>
      </c>
      <c r="F165" s="202" t="str">
        <f>VLOOKUP(D165,CSR!$D$4:$E$1180,2,FALSE)</f>
        <v>CSR_20100</v>
      </c>
      <c r="G165" s="267">
        <v>45960</v>
      </c>
      <c r="H165" s="257">
        <v>2</v>
      </c>
      <c r="I165" s="269">
        <f t="shared" si="2"/>
        <v>0.10526315789473684</v>
      </c>
      <c r="J165" s="250" t="s">
        <v>1098</v>
      </c>
      <c r="K165" s="257"/>
      <c r="L165" s="19"/>
    </row>
    <row r="166" spans="1:12" s="197" customFormat="1" ht="16">
      <c r="A166" s="198" t="s">
        <v>1722</v>
      </c>
      <c r="B166" s="213" t="s">
        <v>775</v>
      </c>
      <c r="C166" s="213" t="s">
        <v>175</v>
      </c>
      <c r="D166" s="204" t="s">
        <v>784</v>
      </c>
      <c r="E166" s="226" t="s">
        <v>2021</v>
      </c>
      <c r="F166" s="202" t="str">
        <f>VLOOKUP(D166,CSR!$D$4:$E$1180,2,FALSE)</f>
        <v>CSR_40300</v>
      </c>
      <c r="G166" s="267">
        <v>45964</v>
      </c>
      <c r="H166" s="257">
        <v>3</v>
      </c>
      <c r="I166" s="269">
        <f t="shared" si="2"/>
        <v>0.15789473684210525</v>
      </c>
      <c r="J166" s="250" t="s">
        <v>1098</v>
      </c>
      <c r="K166" s="257"/>
      <c r="L166" s="19"/>
    </row>
    <row r="167" spans="1:12" s="197" customFormat="1" ht="16">
      <c r="A167" s="265" t="s">
        <v>1722</v>
      </c>
      <c r="B167" s="213" t="s">
        <v>70</v>
      </c>
      <c r="C167" s="213" t="s">
        <v>245</v>
      </c>
      <c r="D167" s="218" t="s">
        <v>1984</v>
      </c>
      <c r="E167" s="257" t="s">
        <v>2022</v>
      </c>
      <c r="F167" s="202" t="str">
        <f>VLOOKUP(D167,CSR!$D$4:$E$1180,2,FALSE)</f>
        <v>CSR_20001</v>
      </c>
      <c r="G167" s="267">
        <v>45966</v>
      </c>
      <c r="H167" s="257">
        <v>2</v>
      </c>
      <c r="I167" s="269">
        <f t="shared" ref="I167:I230" si="3">H167*10/190</f>
        <v>0.10526315789473684</v>
      </c>
      <c r="J167" s="250" t="s">
        <v>1098</v>
      </c>
      <c r="K167" s="257"/>
      <c r="L167" s="19"/>
    </row>
    <row r="168" spans="1:12" s="197" customFormat="1" ht="16">
      <c r="A168" s="206" t="s">
        <v>1783</v>
      </c>
      <c r="B168" s="266" t="s">
        <v>70</v>
      </c>
      <c r="C168" s="266" t="s">
        <v>245</v>
      </c>
      <c r="D168" s="214" t="s">
        <v>751</v>
      </c>
      <c r="E168" s="210" t="s">
        <v>2023</v>
      </c>
      <c r="F168" s="202" t="str">
        <f>VLOOKUP(D168,CSR!$D$4:$E$1180,2,FALSE)</f>
        <v>CSR_20100</v>
      </c>
      <c r="G168" s="267">
        <v>45981</v>
      </c>
      <c r="H168" s="257">
        <v>2</v>
      </c>
      <c r="I168" s="269">
        <f t="shared" si="3"/>
        <v>0.10526315789473684</v>
      </c>
      <c r="J168" s="250" t="s">
        <v>1098</v>
      </c>
      <c r="K168" s="257"/>
      <c r="L168" s="19"/>
    </row>
    <row r="169" spans="1:12" s="197" customFormat="1" ht="48">
      <c r="A169" s="198" t="s">
        <v>1722</v>
      </c>
      <c r="B169" s="199" t="s">
        <v>758</v>
      </c>
      <c r="C169" s="198" t="s">
        <v>32</v>
      </c>
      <c r="D169" s="208" t="s">
        <v>880</v>
      </c>
      <c r="E169" s="218" t="s">
        <v>842</v>
      </c>
      <c r="F169" s="202" t="str">
        <f>VLOOKUP(D169,CSR!$D$4:$E$1180,2,FALSE)</f>
        <v>CSR_30600</v>
      </c>
      <c r="G169" s="203">
        <v>45981</v>
      </c>
      <c r="H169" s="208">
        <v>5</v>
      </c>
      <c r="I169" s="205">
        <f t="shared" si="3"/>
        <v>0.26315789473684209</v>
      </c>
      <c r="J169" s="199" t="s">
        <v>881</v>
      </c>
      <c r="K169" s="204"/>
      <c r="L169" s="19"/>
    </row>
    <row r="170" spans="1:12" s="197" customFormat="1" ht="32">
      <c r="A170" s="198" t="s">
        <v>1901</v>
      </c>
      <c r="B170" s="199" t="s">
        <v>16</v>
      </c>
      <c r="C170" s="199" t="s">
        <v>17</v>
      </c>
      <c r="D170" s="208" t="s">
        <v>2024</v>
      </c>
      <c r="E170" s="210" t="s">
        <v>2025</v>
      </c>
      <c r="F170" s="202" t="str">
        <f>VLOOKUP(D170,CSR!$D$4:$E$1180,2,FALSE)</f>
        <v>CSR_11401</v>
      </c>
      <c r="G170" s="203">
        <v>45954</v>
      </c>
      <c r="H170" s="208">
        <v>3</v>
      </c>
      <c r="I170" s="205">
        <f t="shared" si="3"/>
        <v>0.15789473684210525</v>
      </c>
      <c r="J170" s="199" t="s">
        <v>324</v>
      </c>
      <c r="K170" s="208"/>
      <c r="L170" s="19"/>
    </row>
    <row r="171" spans="1:12" s="197" customFormat="1" ht="32">
      <c r="A171" s="198" t="s">
        <v>1901</v>
      </c>
      <c r="B171" s="199" t="s">
        <v>16</v>
      </c>
      <c r="C171" s="199" t="s">
        <v>17</v>
      </c>
      <c r="D171" s="208" t="s">
        <v>2024</v>
      </c>
      <c r="E171" s="227" t="s">
        <v>2026</v>
      </c>
      <c r="F171" s="202" t="str">
        <f>VLOOKUP(D171,CSR!$D$4:$E$1180,2,FALSE)</f>
        <v>CSR_11401</v>
      </c>
      <c r="G171" s="203">
        <v>45961</v>
      </c>
      <c r="H171" s="204">
        <v>2</v>
      </c>
      <c r="I171" s="205">
        <f t="shared" si="3"/>
        <v>0.10526315789473684</v>
      </c>
      <c r="J171" s="206" t="s">
        <v>324</v>
      </c>
      <c r="K171" s="204"/>
      <c r="L171" s="19"/>
    </row>
    <row r="172" spans="1:12" s="197" customFormat="1" ht="32">
      <c r="A172" s="198" t="s">
        <v>1901</v>
      </c>
      <c r="B172" s="199" t="s">
        <v>16</v>
      </c>
      <c r="C172" s="199" t="s">
        <v>17</v>
      </c>
      <c r="D172" s="208" t="s">
        <v>2024</v>
      </c>
      <c r="E172" s="210" t="s">
        <v>2027</v>
      </c>
      <c r="F172" s="202" t="str">
        <f>VLOOKUP(D172,CSR!$D$4:$E$1180,2,FALSE)</f>
        <v>CSR_11401</v>
      </c>
      <c r="G172" s="203">
        <v>45961</v>
      </c>
      <c r="H172" s="204">
        <v>2</v>
      </c>
      <c r="I172" s="205">
        <f t="shared" si="3"/>
        <v>0.10526315789473684</v>
      </c>
      <c r="J172" s="206" t="s">
        <v>324</v>
      </c>
      <c r="K172" s="204"/>
      <c r="L172" s="19"/>
    </row>
    <row r="173" spans="1:12" s="197" customFormat="1" ht="48">
      <c r="A173" s="198" t="s">
        <v>1722</v>
      </c>
      <c r="B173" s="199" t="s">
        <v>16</v>
      </c>
      <c r="C173" s="199" t="s">
        <v>17</v>
      </c>
      <c r="D173" s="208" t="s">
        <v>2024</v>
      </c>
      <c r="E173" s="227" t="s">
        <v>2028</v>
      </c>
      <c r="F173" s="202" t="str">
        <f>VLOOKUP(D173,CSR!$D$4:$E$1180,2,FALSE)</f>
        <v>CSR_11401</v>
      </c>
      <c r="G173" s="203">
        <v>45968</v>
      </c>
      <c r="H173" s="204">
        <v>2</v>
      </c>
      <c r="I173" s="205">
        <f t="shared" si="3"/>
        <v>0.10526315789473684</v>
      </c>
      <c r="J173" s="206" t="s">
        <v>324</v>
      </c>
      <c r="K173" s="204"/>
      <c r="L173" s="19"/>
    </row>
    <row r="174" spans="1:12" s="197" customFormat="1" ht="48">
      <c r="A174" s="198" t="s">
        <v>1722</v>
      </c>
      <c r="B174" s="199" t="s">
        <v>16</v>
      </c>
      <c r="C174" s="199" t="s">
        <v>17</v>
      </c>
      <c r="D174" s="208" t="s">
        <v>2024</v>
      </c>
      <c r="E174" s="227" t="s">
        <v>2029</v>
      </c>
      <c r="F174" s="202" t="str">
        <f>VLOOKUP(D174,CSR!$D$4:$E$1180,2,FALSE)</f>
        <v>CSR_11401</v>
      </c>
      <c r="G174" s="203">
        <v>45968</v>
      </c>
      <c r="H174" s="204">
        <v>2</v>
      </c>
      <c r="I174" s="205">
        <f t="shared" si="3"/>
        <v>0.10526315789473684</v>
      </c>
      <c r="J174" s="206" t="s">
        <v>324</v>
      </c>
      <c r="K174" s="204"/>
      <c r="L174" s="19"/>
    </row>
    <row r="175" spans="1:12" s="197" customFormat="1" ht="32">
      <c r="A175" s="198" t="s">
        <v>1722</v>
      </c>
      <c r="B175" s="199" t="s">
        <v>16</v>
      </c>
      <c r="C175" s="199" t="s">
        <v>17</v>
      </c>
      <c r="D175" s="208" t="s">
        <v>2024</v>
      </c>
      <c r="E175" s="227" t="s">
        <v>2030</v>
      </c>
      <c r="F175" s="202" t="str">
        <f>VLOOKUP(D175,CSR!$D$4:$E$1180,2,FALSE)</f>
        <v>CSR_11401</v>
      </c>
      <c r="G175" s="203">
        <v>45975</v>
      </c>
      <c r="H175" s="204">
        <v>2</v>
      </c>
      <c r="I175" s="205">
        <f t="shared" si="3"/>
        <v>0.10526315789473684</v>
      </c>
      <c r="J175" s="206" t="s">
        <v>324</v>
      </c>
      <c r="K175" s="204"/>
      <c r="L175" s="19"/>
    </row>
    <row r="176" spans="1:12" s="197" customFormat="1" ht="32">
      <c r="A176" s="198" t="s">
        <v>1722</v>
      </c>
      <c r="B176" s="199" t="s">
        <v>16</v>
      </c>
      <c r="C176" s="199" t="s">
        <v>17</v>
      </c>
      <c r="D176" s="208" t="s">
        <v>2024</v>
      </c>
      <c r="E176" s="210" t="s">
        <v>2027</v>
      </c>
      <c r="F176" s="202" t="str">
        <f>VLOOKUP(D176,CSR!$D$4:$E$1180,2,FALSE)</f>
        <v>CSR_11401</v>
      </c>
      <c r="G176" s="203">
        <v>45975</v>
      </c>
      <c r="H176" s="204">
        <v>2</v>
      </c>
      <c r="I176" s="205">
        <f t="shared" si="3"/>
        <v>0.10526315789473684</v>
      </c>
      <c r="J176" s="206" t="s">
        <v>324</v>
      </c>
      <c r="K176" s="204"/>
      <c r="L176" s="19"/>
    </row>
    <row r="177" spans="1:12" s="197" customFormat="1" ht="48">
      <c r="A177" s="198" t="s">
        <v>1722</v>
      </c>
      <c r="B177" s="199" t="s">
        <v>16</v>
      </c>
      <c r="C177" s="199" t="s">
        <v>17</v>
      </c>
      <c r="D177" s="208" t="s">
        <v>2024</v>
      </c>
      <c r="E177" s="227" t="s">
        <v>2031</v>
      </c>
      <c r="F177" s="202" t="str">
        <f>VLOOKUP(D177,CSR!$D$4:$E$1180,2,FALSE)</f>
        <v>CSR_11401</v>
      </c>
      <c r="G177" s="203">
        <v>45981</v>
      </c>
      <c r="H177" s="204">
        <v>1</v>
      </c>
      <c r="I177" s="205">
        <f t="shared" si="3"/>
        <v>5.2631578947368418E-2</v>
      </c>
      <c r="J177" s="206" t="s">
        <v>324</v>
      </c>
      <c r="K177" s="204"/>
      <c r="L177" s="19"/>
    </row>
    <row r="178" spans="1:12" s="197" customFormat="1" ht="32">
      <c r="A178" s="198" t="s">
        <v>1722</v>
      </c>
      <c r="B178" s="199" t="s">
        <v>31</v>
      </c>
      <c r="C178" s="199" t="s">
        <v>336</v>
      </c>
      <c r="D178" s="200" t="s">
        <v>357</v>
      </c>
      <c r="E178" s="210" t="s">
        <v>2032</v>
      </c>
      <c r="F178" s="202" t="str">
        <f>VLOOKUP(D178,CSR!$D$4:$E$1180,2,FALSE)</f>
        <v>CSR_30700</v>
      </c>
      <c r="G178" s="203">
        <v>45981</v>
      </c>
      <c r="H178" s="204">
        <v>3</v>
      </c>
      <c r="I178" s="205">
        <f t="shared" si="3"/>
        <v>0.15789473684210525</v>
      </c>
      <c r="J178" s="206" t="s">
        <v>324</v>
      </c>
      <c r="K178" s="204"/>
      <c r="L178" s="19"/>
    </row>
    <row r="179" spans="1:12" s="197" customFormat="1" ht="32">
      <c r="A179" s="198" t="s">
        <v>1901</v>
      </c>
      <c r="B179" s="199" t="s">
        <v>16</v>
      </c>
      <c r="C179" s="199" t="s">
        <v>17</v>
      </c>
      <c r="D179" s="208" t="s">
        <v>2024</v>
      </c>
      <c r="E179" s="210" t="s">
        <v>2025</v>
      </c>
      <c r="F179" s="202" t="str">
        <f>VLOOKUP(D179,CSR!$D$4:$E$1180,2,FALSE)</f>
        <v>CSR_11401</v>
      </c>
      <c r="G179" s="203">
        <v>45954</v>
      </c>
      <c r="H179" s="204">
        <v>3</v>
      </c>
      <c r="I179" s="205">
        <f t="shared" si="3"/>
        <v>0.15789473684210525</v>
      </c>
      <c r="J179" s="206" t="s">
        <v>335</v>
      </c>
      <c r="K179" s="204"/>
      <c r="L179" s="19"/>
    </row>
    <row r="180" spans="1:12" s="197" customFormat="1" ht="32">
      <c r="A180" s="198" t="s">
        <v>1901</v>
      </c>
      <c r="B180" s="199" t="s">
        <v>16</v>
      </c>
      <c r="C180" s="199" t="s">
        <v>17</v>
      </c>
      <c r="D180" s="208" t="s">
        <v>2024</v>
      </c>
      <c r="E180" s="210" t="s">
        <v>2027</v>
      </c>
      <c r="F180" s="202" t="str">
        <f>VLOOKUP(D180,CSR!$D$4:$E$1180,2,FALSE)</f>
        <v>CSR_11401</v>
      </c>
      <c r="G180" s="203">
        <v>45961</v>
      </c>
      <c r="H180" s="204">
        <v>4</v>
      </c>
      <c r="I180" s="205">
        <f t="shared" si="3"/>
        <v>0.21052631578947367</v>
      </c>
      <c r="J180" s="206" t="s">
        <v>335</v>
      </c>
      <c r="K180" s="204"/>
      <c r="L180" s="19"/>
    </row>
    <row r="181" spans="1:12" s="197" customFormat="1" ht="32">
      <c r="A181" s="198" t="s">
        <v>1722</v>
      </c>
      <c r="B181" s="199" t="s">
        <v>16</v>
      </c>
      <c r="C181" s="199" t="s">
        <v>17</v>
      </c>
      <c r="D181" s="208" t="s">
        <v>2024</v>
      </c>
      <c r="E181" s="227" t="s">
        <v>2033</v>
      </c>
      <c r="F181" s="202" t="str">
        <f>VLOOKUP(D181,CSR!$D$4:$E$1180,2,FALSE)</f>
        <v>CSR_11401</v>
      </c>
      <c r="G181" s="203">
        <v>45968</v>
      </c>
      <c r="H181" s="204">
        <v>1</v>
      </c>
      <c r="I181" s="205">
        <f t="shared" si="3"/>
        <v>5.2631578947368418E-2</v>
      </c>
      <c r="J181" s="206" t="s">
        <v>335</v>
      </c>
      <c r="K181" s="204"/>
      <c r="L181" s="19"/>
    </row>
    <row r="182" spans="1:12" s="197" customFormat="1" ht="32">
      <c r="A182" s="198" t="s">
        <v>1722</v>
      </c>
      <c r="B182" s="199" t="s">
        <v>31</v>
      </c>
      <c r="C182" s="199" t="s">
        <v>336</v>
      </c>
      <c r="D182" s="208" t="s">
        <v>357</v>
      </c>
      <c r="E182" s="260" t="s">
        <v>2034</v>
      </c>
      <c r="F182" s="202" t="str">
        <f>VLOOKUP(D182,CSR!$D$4:$E$1180,2,FALSE)</f>
        <v>CSR_30700</v>
      </c>
      <c r="G182" s="203">
        <v>45968</v>
      </c>
      <c r="H182" s="204">
        <v>1</v>
      </c>
      <c r="I182" s="205">
        <f t="shared" si="3"/>
        <v>5.2631578947368418E-2</v>
      </c>
      <c r="J182" s="206" t="s">
        <v>335</v>
      </c>
      <c r="K182" s="212"/>
      <c r="L182" s="19"/>
    </row>
    <row r="183" spans="1:12" s="197" customFormat="1" ht="32">
      <c r="A183" s="198" t="s">
        <v>1722</v>
      </c>
      <c r="B183" s="199" t="s">
        <v>31</v>
      </c>
      <c r="C183" s="199" t="s">
        <v>336</v>
      </c>
      <c r="D183" s="208" t="s">
        <v>357</v>
      </c>
      <c r="E183" s="218" t="s">
        <v>2035</v>
      </c>
      <c r="F183" s="202" t="str">
        <f>VLOOKUP(D183,CSR!$D$4:$E$1180,2,FALSE)</f>
        <v>CSR_30700</v>
      </c>
      <c r="G183" s="203">
        <v>45968</v>
      </c>
      <c r="H183" s="208">
        <v>1</v>
      </c>
      <c r="I183" s="205">
        <f t="shared" si="3"/>
        <v>5.2631578947368418E-2</v>
      </c>
      <c r="J183" s="199" t="s">
        <v>335</v>
      </c>
      <c r="K183" s="204"/>
      <c r="L183" s="19"/>
    </row>
    <row r="184" spans="1:12" s="197" customFormat="1" ht="32">
      <c r="A184" s="198" t="s">
        <v>1722</v>
      </c>
      <c r="B184" s="199" t="s">
        <v>31</v>
      </c>
      <c r="C184" s="199" t="s">
        <v>336</v>
      </c>
      <c r="D184" s="208" t="s">
        <v>357</v>
      </c>
      <c r="E184" s="210" t="s">
        <v>2036</v>
      </c>
      <c r="F184" s="202" t="str">
        <f>VLOOKUP(D184,CSR!$D$4:$E$1180,2,FALSE)</f>
        <v>CSR_30700</v>
      </c>
      <c r="G184" s="203">
        <v>45968</v>
      </c>
      <c r="H184" s="204">
        <v>1</v>
      </c>
      <c r="I184" s="205">
        <f t="shared" si="3"/>
        <v>5.2631578947368418E-2</v>
      </c>
      <c r="J184" s="206" t="s">
        <v>335</v>
      </c>
      <c r="K184" s="204"/>
      <c r="L184" s="19"/>
    </row>
    <row r="185" spans="1:12" s="197" customFormat="1" ht="32">
      <c r="A185" s="198" t="s">
        <v>1722</v>
      </c>
      <c r="B185" s="199" t="s">
        <v>16</v>
      </c>
      <c r="C185" s="199" t="s">
        <v>17</v>
      </c>
      <c r="D185" s="208" t="s">
        <v>2024</v>
      </c>
      <c r="E185" s="227" t="s">
        <v>2037</v>
      </c>
      <c r="F185" s="202" t="str">
        <f>VLOOKUP(D185,CSR!$D$4:$E$1180,2,FALSE)</f>
        <v>CSR_11401</v>
      </c>
      <c r="G185" s="203">
        <v>45975</v>
      </c>
      <c r="H185" s="204">
        <v>2</v>
      </c>
      <c r="I185" s="205">
        <f t="shared" si="3"/>
        <v>0.10526315789473684</v>
      </c>
      <c r="J185" s="206" t="s">
        <v>335</v>
      </c>
      <c r="K185" s="204"/>
      <c r="L185" s="19"/>
    </row>
    <row r="186" spans="1:12" s="197" customFormat="1" ht="32">
      <c r="A186" s="198" t="s">
        <v>1722</v>
      </c>
      <c r="B186" s="199" t="s">
        <v>16</v>
      </c>
      <c r="C186" s="199" t="s">
        <v>17</v>
      </c>
      <c r="D186" s="208" t="s">
        <v>2024</v>
      </c>
      <c r="E186" s="227" t="s">
        <v>2038</v>
      </c>
      <c r="F186" s="202" t="str">
        <f>VLOOKUP(D186,CSR!$D$4:$E$1180,2,FALSE)</f>
        <v>CSR_11401</v>
      </c>
      <c r="G186" s="203">
        <v>45975</v>
      </c>
      <c r="H186" s="204">
        <v>1</v>
      </c>
      <c r="I186" s="205">
        <f t="shared" si="3"/>
        <v>5.2631578947368418E-2</v>
      </c>
      <c r="J186" s="206" t="s">
        <v>335</v>
      </c>
      <c r="K186" s="204"/>
      <c r="L186" s="19"/>
    </row>
    <row r="187" spans="1:12" s="197" customFormat="1" ht="32">
      <c r="A187" s="198" t="s">
        <v>1722</v>
      </c>
      <c r="B187" s="199" t="s">
        <v>31</v>
      </c>
      <c r="C187" s="199" t="s">
        <v>336</v>
      </c>
      <c r="D187" s="200" t="s">
        <v>357</v>
      </c>
      <c r="E187" s="226" t="s">
        <v>2039</v>
      </c>
      <c r="F187" s="202" t="str">
        <f>VLOOKUP(D187,CSR!$D$4:$E$1180,2,FALSE)</f>
        <v>CSR_30700</v>
      </c>
      <c r="G187" s="203">
        <v>45975</v>
      </c>
      <c r="H187" s="208">
        <v>1</v>
      </c>
      <c r="I187" s="205">
        <f t="shared" si="3"/>
        <v>5.2631578947368418E-2</v>
      </c>
      <c r="J187" s="199" t="s">
        <v>335</v>
      </c>
      <c r="K187" s="204"/>
      <c r="L187" s="19"/>
    </row>
    <row r="188" spans="1:12" s="197" customFormat="1" ht="32">
      <c r="A188" s="198" t="s">
        <v>1722</v>
      </c>
      <c r="B188" s="199" t="s">
        <v>16</v>
      </c>
      <c r="C188" s="199" t="s">
        <v>17</v>
      </c>
      <c r="D188" s="208" t="s">
        <v>2024</v>
      </c>
      <c r="E188" s="227" t="s">
        <v>2040</v>
      </c>
      <c r="F188" s="202" t="str">
        <f>VLOOKUP(D188,CSR!$D$4:$E$1180,2,FALSE)</f>
        <v>CSR_11401</v>
      </c>
      <c r="G188" s="203">
        <v>45981</v>
      </c>
      <c r="H188" s="204">
        <v>2</v>
      </c>
      <c r="I188" s="205">
        <f t="shared" si="3"/>
        <v>0.10526315789473684</v>
      </c>
      <c r="J188" s="206" t="s">
        <v>335</v>
      </c>
      <c r="K188" s="204"/>
      <c r="L188" s="19"/>
    </row>
    <row r="189" spans="1:12" s="197" customFormat="1" ht="32">
      <c r="A189" s="198" t="s">
        <v>1722</v>
      </c>
      <c r="B189" s="199" t="s">
        <v>31</v>
      </c>
      <c r="C189" s="198" t="s">
        <v>32</v>
      </c>
      <c r="D189" s="200" t="s">
        <v>33</v>
      </c>
      <c r="E189" s="210" t="s">
        <v>2041</v>
      </c>
      <c r="F189" s="202" t="str">
        <f>VLOOKUP(D189,CSR!$D$4:$E$1180,2,FALSE)</f>
        <v>CSR_30200</v>
      </c>
      <c r="G189" s="203">
        <v>45981</v>
      </c>
      <c r="H189" s="204">
        <v>2</v>
      </c>
      <c r="I189" s="205">
        <f t="shared" si="3"/>
        <v>0.10526315789473684</v>
      </c>
      <c r="J189" s="206" t="s">
        <v>335</v>
      </c>
      <c r="K189" s="204"/>
      <c r="L189" s="19"/>
    </row>
    <row r="190" spans="1:12" s="197" customFormat="1" ht="32">
      <c r="A190" s="198" t="s">
        <v>1901</v>
      </c>
      <c r="B190" s="199" t="s">
        <v>16</v>
      </c>
      <c r="C190" s="199" t="s">
        <v>17</v>
      </c>
      <c r="D190" s="208" t="s">
        <v>2024</v>
      </c>
      <c r="E190" s="210" t="s">
        <v>2025</v>
      </c>
      <c r="F190" s="202" t="str">
        <f>VLOOKUP(D190,CSR!$D$4:$E$1180,2,FALSE)</f>
        <v>CSR_11401</v>
      </c>
      <c r="G190" s="203">
        <v>45954</v>
      </c>
      <c r="H190" s="204">
        <v>3</v>
      </c>
      <c r="I190" s="205">
        <f t="shared" si="3"/>
        <v>0.15789473684210525</v>
      </c>
      <c r="J190" s="206" t="s">
        <v>351</v>
      </c>
      <c r="K190" s="204"/>
      <c r="L190" s="19"/>
    </row>
    <row r="191" spans="1:12" s="197" customFormat="1" ht="16">
      <c r="A191" s="198" t="s">
        <v>1901</v>
      </c>
      <c r="B191" s="199" t="s">
        <v>70</v>
      </c>
      <c r="C191" s="199" t="s">
        <v>245</v>
      </c>
      <c r="D191" s="208" t="s">
        <v>1984</v>
      </c>
      <c r="E191" s="210" t="s">
        <v>2042</v>
      </c>
      <c r="F191" s="202" t="str">
        <f>VLOOKUP(D191,CSR!$D$4:$E$1180,2,FALSE)</f>
        <v>CSR_20001</v>
      </c>
      <c r="G191" s="203">
        <v>45954</v>
      </c>
      <c r="H191" s="208">
        <v>1</v>
      </c>
      <c r="I191" s="205">
        <f t="shared" si="3"/>
        <v>5.2631578947368418E-2</v>
      </c>
      <c r="J191" s="206" t="s">
        <v>351</v>
      </c>
      <c r="K191" s="204"/>
      <c r="L191" s="19"/>
    </row>
    <row r="192" spans="1:12" s="197" customFormat="1" ht="32">
      <c r="A192" s="198" t="s">
        <v>1901</v>
      </c>
      <c r="B192" s="199" t="s">
        <v>49</v>
      </c>
      <c r="C192" s="199" t="s">
        <v>175</v>
      </c>
      <c r="D192" s="208" t="s">
        <v>187</v>
      </c>
      <c r="E192" s="210" t="s">
        <v>2043</v>
      </c>
      <c r="F192" s="202" t="str">
        <f>VLOOKUP(D192,CSR!$D$4:$E$1180,2,FALSE)</f>
        <v>CSR_40400</v>
      </c>
      <c r="G192" s="203">
        <v>45961</v>
      </c>
      <c r="H192" s="208">
        <v>3</v>
      </c>
      <c r="I192" s="205">
        <f t="shared" si="3"/>
        <v>0.15789473684210525</v>
      </c>
      <c r="J192" s="206" t="s">
        <v>351</v>
      </c>
      <c r="K192" s="204"/>
      <c r="L192" s="19"/>
    </row>
    <row r="193" spans="1:12" s="197" customFormat="1" ht="32">
      <c r="A193" s="198" t="s">
        <v>1722</v>
      </c>
      <c r="B193" s="199" t="s">
        <v>16</v>
      </c>
      <c r="C193" s="199" t="s">
        <v>17</v>
      </c>
      <c r="D193" s="208" t="s">
        <v>2024</v>
      </c>
      <c r="E193" s="210" t="s">
        <v>2044</v>
      </c>
      <c r="F193" s="202" t="str">
        <f>VLOOKUP(D193,CSR!$D$4:$E$1180,2,FALSE)</f>
        <v>CSR_11401</v>
      </c>
      <c r="G193" s="203">
        <v>45968</v>
      </c>
      <c r="H193" s="204">
        <v>2</v>
      </c>
      <c r="I193" s="205">
        <f t="shared" si="3"/>
        <v>0.10526315789473684</v>
      </c>
      <c r="J193" s="206" t="s">
        <v>351</v>
      </c>
      <c r="K193" s="204"/>
      <c r="L193" s="19"/>
    </row>
    <row r="194" spans="1:12" s="197" customFormat="1" ht="32">
      <c r="A194" s="198" t="s">
        <v>1722</v>
      </c>
      <c r="B194" s="199" t="s">
        <v>31</v>
      </c>
      <c r="C194" s="199" t="s">
        <v>336</v>
      </c>
      <c r="D194" s="208" t="s">
        <v>772</v>
      </c>
      <c r="E194" s="218" t="s">
        <v>2045</v>
      </c>
      <c r="F194" s="202" t="str">
        <f>VLOOKUP(D194,CSR!$D$4:$E$1180,2,FALSE)</f>
        <v>CSR_30800</v>
      </c>
      <c r="G194" s="203">
        <v>45968</v>
      </c>
      <c r="H194" s="208">
        <v>2</v>
      </c>
      <c r="I194" s="205">
        <f t="shared" si="3"/>
        <v>0.10526315789473684</v>
      </c>
      <c r="J194" s="199" t="s">
        <v>351</v>
      </c>
      <c r="K194" s="204"/>
      <c r="L194" s="19"/>
    </row>
    <row r="195" spans="1:12" s="197" customFormat="1" ht="32">
      <c r="A195" s="198" t="s">
        <v>1722</v>
      </c>
      <c r="B195" s="199" t="s">
        <v>16</v>
      </c>
      <c r="C195" s="199" t="s">
        <v>17</v>
      </c>
      <c r="D195" s="208" t="s">
        <v>2024</v>
      </c>
      <c r="E195" s="227" t="s">
        <v>2046</v>
      </c>
      <c r="F195" s="202" t="str">
        <f>VLOOKUP(D195,CSR!$D$4:$E$1180,2,FALSE)</f>
        <v>CSR_11401</v>
      </c>
      <c r="G195" s="203">
        <v>45975</v>
      </c>
      <c r="H195" s="204">
        <v>2</v>
      </c>
      <c r="I195" s="205">
        <f t="shared" si="3"/>
        <v>0.10526315789473684</v>
      </c>
      <c r="J195" s="206" t="s">
        <v>351</v>
      </c>
      <c r="K195" s="204"/>
      <c r="L195" s="19"/>
    </row>
    <row r="196" spans="1:12" s="197" customFormat="1" ht="32">
      <c r="A196" s="198" t="s">
        <v>1722</v>
      </c>
      <c r="B196" s="199" t="s">
        <v>16</v>
      </c>
      <c r="C196" s="199" t="s">
        <v>17</v>
      </c>
      <c r="D196" s="208" t="s">
        <v>2024</v>
      </c>
      <c r="E196" s="227" t="s">
        <v>2047</v>
      </c>
      <c r="F196" s="202" t="str">
        <f>VLOOKUP(D196,CSR!$D$4:$E$1180,2,FALSE)</f>
        <v>CSR_11401</v>
      </c>
      <c r="G196" s="203">
        <v>45975</v>
      </c>
      <c r="H196" s="204">
        <v>2</v>
      </c>
      <c r="I196" s="205">
        <f t="shared" si="3"/>
        <v>0.10526315789473684</v>
      </c>
      <c r="J196" s="206" t="s">
        <v>351</v>
      </c>
      <c r="K196" s="204"/>
      <c r="L196" s="19"/>
    </row>
    <row r="197" spans="1:12" s="197" customFormat="1" ht="32">
      <c r="A197" s="198" t="s">
        <v>1722</v>
      </c>
      <c r="B197" s="199" t="s">
        <v>16</v>
      </c>
      <c r="C197" s="199" t="s">
        <v>17</v>
      </c>
      <c r="D197" s="208" t="s">
        <v>2024</v>
      </c>
      <c r="E197" s="227" t="s">
        <v>2048</v>
      </c>
      <c r="F197" s="202" t="str">
        <f>VLOOKUP(D197,CSR!$D$4:$E$1180,2,FALSE)</f>
        <v>CSR_11401</v>
      </c>
      <c r="G197" s="203">
        <v>45981</v>
      </c>
      <c r="H197" s="204">
        <v>2</v>
      </c>
      <c r="I197" s="205">
        <f t="shared" si="3"/>
        <v>0.10526315789473684</v>
      </c>
      <c r="J197" s="206" t="s">
        <v>351</v>
      </c>
      <c r="K197" s="204"/>
      <c r="L197" s="19"/>
    </row>
    <row r="198" spans="1:12" s="197" customFormat="1" ht="48">
      <c r="A198" s="198" t="s">
        <v>1722</v>
      </c>
      <c r="B198" s="199" t="s">
        <v>16</v>
      </c>
      <c r="C198" s="199" t="s">
        <v>17</v>
      </c>
      <c r="D198" s="208" t="s">
        <v>2024</v>
      </c>
      <c r="E198" s="227" t="s">
        <v>2049</v>
      </c>
      <c r="F198" s="202" t="str">
        <f>VLOOKUP(D198,CSR!$D$4:$E$1180,2,FALSE)</f>
        <v>CSR_11401</v>
      </c>
      <c r="G198" s="203">
        <v>45981</v>
      </c>
      <c r="H198" s="204">
        <v>2</v>
      </c>
      <c r="I198" s="205">
        <f t="shared" si="3"/>
        <v>0.10526315789473684</v>
      </c>
      <c r="J198" s="206" t="s">
        <v>351</v>
      </c>
      <c r="K198" s="204"/>
      <c r="L198" s="19"/>
    </row>
    <row r="199" spans="1:12" s="197" customFormat="1" ht="16">
      <c r="A199" s="198" t="s">
        <v>1901</v>
      </c>
      <c r="B199" s="199" t="s">
        <v>16</v>
      </c>
      <c r="C199" s="199" t="s">
        <v>17</v>
      </c>
      <c r="D199" s="200" t="s">
        <v>18</v>
      </c>
      <c r="E199" s="210" t="s">
        <v>2050</v>
      </c>
      <c r="F199" s="202" t="str">
        <f>VLOOKUP(D199,CSR!$D$4:$E$1180,2,FALSE)</f>
        <v>CSR_11300</v>
      </c>
      <c r="G199" s="203">
        <v>45954</v>
      </c>
      <c r="H199" s="204">
        <v>2</v>
      </c>
      <c r="I199" s="205">
        <f t="shared" si="3"/>
        <v>0.10526315789473684</v>
      </c>
      <c r="J199" s="206" t="s">
        <v>364</v>
      </c>
      <c r="K199" s="204"/>
      <c r="L199" s="19"/>
    </row>
    <row r="200" spans="1:12" s="197" customFormat="1" ht="32">
      <c r="A200" s="198" t="s">
        <v>1901</v>
      </c>
      <c r="B200" s="199" t="s">
        <v>16</v>
      </c>
      <c r="C200" s="199" t="s">
        <v>17</v>
      </c>
      <c r="D200" s="200" t="s">
        <v>18</v>
      </c>
      <c r="E200" s="210" t="s">
        <v>2051</v>
      </c>
      <c r="F200" s="202" t="str">
        <f>VLOOKUP(D200,CSR!$D$4:$E$1180,2,FALSE)</f>
        <v>CSR_11300</v>
      </c>
      <c r="G200" s="203">
        <v>45954</v>
      </c>
      <c r="H200" s="204">
        <v>2</v>
      </c>
      <c r="I200" s="205">
        <f t="shared" si="3"/>
        <v>0.10526315789473684</v>
      </c>
      <c r="J200" s="206" t="s">
        <v>364</v>
      </c>
      <c r="K200" s="204"/>
      <c r="L200" s="19"/>
    </row>
    <row r="201" spans="1:12" s="197" customFormat="1" ht="32">
      <c r="A201" s="198" t="s">
        <v>1901</v>
      </c>
      <c r="B201" s="199" t="s">
        <v>16</v>
      </c>
      <c r="C201" s="199" t="s">
        <v>17</v>
      </c>
      <c r="D201" s="208" t="s">
        <v>2024</v>
      </c>
      <c r="E201" s="227" t="s">
        <v>2052</v>
      </c>
      <c r="F201" s="202" t="str">
        <f>VLOOKUP(D201,CSR!$D$4:$E$1180,2,FALSE)</f>
        <v>CSR_11401</v>
      </c>
      <c r="G201" s="203">
        <v>45961</v>
      </c>
      <c r="H201" s="204">
        <v>3</v>
      </c>
      <c r="I201" s="205">
        <f t="shared" si="3"/>
        <v>0.15789473684210525</v>
      </c>
      <c r="J201" s="206" t="s">
        <v>364</v>
      </c>
      <c r="K201" s="204"/>
      <c r="L201" s="19"/>
    </row>
    <row r="202" spans="1:12" s="197" customFormat="1" ht="16">
      <c r="A202" s="198" t="s">
        <v>1901</v>
      </c>
      <c r="B202" s="199" t="s">
        <v>70</v>
      </c>
      <c r="C202" s="199" t="s">
        <v>245</v>
      </c>
      <c r="D202" s="208" t="s">
        <v>255</v>
      </c>
      <c r="E202" s="227" t="s">
        <v>2053</v>
      </c>
      <c r="F202" s="202" t="str">
        <f>VLOOKUP(D202,CSR!$D$4:$E$1180,2,FALSE)</f>
        <v>CSR_20100</v>
      </c>
      <c r="G202" s="203">
        <v>45961</v>
      </c>
      <c r="H202" s="208">
        <v>1</v>
      </c>
      <c r="I202" s="205">
        <f t="shared" si="3"/>
        <v>5.2631578947368418E-2</v>
      </c>
      <c r="J202" s="199" t="s">
        <v>364</v>
      </c>
      <c r="K202" s="204"/>
      <c r="L202" s="19"/>
    </row>
    <row r="203" spans="1:12" s="197" customFormat="1" ht="48">
      <c r="A203" s="198" t="s">
        <v>1722</v>
      </c>
      <c r="B203" s="199" t="s">
        <v>16</v>
      </c>
      <c r="C203" s="199" t="s">
        <v>17</v>
      </c>
      <c r="D203" s="208" t="s">
        <v>2024</v>
      </c>
      <c r="E203" s="227" t="s">
        <v>2054</v>
      </c>
      <c r="F203" s="202" t="str">
        <f>VLOOKUP(D203,CSR!$D$4:$E$1180,2,FALSE)</f>
        <v>CSR_11401</v>
      </c>
      <c r="G203" s="203">
        <v>45968</v>
      </c>
      <c r="H203" s="204">
        <v>2</v>
      </c>
      <c r="I203" s="205">
        <f t="shared" si="3"/>
        <v>0.10526315789473684</v>
      </c>
      <c r="J203" s="206" t="s">
        <v>364</v>
      </c>
      <c r="K203" s="204"/>
      <c r="L203" s="19"/>
    </row>
    <row r="204" spans="1:12" s="197" customFormat="1" ht="32">
      <c r="A204" s="198" t="s">
        <v>1722</v>
      </c>
      <c r="B204" s="199" t="s">
        <v>16</v>
      </c>
      <c r="C204" s="199" t="s">
        <v>17</v>
      </c>
      <c r="D204" s="208" t="s">
        <v>2024</v>
      </c>
      <c r="E204" s="227" t="s">
        <v>2055</v>
      </c>
      <c r="F204" s="202" t="str">
        <f>VLOOKUP(D204,CSR!$D$4:$E$1180,2,FALSE)</f>
        <v>CSR_11401</v>
      </c>
      <c r="G204" s="203">
        <v>45968</v>
      </c>
      <c r="H204" s="204">
        <v>2</v>
      </c>
      <c r="I204" s="205">
        <f t="shared" si="3"/>
        <v>0.10526315789473684</v>
      </c>
      <c r="J204" s="206" t="s">
        <v>364</v>
      </c>
      <c r="K204" s="204"/>
      <c r="L204" s="19"/>
    </row>
    <row r="205" spans="1:12" s="197" customFormat="1" ht="32">
      <c r="A205" s="198" t="s">
        <v>1722</v>
      </c>
      <c r="B205" s="199" t="s">
        <v>16</v>
      </c>
      <c r="C205" s="199" t="s">
        <v>17</v>
      </c>
      <c r="D205" s="208" t="s">
        <v>2024</v>
      </c>
      <c r="E205" s="227" t="s">
        <v>2037</v>
      </c>
      <c r="F205" s="202" t="str">
        <f>VLOOKUP(D205,CSR!$D$4:$E$1180,2,FALSE)</f>
        <v>CSR_11401</v>
      </c>
      <c r="G205" s="203">
        <v>45975</v>
      </c>
      <c r="H205" s="204">
        <v>3</v>
      </c>
      <c r="I205" s="205">
        <f t="shared" si="3"/>
        <v>0.15789473684210525</v>
      </c>
      <c r="J205" s="206" t="s">
        <v>364</v>
      </c>
      <c r="K205" s="204"/>
      <c r="L205" s="19"/>
    </row>
    <row r="206" spans="1:12" s="197" customFormat="1" ht="32">
      <c r="A206" s="198" t="s">
        <v>1722</v>
      </c>
      <c r="B206" s="199" t="s">
        <v>16</v>
      </c>
      <c r="C206" s="199" t="s">
        <v>17</v>
      </c>
      <c r="D206" s="208" t="s">
        <v>2024</v>
      </c>
      <c r="E206" s="227" t="s">
        <v>2040</v>
      </c>
      <c r="F206" s="202" t="str">
        <f>VLOOKUP(D206,CSR!$D$4:$E$1180,2,FALSE)</f>
        <v>CSR_11401</v>
      </c>
      <c r="G206" s="203">
        <v>45981</v>
      </c>
      <c r="H206" s="204">
        <v>3</v>
      </c>
      <c r="I206" s="205">
        <f t="shared" si="3"/>
        <v>0.15789473684210525</v>
      </c>
      <c r="J206" s="206" t="s">
        <v>364</v>
      </c>
      <c r="K206" s="204"/>
      <c r="L206" s="19"/>
    </row>
    <row r="207" spans="1:12" s="197" customFormat="1" ht="48">
      <c r="A207" s="198" t="s">
        <v>1722</v>
      </c>
      <c r="B207" s="199" t="s">
        <v>16</v>
      </c>
      <c r="C207" s="199" t="s">
        <v>17</v>
      </c>
      <c r="D207" s="208" t="s">
        <v>2024</v>
      </c>
      <c r="E207" s="227" t="s">
        <v>2031</v>
      </c>
      <c r="F207" s="202" t="str">
        <f>VLOOKUP(D207,CSR!$D$4:$E$1180,2,FALSE)</f>
        <v>CSR_11401</v>
      </c>
      <c r="G207" s="203">
        <v>45981</v>
      </c>
      <c r="H207" s="204">
        <v>1</v>
      </c>
      <c r="I207" s="205">
        <f t="shared" si="3"/>
        <v>5.2631578947368418E-2</v>
      </c>
      <c r="J207" s="206" t="s">
        <v>364</v>
      </c>
      <c r="K207" s="204"/>
      <c r="L207" s="19"/>
    </row>
    <row r="208" spans="1:12" s="197" customFormat="1" ht="32">
      <c r="A208" s="198" t="s">
        <v>1901</v>
      </c>
      <c r="B208" s="199" t="s">
        <v>70</v>
      </c>
      <c r="C208" s="199" t="s">
        <v>245</v>
      </c>
      <c r="D208" s="200" t="s">
        <v>1631</v>
      </c>
      <c r="E208" s="218" t="s">
        <v>2056</v>
      </c>
      <c r="F208" s="202" t="str">
        <f>VLOOKUP(D208,CSR!$D$4:$E$1180,2,FALSE)</f>
        <v>CSR_20002</v>
      </c>
      <c r="G208" s="203">
        <v>45954</v>
      </c>
      <c r="H208" s="208">
        <v>3</v>
      </c>
      <c r="I208" s="205">
        <f t="shared" si="3"/>
        <v>0.15789473684210525</v>
      </c>
      <c r="J208" s="199" t="s">
        <v>375</v>
      </c>
      <c r="K208" s="204"/>
      <c r="L208" s="19"/>
    </row>
    <row r="209" spans="1:12" s="197" customFormat="1" ht="32">
      <c r="A209" s="198" t="s">
        <v>1901</v>
      </c>
      <c r="B209" s="199" t="s">
        <v>16</v>
      </c>
      <c r="C209" s="199" t="s">
        <v>17</v>
      </c>
      <c r="D209" s="208" t="s">
        <v>2024</v>
      </c>
      <c r="E209" s="210" t="s">
        <v>2044</v>
      </c>
      <c r="F209" s="202" t="str">
        <f>VLOOKUP(D209,CSR!$D$4:$E$1180,2,FALSE)</f>
        <v>CSR_11401</v>
      </c>
      <c r="G209" s="203">
        <v>45961</v>
      </c>
      <c r="H209" s="204">
        <v>2</v>
      </c>
      <c r="I209" s="205">
        <f t="shared" si="3"/>
        <v>0.10526315789473684</v>
      </c>
      <c r="J209" s="206" t="s">
        <v>375</v>
      </c>
      <c r="K209" s="204"/>
      <c r="L209" s="19"/>
    </row>
    <row r="210" spans="1:12" s="197" customFormat="1" ht="32">
      <c r="A210" s="198" t="s">
        <v>1901</v>
      </c>
      <c r="B210" s="199" t="s">
        <v>70</v>
      </c>
      <c r="C210" s="199" t="s">
        <v>245</v>
      </c>
      <c r="D210" s="208" t="s">
        <v>1984</v>
      </c>
      <c r="E210" s="227" t="s">
        <v>2057</v>
      </c>
      <c r="F210" s="202" t="str">
        <f>VLOOKUP(D210,CSR!$D$4:$E$1180,2,FALSE)</f>
        <v>CSR_20001</v>
      </c>
      <c r="G210" s="203">
        <v>45961</v>
      </c>
      <c r="H210" s="204">
        <v>2</v>
      </c>
      <c r="I210" s="205">
        <f t="shared" si="3"/>
        <v>0.10526315789473684</v>
      </c>
      <c r="J210" s="206" t="s">
        <v>375</v>
      </c>
      <c r="K210" s="204"/>
      <c r="L210" s="19"/>
    </row>
    <row r="211" spans="1:12" s="197" customFormat="1" ht="32">
      <c r="A211" s="198" t="s">
        <v>1722</v>
      </c>
      <c r="B211" s="199" t="s">
        <v>16</v>
      </c>
      <c r="C211" s="199" t="s">
        <v>17</v>
      </c>
      <c r="D211" s="208" t="s">
        <v>2024</v>
      </c>
      <c r="E211" s="210" t="s">
        <v>2027</v>
      </c>
      <c r="F211" s="202" t="str">
        <f>VLOOKUP(D211,CSR!$D$4:$E$1180,2,FALSE)</f>
        <v>CSR_11401</v>
      </c>
      <c r="G211" s="203">
        <v>45968</v>
      </c>
      <c r="H211" s="204">
        <v>3</v>
      </c>
      <c r="I211" s="205">
        <f t="shared" si="3"/>
        <v>0.15789473684210525</v>
      </c>
      <c r="J211" s="206" t="s">
        <v>375</v>
      </c>
      <c r="K211" s="204"/>
      <c r="L211" s="19"/>
    </row>
    <row r="212" spans="1:12" s="197" customFormat="1" ht="32">
      <c r="A212" s="198" t="s">
        <v>1722</v>
      </c>
      <c r="B212" s="199" t="s">
        <v>70</v>
      </c>
      <c r="C212" s="199" t="s">
        <v>245</v>
      </c>
      <c r="D212" s="208" t="s">
        <v>737</v>
      </c>
      <c r="E212" s="218" t="s">
        <v>2058</v>
      </c>
      <c r="F212" s="202" t="str">
        <f>VLOOKUP(D212,CSR!$D$4:$E$1180,2,FALSE)</f>
        <v>CSR_20002</v>
      </c>
      <c r="G212" s="203">
        <v>45968</v>
      </c>
      <c r="H212" s="218">
        <v>1</v>
      </c>
      <c r="I212" s="205">
        <f t="shared" si="3"/>
        <v>5.2631578947368418E-2</v>
      </c>
      <c r="J212" s="206" t="s">
        <v>375</v>
      </c>
      <c r="K212" s="204"/>
      <c r="L212" s="19"/>
    </row>
    <row r="213" spans="1:12" s="197" customFormat="1" ht="32">
      <c r="A213" s="198" t="s">
        <v>1722</v>
      </c>
      <c r="B213" s="199" t="s">
        <v>16</v>
      </c>
      <c r="C213" s="199" t="s">
        <v>17</v>
      </c>
      <c r="D213" s="208" t="s">
        <v>2024</v>
      </c>
      <c r="E213" s="227" t="s">
        <v>2059</v>
      </c>
      <c r="F213" s="202" t="str">
        <f>VLOOKUP(D213,CSR!$D$4:$E$1180,2,FALSE)</f>
        <v>CSR_11401</v>
      </c>
      <c r="G213" s="203">
        <v>45975</v>
      </c>
      <c r="H213" s="204">
        <v>2</v>
      </c>
      <c r="I213" s="205">
        <f t="shared" si="3"/>
        <v>0.10526315789473684</v>
      </c>
      <c r="J213" s="206" t="s">
        <v>375</v>
      </c>
      <c r="K213" s="204"/>
      <c r="L213" s="19"/>
    </row>
    <row r="214" spans="1:12" s="197" customFormat="1" ht="32">
      <c r="A214" s="198" t="s">
        <v>1722</v>
      </c>
      <c r="B214" s="199" t="s">
        <v>16</v>
      </c>
      <c r="C214" s="199" t="s">
        <v>17</v>
      </c>
      <c r="D214" s="208" t="s">
        <v>2024</v>
      </c>
      <c r="E214" s="210" t="s">
        <v>2044</v>
      </c>
      <c r="F214" s="202" t="str">
        <f>VLOOKUP(D214,CSR!$D$4:$E$1180,2,FALSE)</f>
        <v>CSR_11401</v>
      </c>
      <c r="G214" s="203">
        <v>45975</v>
      </c>
      <c r="H214" s="204">
        <v>2</v>
      </c>
      <c r="I214" s="205">
        <f t="shared" si="3"/>
        <v>0.10526315789473684</v>
      </c>
      <c r="J214" s="206" t="s">
        <v>375</v>
      </c>
      <c r="K214" s="204"/>
      <c r="L214" s="19"/>
    </row>
    <row r="215" spans="1:12" s="197" customFormat="1" ht="32">
      <c r="A215" s="198" t="s">
        <v>1722</v>
      </c>
      <c r="B215" s="199" t="s">
        <v>16</v>
      </c>
      <c r="C215" s="199" t="s">
        <v>17</v>
      </c>
      <c r="D215" s="208" t="s">
        <v>2024</v>
      </c>
      <c r="E215" s="227" t="s">
        <v>2060</v>
      </c>
      <c r="F215" s="202" t="str">
        <f>VLOOKUP(D215,CSR!$D$4:$E$1180,2,FALSE)</f>
        <v>CSR_11401</v>
      </c>
      <c r="G215" s="203">
        <v>45981</v>
      </c>
      <c r="H215" s="204">
        <v>2</v>
      </c>
      <c r="I215" s="205">
        <f t="shared" si="3"/>
        <v>0.10526315789473684</v>
      </c>
      <c r="J215" s="206" t="s">
        <v>375</v>
      </c>
      <c r="K215" s="204"/>
      <c r="L215" s="19"/>
    </row>
    <row r="216" spans="1:12" s="197" customFormat="1" ht="48">
      <c r="A216" s="198" t="s">
        <v>1722</v>
      </c>
      <c r="B216" s="199" t="s">
        <v>16</v>
      </c>
      <c r="C216" s="199" t="s">
        <v>17</v>
      </c>
      <c r="D216" s="208" t="s">
        <v>2024</v>
      </c>
      <c r="E216" s="227" t="s">
        <v>2061</v>
      </c>
      <c r="F216" s="202" t="str">
        <f>VLOOKUP(D216,CSR!$D$4:$E$1180,2,FALSE)</f>
        <v>CSR_11401</v>
      </c>
      <c r="G216" s="203">
        <v>45981</v>
      </c>
      <c r="H216" s="204">
        <v>2</v>
      </c>
      <c r="I216" s="205">
        <f t="shared" si="3"/>
        <v>0.10526315789473684</v>
      </c>
      <c r="J216" s="206" t="s">
        <v>375</v>
      </c>
      <c r="K216" s="204"/>
      <c r="L216" s="19"/>
    </row>
    <row r="217" spans="1:12" s="197" customFormat="1" ht="32">
      <c r="A217" s="198" t="s">
        <v>1901</v>
      </c>
      <c r="B217" s="199" t="s">
        <v>49</v>
      </c>
      <c r="C217" s="199" t="s">
        <v>175</v>
      </c>
      <c r="D217" s="208" t="s">
        <v>191</v>
      </c>
      <c r="E217" s="218" t="s">
        <v>2062</v>
      </c>
      <c r="F217" s="202" t="str">
        <f>VLOOKUP(D217,CSR!$D$4:$E$1180,2,FALSE)</f>
        <v>CSR_40300</v>
      </c>
      <c r="G217" s="203">
        <v>45954</v>
      </c>
      <c r="H217" s="208">
        <v>4</v>
      </c>
      <c r="I217" s="205">
        <f t="shared" si="3"/>
        <v>0.21052631578947367</v>
      </c>
      <c r="J217" s="199" t="s">
        <v>386</v>
      </c>
      <c r="K217" s="204"/>
      <c r="L217" s="19"/>
    </row>
    <row r="218" spans="1:12" s="197" customFormat="1" ht="32">
      <c r="A218" s="198" t="s">
        <v>1901</v>
      </c>
      <c r="B218" s="199" t="s">
        <v>16</v>
      </c>
      <c r="C218" s="199" t="s">
        <v>17</v>
      </c>
      <c r="D218" s="208" t="s">
        <v>2024</v>
      </c>
      <c r="E218" s="227" t="s">
        <v>2063</v>
      </c>
      <c r="F218" s="202" t="str">
        <f>VLOOKUP(D218,CSR!$D$4:$E$1180,2,FALSE)</f>
        <v>CSR_11401</v>
      </c>
      <c r="G218" s="203">
        <v>45961</v>
      </c>
      <c r="H218" s="204">
        <v>2</v>
      </c>
      <c r="I218" s="205">
        <f t="shared" si="3"/>
        <v>0.10526315789473684</v>
      </c>
      <c r="J218" s="206" t="s">
        <v>386</v>
      </c>
      <c r="K218" s="204"/>
      <c r="L218" s="19"/>
    </row>
    <row r="219" spans="1:12" s="197" customFormat="1" ht="32">
      <c r="A219" s="198" t="s">
        <v>1901</v>
      </c>
      <c r="B219" s="199" t="s">
        <v>31</v>
      </c>
      <c r="C219" s="199" t="s">
        <v>336</v>
      </c>
      <c r="D219" s="208" t="s">
        <v>337</v>
      </c>
      <c r="E219" s="227" t="s">
        <v>2064</v>
      </c>
      <c r="F219" s="202" t="str">
        <f>VLOOKUP(D219,CSR!$D$4:$E$1180,2,FALSE)</f>
        <v>CSR_30800</v>
      </c>
      <c r="G219" s="203">
        <v>45961</v>
      </c>
      <c r="H219" s="208">
        <v>2</v>
      </c>
      <c r="I219" s="205">
        <f t="shared" si="3"/>
        <v>0.10526315789473684</v>
      </c>
      <c r="J219" s="199" t="s">
        <v>386</v>
      </c>
      <c r="K219" s="204"/>
      <c r="L219" s="19"/>
    </row>
    <row r="220" spans="1:12" s="197" customFormat="1" ht="48">
      <c r="A220" s="198" t="s">
        <v>1722</v>
      </c>
      <c r="B220" s="199" t="s">
        <v>16</v>
      </c>
      <c r="C220" s="199" t="s">
        <v>17</v>
      </c>
      <c r="D220" s="208" t="s">
        <v>2024</v>
      </c>
      <c r="E220" s="227" t="s">
        <v>2065</v>
      </c>
      <c r="F220" s="202" t="str">
        <f>VLOOKUP(D220,CSR!$D$4:$E$1180,2,FALSE)</f>
        <v>CSR_11401</v>
      </c>
      <c r="G220" s="203">
        <v>45968</v>
      </c>
      <c r="H220" s="204">
        <v>2</v>
      </c>
      <c r="I220" s="205">
        <f t="shared" si="3"/>
        <v>0.10526315789473684</v>
      </c>
      <c r="J220" s="206" t="s">
        <v>386</v>
      </c>
      <c r="K220" s="204"/>
      <c r="L220" s="19"/>
    </row>
    <row r="221" spans="1:12" s="197" customFormat="1" ht="48">
      <c r="A221" s="198" t="s">
        <v>1722</v>
      </c>
      <c r="B221" s="199" t="s">
        <v>16</v>
      </c>
      <c r="C221" s="199" t="s">
        <v>17</v>
      </c>
      <c r="D221" s="208" t="s">
        <v>2024</v>
      </c>
      <c r="E221" s="227" t="s">
        <v>2066</v>
      </c>
      <c r="F221" s="202" t="str">
        <f>VLOOKUP(D221,CSR!$D$4:$E$1180,2,FALSE)</f>
        <v>CSR_11401</v>
      </c>
      <c r="G221" s="203">
        <v>45968</v>
      </c>
      <c r="H221" s="204">
        <v>2</v>
      </c>
      <c r="I221" s="205">
        <f t="shared" si="3"/>
        <v>0.10526315789473684</v>
      </c>
      <c r="J221" s="206" t="s">
        <v>386</v>
      </c>
      <c r="K221" s="204"/>
      <c r="L221" s="19"/>
    </row>
    <row r="222" spans="1:12" s="197" customFormat="1" ht="16">
      <c r="A222" s="198" t="s">
        <v>1722</v>
      </c>
      <c r="B222" s="199" t="s">
        <v>70</v>
      </c>
      <c r="C222" s="199" t="s">
        <v>245</v>
      </c>
      <c r="D222" s="208" t="s">
        <v>737</v>
      </c>
      <c r="E222" s="227" t="s">
        <v>2067</v>
      </c>
      <c r="F222" s="202" t="str">
        <f>VLOOKUP(D222,CSR!$D$4:$E$1180,2,FALSE)</f>
        <v>CSR_20002</v>
      </c>
      <c r="G222" s="203">
        <v>45975</v>
      </c>
      <c r="H222" s="204">
        <v>1</v>
      </c>
      <c r="I222" s="205">
        <f t="shared" si="3"/>
        <v>5.2631578947368418E-2</v>
      </c>
      <c r="J222" s="206" t="s">
        <v>386</v>
      </c>
      <c r="K222" s="208"/>
      <c r="L222" s="19"/>
    </row>
    <row r="223" spans="1:12" s="197" customFormat="1" ht="32">
      <c r="A223" s="198" t="s">
        <v>1722</v>
      </c>
      <c r="B223" s="199" t="s">
        <v>70</v>
      </c>
      <c r="C223" s="199" t="s">
        <v>245</v>
      </c>
      <c r="D223" s="208" t="s">
        <v>1475</v>
      </c>
      <c r="E223" s="208" t="s">
        <v>2068</v>
      </c>
      <c r="F223" s="202" t="str">
        <f>VLOOKUP(D223,CSR!$D$4:$E$1180,2,FALSE)</f>
        <v>CSR_20003</v>
      </c>
      <c r="G223" s="203">
        <v>45975</v>
      </c>
      <c r="H223" s="218">
        <v>3</v>
      </c>
      <c r="I223" s="205">
        <f t="shared" si="3"/>
        <v>0.15789473684210525</v>
      </c>
      <c r="J223" s="206" t="s">
        <v>386</v>
      </c>
      <c r="K223" s="204"/>
      <c r="L223" s="19"/>
    </row>
    <row r="224" spans="1:12" s="197" customFormat="1" ht="16">
      <c r="A224" s="198" t="s">
        <v>1722</v>
      </c>
      <c r="B224" s="199" t="s">
        <v>70</v>
      </c>
      <c r="C224" s="199" t="s">
        <v>245</v>
      </c>
      <c r="D224" s="200" t="s">
        <v>737</v>
      </c>
      <c r="E224" s="227" t="s">
        <v>2067</v>
      </c>
      <c r="F224" s="202" t="str">
        <f>VLOOKUP(D224,CSR!$D$4:$E$1180,2,FALSE)</f>
        <v>CSR_20002</v>
      </c>
      <c r="G224" s="203">
        <v>45981</v>
      </c>
      <c r="H224" s="204">
        <v>1</v>
      </c>
      <c r="I224" s="205">
        <f t="shared" si="3"/>
        <v>5.2631578947368418E-2</v>
      </c>
      <c r="J224" s="206" t="s">
        <v>386</v>
      </c>
      <c r="K224" s="204"/>
      <c r="L224" s="19"/>
    </row>
    <row r="225" spans="1:12" s="197" customFormat="1" ht="16">
      <c r="A225" s="198" t="s">
        <v>1722</v>
      </c>
      <c r="B225" s="199" t="s">
        <v>49</v>
      </c>
      <c r="C225" s="199" t="s">
        <v>175</v>
      </c>
      <c r="D225" s="200" t="s">
        <v>1327</v>
      </c>
      <c r="E225" s="210" t="s">
        <v>2014</v>
      </c>
      <c r="F225" s="202" t="str">
        <f>VLOOKUP(D225,CSR!$D$4:$E$1180,2,FALSE)</f>
        <v>CSR_40800</v>
      </c>
      <c r="G225" s="203">
        <v>45981</v>
      </c>
      <c r="H225" s="204">
        <v>2</v>
      </c>
      <c r="I225" s="205">
        <f t="shared" si="3"/>
        <v>0.10526315789473684</v>
      </c>
      <c r="J225" s="206" t="s">
        <v>386</v>
      </c>
      <c r="K225" s="204"/>
      <c r="L225" s="19"/>
    </row>
    <row r="226" spans="1:12" s="197" customFormat="1" ht="32">
      <c r="A226" s="198" t="s">
        <v>1901</v>
      </c>
      <c r="B226" s="199" t="s">
        <v>49</v>
      </c>
      <c r="C226" s="199" t="s">
        <v>175</v>
      </c>
      <c r="D226" s="208" t="s">
        <v>191</v>
      </c>
      <c r="E226" s="218" t="s">
        <v>2069</v>
      </c>
      <c r="F226" s="202" t="str">
        <f>VLOOKUP(D226,CSR!$D$4:$E$1180,2,FALSE)</f>
        <v>CSR_40300</v>
      </c>
      <c r="G226" s="203">
        <v>45954</v>
      </c>
      <c r="H226" s="208">
        <v>4</v>
      </c>
      <c r="I226" s="205">
        <f t="shared" si="3"/>
        <v>0.21052631578947367</v>
      </c>
      <c r="J226" s="199" t="s">
        <v>395</v>
      </c>
      <c r="K226" s="204"/>
      <c r="L226" s="19"/>
    </row>
    <row r="227" spans="1:12" s="197" customFormat="1" ht="32">
      <c r="A227" s="198" t="s">
        <v>1901</v>
      </c>
      <c r="B227" s="199" t="s">
        <v>16</v>
      </c>
      <c r="C227" s="199" t="s">
        <v>17</v>
      </c>
      <c r="D227" s="208" t="s">
        <v>2024</v>
      </c>
      <c r="E227" s="210" t="s">
        <v>2044</v>
      </c>
      <c r="F227" s="202" t="str">
        <f>VLOOKUP(D227,CSR!$D$4:$E$1180,2,FALSE)</f>
        <v>CSR_11401</v>
      </c>
      <c r="G227" s="203">
        <v>45961</v>
      </c>
      <c r="H227" s="204">
        <v>4</v>
      </c>
      <c r="I227" s="205">
        <f t="shared" si="3"/>
        <v>0.21052631578947367</v>
      </c>
      <c r="J227" s="206" t="s">
        <v>395</v>
      </c>
      <c r="K227" s="204"/>
      <c r="L227" s="19"/>
    </row>
    <row r="228" spans="1:12" s="197" customFormat="1" ht="32">
      <c r="A228" s="198" t="s">
        <v>1722</v>
      </c>
      <c r="B228" s="199" t="s">
        <v>16</v>
      </c>
      <c r="C228" s="199" t="s">
        <v>17</v>
      </c>
      <c r="D228" s="246" t="s">
        <v>2024</v>
      </c>
      <c r="E228" s="227" t="s">
        <v>2070</v>
      </c>
      <c r="F228" s="202" t="str">
        <f>VLOOKUP(D228,CSR!$D$4:$E$1180,2,FALSE)</f>
        <v>CSR_11401</v>
      </c>
      <c r="G228" s="203">
        <v>45968</v>
      </c>
      <c r="H228" s="204">
        <v>2</v>
      </c>
      <c r="I228" s="205">
        <f t="shared" si="3"/>
        <v>0.10526315789473684</v>
      </c>
      <c r="J228" s="206" t="s">
        <v>395</v>
      </c>
      <c r="K228" s="204"/>
      <c r="L228" s="19"/>
    </row>
    <row r="229" spans="1:12" s="197" customFormat="1" ht="32">
      <c r="A229" s="198" t="s">
        <v>1722</v>
      </c>
      <c r="B229" s="199" t="s">
        <v>31</v>
      </c>
      <c r="C229" s="199" t="s">
        <v>336</v>
      </c>
      <c r="D229" s="208" t="s">
        <v>337</v>
      </c>
      <c r="E229" s="260" t="s">
        <v>2071</v>
      </c>
      <c r="F229" s="202" t="str">
        <f>VLOOKUP(D229,CSR!$D$4:$E$1180,2,FALSE)</f>
        <v>CSR_30800</v>
      </c>
      <c r="G229" s="203">
        <v>45968</v>
      </c>
      <c r="H229" s="208">
        <v>1</v>
      </c>
      <c r="I229" s="205">
        <f t="shared" si="3"/>
        <v>5.2631578947368418E-2</v>
      </c>
      <c r="J229" s="206" t="s">
        <v>395</v>
      </c>
      <c r="K229" s="204"/>
      <c r="L229" s="19"/>
    </row>
    <row r="230" spans="1:12" s="197" customFormat="1" ht="32">
      <c r="A230" s="198" t="s">
        <v>1722</v>
      </c>
      <c r="B230" s="199" t="s">
        <v>31</v>
      </c>
      <c r="C230" s="199" t="s">
        <v>336</v>
      </c>
      <c r="D230" s="246" t="s">
        <v>337</v>
      </c>
      <c r="E230" s="218" t="s">
        <v>2072</v>
      </c>
      <c r="F230" s="202" t="str">
        <f>VLOOKUP(D230,CSR!$D$4:$E$1180,2,FALSE)</f>
        <v>CSR_30800</v>
      </c>
      <c r="G230" s="203">
        <v>45968</v>
      </c>
      <c r="H230" s="204">
        <v>1</v>
      </c>
      <c r="I230" s="205">
        <f t="shared" si="3"/>
        <v>5.2631578947368418E-2</v>
      </c>
      <c r="J230" s="206" t="s">
        <v>395</v>
      </c>
      <c r="K230" s="204"/>
      <c r="L230" s="19"/>
    </row>
    <row r="231" spans="1:12" s="197" customFormat="1" ht="32">
      <c r="A231" s="198" t="s">
        <v>1722</v>
      </c>
      <c r="B231" s="199" t="s">
        <v>16</v>
      </c>
      <c r="C231" s="199" t="s">
        <v>17</v>
      </c>
      <c r="D231" s="208" t="s">
        <v>2024</v>
      </c>
      <c r="E231" s="227" t="s">
        <v>2046</v>
      </c>
      <c r="F231" s="202" t="str">
        <f>VLOOKUP(D231,CSR!$D$4:$E$1180,2,FALSE)</f>
        <v>CSR_11401</v>
      </c>
      <c r="G231" s="203">
        <v>45975</v>
      </c>
      <c r="H231" s="204">
        <v>2</v>
      </c>
      <c r="I231" s="205">
        <f t="shared" ref="I231:I237" si="4">H231*10/190</f>
        <v>0.10526315789473684</v>
      </c>
      <c r="J231" s="206" t="s">
        <v>395</v>
      </c>
      <c r="K231" s="212"/>
      <c r="L231" s="19"/>
    </row>
    <row r="232" spans="1:12" ht="32">
      <c r="A232" s="198" t="s">
        <v>1722</v>
      </c>
      <c r="B232" s="199" t="s">
        <v>16</v>
      </c>
      <c r="C232" s="199" t="s">
        <v>17</v>
      </c>
      <c r="D232" s="208" t="s">
        <v>2024</v>
      </c>
      <c r="E232" s="210" t="s">
        <v>2044</v>
      </c>
      <c r="F232" s="202" t="str">
        <f>VLOOKUP(D232,CSR!$D$4:$E$1180,2,FALSE)</f>
        <v>CSR_11401</v>
      </c>
      <c r="G232" s="203">
        <v>45975</v>
      </c>
      <c r="H232" s="204">
        <v>2</v>
      </c>
      <c r="I232" s="205">
        <f t="shared" si="4"/>
        <v>0.10526315789473684</v>
      </c>
      <c r="J232" s="206" t="s">
        <v>395</v>
      </c>
      <c r="K232" s="204"/>
    </row>
    <row r="233" spans="1:12" ht="32">
      <c r="A233" s="198" t="s">
        <v>1722</v>
      </c>
      <c r="B233" s="199" t="s">
        <v>16</v>
      </c>
      <c r="C233" s="199" t="s">
        <v>17</v>
      </c>
      <c r="D233" s="208" t="s">
        <v>2024</v>
      </c>
      <c r="E233" s="227" t="s">
        <v>2048</v>
      </c>
      <c r="F233" s="202" t="str">
        <f>VLOOKUP(D233,CSR!$D$4:$E$1180,2,FALSE)</f>
        <v>CSR_11401</v>
      </c>
      <c r="G233" s="203">
        <v>45981</v>
      </c>
      <c r="H233" s="204">
        <v>2</v>
      </c>
      <c r="I233" s="205">
        <f t="shared" si="4"/>
        <v>0.10526315789473684</v>
      </c>
      <c r="J233" s="206" t="s">
        <v>395</v>
      </c>
      <c r="K233" s="204"/>
    </row>
    <row r="234" spans="1:12" ht="48">
      <c r="A234" s="198" t="s">
        <v>1722</v>
      </c>
      <c r="B234" s="199" t="s">
        <v>16</v>
      </c>
      <c r="C234" s="199" t="s">
        <v>17</v>
      </c>
      <c r="D234" s="208" t="s">
        <v>2024</v>
      </c>
      <c r="E234" s="227" t="s">
        <v>2049</v>
      </c>
      <c r="F234" s="202" t="str">
        <f>VLOOKUP(D234,CSR!$D$4:$E$1180,2,FALSE)</f>
        <v>CSR_11401</v>
      </c>
      <c r="G234" s="203">
        <v>45981</v>
      </c>
      <c r="H234" s="204">
        <v>1</v>
      </c>
      <c r="I234" s="205">
        <f t="shared" si="4"/>
        <v>5.2631578947368418E-2</v>
      </c>
      <c r="J234" s="206" t="s">
        <v>395</v>
      </c>
      <c r="K234" s="204"/>
    </row>
    <row r="235" spans="1:12" ht="16">
      <c r="A235" s="198" t="s">
        <v>1722</v>
      </c>
      <c r="B235" s="199" t="s">
        <v>49</v>
      </c>
      <c r="C235" s="199" t="s">
        <v>175</v>
      </c>
      <c r="D235" s="208" t="s">
        <v>1327</v>
      </c>
      <c r="E235" s="201" t="s">
        <v>2073</v>
      </c>
      <c r="F235" s="202" t="str">
        <f>VLOOKUP(D235,CSR!$D$4:$E$1180,2,FALSE)</f>
        <v>CSR_40800</v>
      </c>
      <c r="G235" s="261">
        <v>45979</v>
      </c>
      <c r="H235" s="204">
        <v>2</v>
      </c>
      <c r="I235" s="241">
        <f t="shared" si="4"/>
        <v>0.10526315789473684</v>
      </c>
      <c r="J235" s="199" t="s">
        <v>914</v>
      </c>
      <c r="K235" s="204"/>
    </row>
    <row r="236" spans="1:12" ht="32">
      <c r="A236" s="198" t="s">
        <v>1722</v>
      </c>
      <c r="B236" s="199" t="s">
        <v>70</v>
      </c>
      <c r="C236" s="199" t="s">
        <v>245</v>
      </c>
      <c r="D236" s="208" t="s">
        <v>1984</v>
      </c>
      <c r="E236" s="201" t="s">
        <v>2074</v>
      </c>
      <c r="F236" s="202" t="str">
        <f>VLOOKUP(D236,CSR!$D$4:$E$1180,2,FALSE)</f>
        <v>CSR_20001</v>
      </c>
      <c r="G236" s="261" t="s">
        <v>2075</v>
      </c>
      <c r="H236" s="204">
        <v>2</v>
      </c>
      <c r="I236" s="241">
        <f t="shared" si="4"/>
        <v>0.10526315789473684</v>
      </c>
      <c r="J236" s="199" t="s">
        <v>914</v>
      </c>
      <c r="K236" s="204"/>
    </row>
    <row r="237" spans="1:12" ht="32">
      <c r="A237" s="198" t="s">
        <v>1783</v>
      </c>
      <c r="B237" s="199" t="s">
        <v>70</v>
      </c>
      <c r="C237" s="199" t="s">
        <v>245</v>
      </c>
      <c r="D237" s="208" t="s">
        <v>1475</v>
      </c>
      <c r="E237" s="201" t="s">
        <v>2076</v>
      </c>
      <c r="F237" s="202" t="str">
        <f>VLOOKUP(D237,CSR!$D$4:$E$1180,2,FALSE)</f>
        <v>CSR_20003</v>
      </c>
      <c r="G237" s="261" t="s">
        <v>2077</v>
      </c>
      <c r="H237" s="204">
        <v>3</v>
      </c>
      <c r="I237" s="241">
        <f t="shared" si="4"/>
        <v>0.15789473684210525</v>
      </c>
      <c r="J237" s="199" t="s">
        <v>914</v>
      </c>
      <c r="K237" s="204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E31"/>
  <sheetViews>
    <sheetView workbookViewId="0">
      <pane ySplit="1" topLeftCell="A11" activePane="bottomLeft" state="frozen"/>
      <selection pane="bottomLeft" activeCell="G20" sqref="G20"/>
    </sheetView>
  </sheetViews>
  <sheetFormatPr baseColWidth="10" defaultColWidth="8.83203125" defaultRowHeight="17"/>
  <cols>
    <col min="1" max="1" width="5" customWidth="1"/>
    <col min="2" max="2" width="15" customWidth="1"/>
    <col min="3" max="3" width="18" customWidth="1"/>
    <col min="4" max="5" width="45" customWidth="1"/>
  </cols>
  <sheetData>
    <row r="1" spans="1:5">
      <c r="A1" s="369" t="s">
        <v>524</v>
      </c>
      <c r="B1" s="370"/>
      <c r="C1" s="370"/>
      <c r="D1" s="370"/>
      <c r="E1" s="370"/>
    </row>
    <row r="3" spans="1:5">
      <c r="A3" s="371" t="s">
        <v>525</v>
      </c>
      <c r="B3" s="372"/>
      <c r="C3" s="372"/>
      <c r="D3" s="372"/>
      <c r="E3" s="372"/>
    </row>
    <row r="4" spans="1:5">
      <c r="A4" s="373" t="s">
        <v>526</v>
      </c>
      <c r="B4" s="370"/>
      <c r="C4" s="370"/>
      <c r="D4" s="370"/>
      <c r="E4" s="370"/>
    </row>
    <row r="5" spans="1:5">
      <c r="A5" s="373" t="s">
        <v>527</v>
      </c>
      <c r="B5" s="370"/>
      <c r="C5" s="370"/>
      <c r="D5" s="370"/>
      <c r="E5" s="370"/>
    </row>
    <row r="6" spans="1:5">
      <c r="A6" s="373" t="s">
        <v>528</v>
      </c>
      <c r="B6" s="370"/>
      <c r="C6" s="370"/>
      <c r="D6" s="370"/>
      <c r="E6" s="370"/>
    </row>
    <row r="7" spans="1:5">
      <c r="A7" s="373"/>
      <c r="B7" s="370"/>
      <c r="C7" s="370"/>
      <c r="D7" s="370"/>
      <c r="E7" s="370"/>
    </row>
    <row r="8" spans="1:5">
      <c r="A8" s="374" t="s">
        <v>2452</v>
      </c>
      <c r="B8" s="370"/>
      <c r="C8" s="370"/>
      <c r="D8" s="370"/>
      <c r="E8" s="370"/>
    </row>
    <row r="10" spans="1:5">
      <c r="A10" s="371" t="s">
        <v>529</v>
      </c>
      <c r="B10" s="372"/>
      <c r="C10" s="372"/>
      <c r="D10" s="372"/>
      <c r="E10" s="372"/>
    </row>
    <row r="11" spans="1:5">
      <c r="B11" s="1" t="s">
        <v>530</v>
      </c>
      <c r="C11" s="1" t="s">
        <v>531</v>
      </c>
      <c r="D11" s="1" t="s">
        <v>532</v>
      </c>
      <c r="E11" s="1" t="s">
        <v>533</v>
      </c>
    </row>
    <row r="12" spans="1:5" ht="45">
      <c r="B12" s="15" t="s">
        <v>534</v>
      </c>
      <c r="C12" s="15" t="s">
        <v>535</v>
      </c>
      <c r="D12" s="15" t="s">
        <v>536</v>
      </c>
      <c r="E12" s="15" t="s">
        <v>537</v>
      </c>
    </row>
    <row r="13" spans="1:5" ht="45">
      <c r="B13" s="16" t="s">
        <v>538</v>
      </c>
      <c r="C13" s="16" t="s">
        <v>539</v>
      </c>
      <c r="D13" s="16" t="s">
        <v>540</v>
      </c>
      <c r="E13" s="16" t="s">
        <v>541</v>
      </c>
    </row>
    <row r="14" spans="1:5" ht="45">
      <c r="B14" s="4" t="s">
        <v>542</v>
      </c>
      <c r="C14" s="4" t="s">
        <v>543</v>
      </c>
      <c r="D14" s="4" t="s">
        <v>544</v>
      </c>
      <c r="E14" s="4" t="s">
        <v>545</v>
      </c>
    </row>
    <row r="15" spans="1:5" ht="30">
      <c r="B15" s="7" t="s">
        <v>411</v>
      </c>
      <c r="C15" s="7" t="s">
        <v>546</v>
      </c>
      <c r="D15" s="7" t="s">
        <v>547</v>
      </c>
      <c r="E15" s="7" t="s">
        <v>548</v>
      </c>
    </row>
    <row r="17" spans="1:5">
      <c r="A17" s="371" t="s">
        <v>549</v>
      </c>
      <c r="B17" s="372"/>
      <c r="C17" s="372"/>
      <c r="D17" s="372"/>
      <c r="E17" s="372"/>
    </row>
    <row r="18" spans="1:5">
      <c r="B18" s="1" t="s">
        <v>421</v>
      </c>
      <c r="C18" s="1" t="s">
        <v>550</v>
      </c>
      <c r="D18" s="1" t="s">
        <v>551</v>
      </c>
    </row>
    <row r="19" spans="1:5" ht="60">
      <c r="B19" s="9" t="s">
        <v>552</v>
      </c>
      <c r="C19" s="9" t="s">
        <v>553</v>
      </c>
      <c r="D19" s="9" t="s">
        <v>554</v>
      </c>
    </row>
    <row r="20" spans="1:5" ht="60">
      <c r="B20" s="9" t="s">
        <v>555</v>
      </c>
      <c r="C20" s="9" t="s">
        <v>553</v>
      </c>
      <c r="D20" s="9" t="s">
        <v>556</v>
      </c>
    </row>
    <row r="21" spans="1:5" ht="60">
      <c r="B21" s="9" t="s">
        <v>557</v>
      </c>
      <c r="C21" s="9" t="s">
        <v>558</v>
      </c>
      <c r="D21" s="9" t="s">
        <v>2464</v>
      </c>
    </row>
    <row r="22" spans="1:5" ht="60">
      <c r="B22" s="9" t="s">
        <v>449</v>
      </c>
      <c r="C22" s="9" t="s">
        <v>553</v>
      </c>
      <c r="D22" s="9" t="s">
        <v>559</v>
      </c>
    </row>
    <row r="23" spans="1:5" ht="45">
      <c r="B23" s="9" t="s">
        <v>452</v>
      </c>
      <c r="C23" s="9" t="s">
        <v>558</v>
      </c>
      <c r="D23" s="9" t="s">
        <v>560</v>
      </c>
    </row>
    <row r="24" spans="1:5" ht="60">
      <c r="B24" s="9" t="s">
        <v>561</v>
      </c>
      <c r="C24" s="9" t="s">
        <v>558</v>
      </c>
      <c r="D24" s="9" t="s">
        <v>562</v>
      </c>
    </row>
    <row r="26" spans="1:5">
      <c r="A26" s="371" t="s">
        <v>563</v>
      </c>
      <c r="B26" s="372"/>
      <c r="C26" s="372"/>
      <c r="D26" s="372"/>
      <c r="E26" s="372"/>
    </row>
    <row r="27" spans="1:5">
      <c r="A27" s="373" t="s">
        <v>564</v>
      </c>
      <c r="B27" s="370"/>
      <c r="C27" s="370"/>
      <c r="D27" s="370"/>
      <c r="E27" s="370"/>
    </row>
    <row r="28" spans="1:5">
      <c r="A28" s="373" t="s">
        <v>2439</v>
      </c>
      <c r="B28" s="370"/>
      <c r="C28" s="370"/>
      <c r="D28" s="370"/>
      <c r="E28" s="370"/>
    </row>
    <row r="29" spans="1:5">
      <c r="A29" s="373" t="s">
        <v>565</v>
      </c>
      <c r="B29" s="370"/>
      <c r="C29" s="370"/>
      <c r="D29" s="370"/>
      <c r="E29" s="370"/>
    </row>
    <row r="30" spans="1:5">
      <c r="A30" s="373" t="s">
        <v>566</v>
      </c>
      <c r="B30" s="370"/>
      <c r="C30" s="370"/>
      <c r="D30" s="370"/>
      <c r="E30" s="370"/>
    </row>
    <row r="31" spans="1:5">
      <c r="A31" s="373" t="s">
        <v>567</v>
      </c>
      <c r="B31" s="370"/>
      <c r="C31" s="370"/>
      <c r="D31" s="370"/>
      <c r="E31" s="370"/>
    </row>
  </sheetData>
  <mergeCells count="15">
    <mergeCell ref="A1:E1"/>
    <mergeCell ref="A5:E5"/>
    <mergeCell ref="A8:E8"/>
    <mergeCell ref="A6:E6"/>
    <mergeCell ref="A17:E17"/>
    <mergeCell ref="A3:E3"/>
    <mergeCell ref="A30:E30"/>
    <mergeCell ref="A29:E29"/>
    <mergeCell ref="A4:E4"/>
    <mergeCell ref="A31:E31"/>
    <mergeCell ref="A26:E26"/>
    <mergeCell ref="A7:E7"/>
    <mergeCell ref="A10:E10"/>
    <mergeCell ref="A28:E28"/>
    <mergeCell ref="A27:E27"/>
  </mergeCells>
  <phoneticPr fontId="9" type="noConversion"/>
  <pageMargins left="0.75" right="0.75" top="1" bottom="1" header="0.5" footer="0.5"/>
  <headerFooter>
    <oddHeader>&amp;L&amp;"Aptos"&amp;11&amp;KFF0000 LGUplus-InternalUseOnly(사내한)/2026-06-10T14:17:54/aliet@lguplus.co.kr&amp;1#_x000D_</oddHeader>
    <oddFooter>&amp;R_x000D_&amp;1#&amp;"Aptos"&amp;11&amp;KFF0000 LGUplus-InternalUseOnly(사내한)/2026-06-10T14:17:54/aliet@lguplus.co.kr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3864"/>
  </sheetPr>
  <dimension ref="A1:M265"/>
  <sheetViews>
    <sheetView workbookViewId="0">
      <pane ySplit="3" topLeftCell="A106" activePane="bottomLeft" state="frozen"/>
      <selection pane="bottomLeft" activeCell="M18" sqref="M18"/>
    </sheetView>
  </sheetViews>
  <sheetFormatPr baseColWidth="10" defaultColWidth="8.83203125" defaultRowHeight="17"/>
  <cols>
    <col min="1" max="1" width="5" customWidth="1"/>
    <col min="2" max="2" width="12" customWidth="1"/>
    <col min="3" max="3" width="14" customWidth="1"/>
    <col min="4" max="4" width="22" customWidth="1"/>
    <col min="5" max="5" width="50" customWidth="1"/>
    <col min="6" max="6" width="12" customWidth="1"/>
    <col min="7" max="7" width="14" customWidth="1"/>
    <col min="8" max="8" width="8" customWidth="1"/>
    <col min="9" max="9" width="9" customWidth="1"/>
    <col min="10" max="10" width="14" customWidth="1"/>
    <col min="11" max="11" width="8" customWidth="1"/>
    <col min="12" max="12" width="10" customWidth="1"/>
    <col min="13" max="13" width="35" customWidth="1"/>
  </cols>
  <sheetData>
    <row r="1" spans="1:13">
      <c r="A1" s="369" t="s">
        <v>0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</row>
    <row r="2" spans="1:13">
      <c r="A2" s="375" t="s">
        <v>1</v>
      </c>
      <c r="B2" s="375"/>
      <c r="C2" s="375"/>
      <c r="D2" s="375"/>
      <c r="E2" s="375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2" t="s">
        <v>13</v>
      </c>
      <c r="M3" s="2" t="s">
        <v>14</v>
      </c>
    </row>
    <row r="4" spans="1:13" ht="30">
      <c r="A4" s="3" t="s">
        <v>15</v>
      </c>
      <c r="B4" s="3" t="s">
        <v>16</v>
      </c>
      <c r="C4" s="3" t="s">
        <v>17</v>
      </c>
      <c r="D4" s="4" t="s">
        <v>18</v>
      </c>
      <c r="E4" s="4" t="s">
        <v>19</v>
      </c>
      <c r="F4" s="3" t="s">
        <v>20</v>
      </c>
      <c r="G4" s="3" t="s">
        <v>21</v>
      </c>
      <c r="H4" s="5">
        <v>2</v>
      </c>
      <c r="I4" s="5">
        <v>0.10526315789473679</v>
      </c>
      <c r="J4" s="3" t="s">
        <v>22</v>
      </c>
      <c r="K4" s="3"/>
      <c r="L4" s="6" t="s">
        <v>23</v>
      </c>
      <c r="M4" s="7" t="s">
        <v>24</v>
      </c>
    </row>
    <row r="5" spans="1:13" ht="30">
      <c r="A5" s="8" t="s">
        <v>15</v>
      </c>
      <c r="B5" s="8" t="s">
        <v>16</v>
      </c>
      <c r="C5" s="8" t="s">
        <v>17</v>
      </c>
      <c r="D5" s="9" t="s">
        <v>18</v>
      </c>
      <c r="E5" s="9" t="s">
        <v>25</v>
      </c>
      <c r="F5" s="8" t="s">
        <v>20</v>
      </c>
      <c r="G5" s="8" t="s">
        <v>21</v>
      </c>
      <c r="H5" s="10">
        <v>2</v>
      </c>
      <c r="I5" s="10">
        <v>0.10526315789473679</v>
      </c>
      <c r="J5" s="8" t="s">
        <v>22</v>
      </c>
      <c r="K5" s="8"/>
      <c r="L5" s="8" t="s">
        <v>23</v>
      </c>
      <c r="M5" s="9" t="s">
        <v>26</v>
      </c>
    </row>
    <row r="6" spans="1:13" ht="30">
      <c r="A6" s="3" t="s">
        <v>27</v>
      </c>
      <c r="B6" s="3" t="s">
        <v>16</v>
      </c>
      <c r="C6" s="3" t="s">
        <v>17</v>
      </c>
      <c r="D6" s="4" t="s">
        <v>18</v>
      </c>
      <c r="E6" s="4" t="s">
        <v>28</v>
      </c>
      <c r="F6" s="3" t="s">
        <v>20</v>
      </c>
      <c r="G6" s="3" t="s">
        <v>29</v>
      </c>
      <c r="H6" s="5">
        <v>2</v>
      </c>
      <c r="I6" s="5">
        <v>0.10526315789473679</v>
      </c>
      <c r="J6" s="3" t="s">
        <v>22</v>
      </c>
      <c r="K6" s="3"/>
      <c r="L6" s="6" t="s">
        <v>23</v>
      </c>
      <c r="M6" s="7" t="s">
        <v>30</v>
      </c>
    </row>
    <row r="7" spans="1:13" ht="30">
      <c r="A7" s="8" t="s">
        <v>27</v>
      </c>
      <c r="B7" s="8" t="s">
        <v>31</v>
      </c>
      <c r="C7" s="8" t="s">
        <v>32</v>
      </c>
      <c r="D7" s="9" t="s">
        <v>33</v>
      </c>
      <c r="E7" s="9" t="s">
        <v>34</v>
      </c>
      <c r="F7" s="8" t="s">
        <v>35</v>
      </c>
      <c r="G7" s="8" t="s">
        <v>29</v>
      </c>
      <c r="H7" s="10">
        <v>2</v>
      </c>
      <c r="I7" s="10">
        <v>0.10526315789473679</v>
      </c>
      <c r="J7" s="8" t="s">
        <v>22</v>
      </c>
      <c r="K7" s="8"/>
      <c r="L7" s="8" t="s">
        <v>23</v>
      </c>
      <c r="M7" s="9" t="s">
        <v>36</v>
      </c>
    </row>
    <row r="8" spans="1:13" ht="30">
      <c r="A8" s="3" t="s">
        <v>27</v>
      </c>
      <c r="B8" s="3" t="s">
        <v>31</v>
      </c>
      <c r="C8" s="3" t="s">
        <v>32</v>
      </c>
      <c r="D8" s="4" t="s">
        <v>33</v>
      </c>
      <c r="E8" s="4" t="s">
        <v>37</v>
      </c>
      <c r="F8" s="3" t="s">
        <v>35</v>
      </c>
      <c r="G8" s="3" t="s">
        <v>38</v>
      </c>
      <c r="H8" s="5">
        <v>2</v>
      </c>
      <c r="I8" s="5">
        <v>0.10526315789473679</v>
      </c>
      <c r="J8" s="3" t="s">
        <v>22</v>
      </c>
      <c r="K8" s="3"/>
      <c r="L8" s="6" t="s">
        <v>23</v>
      </c>
      <c r="M8" s="7" t="s">
        <v>39</v>
      </c>
    </row>
    <row r="9" spans="1:13" ht="30">
      <c r="A9" s="8" t="s">
        <v>27</v>
      </c>
      <c r="B9" s="8" t="s">
        <v>31</v>
      </c>
      <c r="C9" s="8" t="s">
        <v>32</v>
      </c>
      <c r="D9" s="9" t="s">
        <v>33</v>
      </c>
      <c r="E9" s="9" t="s">
        <v>40</v>
      </c>
      <c r="F9" s="8" t="s">
        <v>35</v>
      </c>
      <c r="G9" s="8" t="s">
        <v>38</v>
      </c>
      <c r="H9" s="10">
        <v>2</v>
      </c>
      <c r="I9" s="10">
        <v>0.10526315789473679</v>
      </c>
      <c r="J9" s="8" t="s">
        <v>22</v>
      </c>
      <c r="K9" s="8"/>
      <c r="L9" s="8" t="s">
        <v>23</v>
      </c>
      <c r="M9" s="9" t="s">
        <v>24</v>
      </c>
    </row>
    <row r="10" spans="1:13" ht="30">
      <c r="A10" s="3" t="s">
        <v>27</v>
      </c>
      <c r="B10" s="3" t="s">
        <v>16</v>
      </c>
      <c r="C10" s="3" t="s">
        <v>17</v>
      </c>
      <c r="D10" s="4" t="s">
        <v>18</v>
      </c>
      <c r="E10" s="4" t="s">
        <v>41</v>
      </c>
      <c r="F10" s="3" t="s">
        <v>20</v>
      </c>
      <c r="G10" s="3" t="s">
        <v>42</v>
      </c>
      <c r="H10" s="5">
        <v>2</v>
      </c>
      <c r="I10" s="5">
        <v>0.10526315789473679</v>
      </c>
      <c r="J10" s="3" t="s">
        <v>22</v>
      </c>
      <c r="K10" s="3"/>
      <c r="L10" s="6" t="s">
        <v>23</v>
      </c>
      <c r="M10" s="7" t="s">
        <v>26</v>
      </c>
    </row>
    <row r="11" spans="1:13" ht="30">
      <c r="A11" s="8" t="s">
        <v>27</v>
      </c>
      <c r="B11" s="8" t="s">
        <v>31</v>
      </c>
      <c r="C11" s="8" t="s">
        <v>32</v>
      </c>
      <c r="D11" s="9" t="s">
        <v>33</v>
      </c>
      <c r="E11" s="9" t="s">
        <v>43</v>
      </c>
      <c r="F11" s="8" t="s">
        <v>35</v>
      </c>
      <c r="G11" s="8" t="s">
        <v>42</v>
      </c>
      <c r="H11" s="10">
        <v>2</v>
      </c>
      <c r="I11" s="10">
        <v>0.10526315789473679</v>
      </c>
      <c r="J11" s="8" t="s">
        <v>22</v>
      </c>
      <c r="K11" s="8"/>
      <c r="L11" s="8" t="s">
        <v>23</v>
      </c>
      <c r="M11" s="9" t="s">
        <v>30</v>
      </c>
    </row>
    <row r="12" spans="1:13" ht="30">
      <c r="A12" s="3" t="s">
        <v>27</v>
      </c>
      <c r="B12" s="3" t="s">
        <v>16</v>
      </c>
      <c r="C12" s="3" t="s">
        <v>17</v>
      </c>
      <c r="D12" s="4" t="s">
        <v>44</v>
      </c>
      <c r="E12" s="4" t="s">
        <v>45</v>
      </c>
      <c r="F12" s="3" t="s">
        <v>46</v>
      </c>
      <c r="G12" s="3" t="s">
        <v>47</v>
      </c>
      <c r="H12" s="5">
        <v>2</v>
      </c>
      <c r="I12" s="5">
        <v>0.10526315789473679</v>
      </c>
      <c r="J12" s="3" t="s">
        <v>22</v>
      </c>
      <c r="K12" s="3"/>
      <c r="L12" s="6" t="s">
        <v>23</v>
      </c>
      <c r="M12" s="7" t="s">
        <v>36</v>
      </c>
    </row>
    <row r="13" spans="1:13" ht="30">
      <c r="A13" s="8" t="s">
        <v>27</v>
      </c>
      <c r="B13" s="8" t="s">
        <v>31</v>
      </c>
      <c r="C13" s="8" t="s">
        <v>32</v>
      </c>
      <c r="D13" s="9" t="s">
        <v>33</v>
      </c>
      <c r="E13" s="9" t="s">
        <v>48</v>
      </c>
      <c r="F13" s="8" t="s">
        <v>35</v>
      </c>
      <c r="G13" s="8" t="s">
        <v>47</v>
      </c>
      <c r="H13" s="10">
        <v>1</v>
      </c>
      <c r="I13" s="10">
        <v>5.2631578947368418E-2</v>
      </c>
      <c r="J13" s="8" t="s">
        <v>22</v>
      </c>
      <c r="K13" s="8"/>
      <c r="L13" s="8" t="s">
        <v>23</v>
      </c>
      <c r="M13" s="9" t="s">
        <v>39</v>
      </c>
    </row>
    <row r="14" spans="1:13" ht="30">
      <c r="A14" s="3" t="s">
        <v>15</v>
      </c>
      <c r="B14" s="3" t="s">
        <v>49</v>
      </c>
      <c r="C14" s="3" t="s">
        <v>50</v>
      </c>
      <c r="D14" s="4" t="s">
        <v>51</v>
      </c>
      <c r="E14" s="4" t="s">
        <v>52</v>
      </c>
      <c r="F14" s="3" t="s">
        <v>53</v>
      </c>
      <c r="G14" s="3" t="s">
        <v>21</v>
      </c>
      <c r="H14" s="5">
        <v>2</v>
      </c>
      <c r="I14" s="5">
        <v>0.10526315789473679</v>
      </c>
      <c r="J14" s="3" t="s">
        <v>54</v>
      </c>
      <c r="K14" s="3"/>
      <c r="L14" s="6" t="s">
        <v>23</v>
      </c>
      <c r="M14" s="7" t="s">
        <v>24</v>
      </c>
    </row>
    <row r="15" spans="1:13" ht="30">
      <c r="A15" s="8" t="s">
        <v>15</v>
      </c>
      <c r="B15" s="8" t="s">
        <v>16</v>
      </c>
      <c r="C15" s="8" t="s">
        <v>17</v>
      </c>
      <c r="D15" s="9" t="s">
        <v>55</v>
      </c>
      <c r="E15" s="9" t="s">
        <v>56</v>
      </c>
      <c r="F15" s="8" t="s">
        <v>57</v>
      </c>
      <c r="G15" s="8" t="s">
        <v>21</v>
      </c>
      <c r="H15" s="10">
        <v>2</v>
      </c>
      <c r="I15" s="10">
        <v>0.10526315789473679</v>
      </c>
      <c r="J15" s="8" t="s">
        <v>54</v>
      </c>
      <c r="K15" s="8"/>
      <c r="L15" s="8" t="s">
        <v>23</v>
      </c>
      <c r="M15" s="9" t="s">
        <v>26</v>
      </c>
    </row>
    <row r="16" spans="1:13" ht="30">
      <c r="A16" s="3" t="s">
        <v>27</v>
      </c>
      <c r="B16" s="3" t="s">
        <v>16</v>
      </c>
      <c r="C16" s="3" t="s">
        <v>17</v>
      </c>
      <c r="D16" s="4" t="s">
        <v>18</v>
      </c>
      <c r="E16" s="4" t="s">
        <v>58</v>
      </c>
      <c r="F16" s="3" t="s">
        <v>20</v>
      </c>
      <c r="G16" s="3" t="s">
        <v>29</v>
      </c>
      <c r="H16" s="5">
        <v>2</v>
      </c>
      <c r="I16" s="5">
        <v>0.10526315789473679</v>
      </c>
      <c r="J16" s="3" t="s">
        <v>54</v>
      </c>
      <c r="K16" s="3"/>
      <c r="L16" s="6" t="s">
        <v>23</v>
      </c>
      <c r="M16" s="7" t="s">
        <v>30</v>
      </c>
    </row>
    <row r="17" spans="1:13" ht="30">
      <c r="A17" s="8" t="s">
        <v>27</v>
      </c>
      <c r="B17" s="8" t="s">
        <v>16</v>
      </c>
      <c r="C17" s="8" t="s">
        <v>17</v>
      </c>
      <c r="D17" s="9" t="s">
        <v>18</v>
      </c>
      <c r="E17" s="9" t="s">
        <v>59</v>
      </c>
      <c r="F17" s="8" t="s">
        <v>20</v>
      </c>
      <c r="G17" s="8" t="s">
        <v>29</v>
      </c>
      <c r="H17" s="10">
        <v>2</v>
      </c>
      <c r="I17" s="10">
        <v>0.10526315789473679</v>
      </c>
      <c r="J17" s="8" t="s">
        <v>54</v>
      </c>
      <c r="K17" s="8"/>
      <c r="L17" s="8" t="s">
        <v>23</v>
      </c>
      <c r="M17" s="9" t="s">
        <v>36</v>
      </c>
    </row>
    <row r="18" spans="1:13" ht="30">
      <c r="A18" s="3" t="s">
        <v>27</v>
      </c>
      <c r="B18" s="3" t="s">
        <v>16</v>
      </c>
      <c r="C18" s="3" t="s">
        <v>17</v>
      </c>
      <c r="D18" s="4" t="s">
        <v>44</v>
      </c>
      <c r="E18" s="4" t="s">
        <v>60</v>
      </c>
      <c r="F18" s="3" t="s">
        <v>46</v>
      </c>
      <c r="G18" s="3" t="s">
        <v>38</v>
      </c>
      <c r="H18" s="5">
        <v>2</v>
      </c>
      <c r="I18" s="5">
        <v>0.10526315789473679</v>
      </c>
      <c r="J18" s="3" t="s">
        <v>54</v>
      </c>
      <c r="K18" s="3"/>
      <c r="L18" s="6" t="s">
        <v>23</v>
      </c>
      <c r="M18" s="7" t="s">
        <v>39</v>
      </c>
    </row>
    <row r="19" spans="1:13" ht="30">
      <c r="A19" s="8" t="s">
        <v>27</v>
      </c>
      <c r="B19" s="8" t="s">
        <v>16</v>
      </c>
      <c r="C19" s="8" t="s">
        <v>17</v>
      </c>
      <c r="D19" s="9" t="s">
        <v>44</v>
      </c>
      <c r="E19" s="9" t="s">
        <v>61</v>
      </c>
      <c r="F19" s="8" t="s">
        <v>46</v>
      </c>
      <c r="G19" s="8" t="s">
        <v>38</v>
      </c>
      <c r="H19" s="10">
        <v>2</v>
      </c>
      <c r="I19" s="10">
        <v>0.10526315789473679</v>
      </c>
      <c r="J19" s="8" t="s">
        <v>54</v>
      </c>
      <c r="K19" s="8"/>
      <c r="L19" s="8" t="s">
        <v>23</v>
      </c>
      <c r="M19" s="9" t="s">
        <v>24</v>
      </c>
    </row>
    <row r="20" spans="1:13" ht="30">
      <c r="A20" s="3" t="s">
        <v>27</v>
      </c>
      <c r="B20" s="3" t="s">
        <v>16</v>
      </c>
      <c r="C20" s="3" t="s">
        <v>17</v>
      </c>
      <c r="D20" s="4" t="s">
        <v>44</v>
      </c>
      <c r="E20" s="4" t="s">
        <v>62</v>
      </c>
      <c r="F20" s="3" t="s">
        <v>46</v>
      </c>
      <c r="G20" s="3" t="s">
        <v>42</v>
      </c>
      <c r="H20" s="5">
        <v>2</v>
      </c>
      <c r="I20" s="5">
        <v>0.10526315789473679</v>
      </c>
      <c r="J20" s="3" t="s">
        <v>54</v>
      </c>
      <c r="K20" s="3"/>
      <c r="L20" s="6" t="s">
        <v>23</v>
      </c>
      <c r="M20" s="7" t="s">
        <v>26</v>
      </c>
    </row>
    <row r="21" spans="1:13" ht="30">
      <c r="A21" s="8" t="s">
        <v>27</v>
      </c>
      <c r="B21" s="8" t="s">
        <v>16</v>
      </c>
      <c r="C21" s="8" t="s">
        <v>17</v>
      </c>
      <c r="D21" s="9" t="s">
        <v>44</v>
      </c>
      <c r="E21" s="9" t="s">
        <v>63</v>
      </c>
      <c r="F21" s="8" t="s">
        <v>46</v>
      </c>
      <c r="G21" s="8" t="s">
        <v>42</v>
      </c>
      <c r="H21" s="10">
        <v>2</v>
      </c>
      <c r="I21" s="10">
        <v>0.10526315789473679</v>
      </c>
      <c r="J21" s="8" t="s">
        <v>54</v>
      </c>
      <c r="K21" s="8"/>
      <c r="L21" s="8" t="s">
        <v>23</v>
      </c>
      <c r="M21" s="9" t="s">
        <v>30</v>
      </c>
    </row>
    <row r="22" spans="1:13" ht="30">
      <c r="A22" s="3" t="s">
        <v>27</v>
      </c>
      <c r="B22" s="3" t="s">
        <v>16</v>
      </c>
      <c r="C22" s="3" t="s">
        <v>17</v>
      </c>
      <c r="D22" s="4" t="s">
        <v>44</v>
      </c>
      <c r="E22" s="4" t="s">
        <v>62</v>
      </c>
      <c r="F22" s="3" t="s">
        <v>46</v>
      </c>
      <c r="G22" s="3" t="s">
        <v>47</v>
      </c>
      <c r="H22" s="5">
        <v>2</v>
      </c>
      <c r="I22" s="5">
        <v>0.10526315789473679</v>
      </c>
      <c r="J22" s="3" t="s">
        <v>54</v>
      </c>
      <c r="K22" s="3"/>
      <c r="L22" s="6" t="s">
        <v>23</v>
      </c>
      <c r="M22" s="7" t="s">
        <v>36</v>
      </c>
    </row>
    <row r="23" spans="1:13" ht="30">
      <c r="A23" s="8" t="s">
        <v>27</v>
      </c>
      <c r="B23" s="8" t="s">
        <v>16</v>
      </c>
      <c r="C23" s="8" t="s">
        <v>17</v>
      </c>
      <c r="D23" s="9" t="s">
        <v>44</v>
      </c>
      <c r="E23" s="9" t="s">
        <v>64</v>
      </c>
      <c r="F23" s="8" t="s">
        <v>46</v>
      </c>
      <c r="G23" s="8" t="s">
        <v>47</v>
      </c>
      <c r="H23" s="10">
        <v>1</v>
      </c>
      <c r="I23" s="10">
        <v>5.2631578947368418E-2</v>
      </c>
      <c r="J23" s="8" t="s">
        <v>54</v>
      </c>
      <c r="K23" s="8"/>
      <c r="L23" s="8" t="s">
        <v>23</v>
      </c>
      <c r="M23" s="9" t="s">
        <v>39</v>
      </c>
    </row>
    <row r="24" spans="1:13" ht="30">
      <c r="A24" s="3" t="s">
        <v>15</v>
      </c>
      <c r="B24" s="3" t="s">
        <v>16</v>
      </c>
      <c r="C24" s="3" t="s">
        <v>17</v>
      </c>
      <c r="D24" s="4" t="s">
        <v>65</v>
      </c>
      <c r="E24" s="4" t="s">
        <v>66</v>
      </c>
      <c r="F24" s="3" t="s">
        <v>67</v>
      </c>
      <c r="G24" s="3" t="s">
        <v>21</v>
      </c>
      <c r="H24" s="5">
        <v>2</v>
      </c>
      <c r="I24" s="5">
        <v>0.10526315789473679</v>
      </c>
      <c r="J24" s="3" t="s">
        <v>68</v>
      </c>
      <c r="K24" s="3"/>
      <c r="L24" s="6" t="s">
        <v>23</v>
      </c>
      <c r="M24" s="7" t="s">
        <v>24</v>
      </c>
    </row>
    <row r="25" spans="1:13">
      <c r="A25" s="8" t="s">
        <v>15</v>
      </c>
      <c r="B25" s="8" t="s">
        <v>16</v>
      </c>
      <c r="C25" s="8" t="s">
        <v>17</v>
      </c>
      <c r="D25" s="9" t="s">
        <v>65</v>
      </c>
      <c r="E25" s="9" t="s">
        <v>69</v>
      </c>
      <c r="F25" s="8" t="s">
        <v>67</v>
      </c>
      <c r="G25" s="8" t="s">
        <v>21</v>
      </c>
      <c r="H25" s="10">
        <v>2</v>
      </c>
      <c r="I25" s="10">
        <v>0.10526315789473679</v>
      </c>
      <c r="J25" s="8" t="s">
        <v>68</v>
      </c>
      <c r="K25" s="8"/>
      <c r="L25" s="8" t="s">
        <v>23</v>
      </c>
      <c r="M25" s="9" t="s">
        <v>26</v>
      </c>
    </row>
    <row r="26" spans="1:13" ht="30">
      <c r="A26" s="3" t="s">
        <v>27</v>
      </c>
      <c r="B26" s="3" t="s">
        <v>70</v>
      </c>
      <c r="C26" s="3" t="s">
        <v>71</v>
      </c>
      <c r="D26" s="4" t="s">
        <v>72</v>
      </c>
      <c r="E26" s="4" t="s">
        <v>73</v>
      </c>
      <c r="F26" s="3" t="s">
        <v>74</v>
      </c>
      <c r="G26" s="3" t="s">
        <v>29</v>
      </c>
      <c r="H26" s="5">
        <v>2</v>
      </c>
      <c r="I26" s="5">
        <v>0.10526315789473679</v>
      </c>
      <c r="J26" s="3" t="s">
        <v>68</v>
      </c>
      <c r="K26" s="3"/>
      <c r="L26" s="6" t="s">
        <v>23</v>
      </c>
      <c r="M26" s="7" t="s">
        <v>30</v>
      </c>
    </row>
    <row r="27" spans="1:13" ht="30">
      <c r="A27" s="8" t="s">
        <v>27</v>
      </c>
      <c r="B27" s="8" t="s">
        <v>70</v>
      </c>
      <c r="C27" s="8" t="s">
        <v>71</v>
      </c>
      <c r="D27" s="9" t="s">
        <v>72</v>
      </c>
      <c r="E27" s="9" t="s">
        <v>75</v>
      </c>
      <c r="F27" s="8" t="s">
        <v>74</v>
      </c>
      <c r="G27" s="8" t="s">
        <v>29</v>
      </c>
      <c r="H27" s="10">
        <v>2</v>
      </c>
      <c r="I27" s="10">
        <v>0.10526315789473679</v>
      </c>
      <c r="J27" s="8" t="s">
        <v>68</v>
      </c>
      <c r="K27" s="8"/>
      <c r="L27" s="8" t="s">
        <v>23</v>
      </c>
      <c r="M27" s="9" t="s">
        <v>36</v>
      </c>
    </row>
    <row r="28" spans="1:13" ht="30">
      <c r="A28" s="3" t="s">
        <v>27</v>
      </c>
      <c r="B28" s="3" t="s">
        <v>16</v>
      </c>
      <c r="C28" s="3" t="s">
        <v>17</v>
      </c>
      <c r="D28" s="4" t="s">
        <v>44</v>
      </c>
      <c r="E28" s="4" t="s">
        <v>76</v>
      </c>
      <c r="F28" s="3" t="s">
        <v>46</v>
      </c>
      <c r="G28" s="3" t="s">
        <v>38</v>
      </c>
      <c r="H28" s="5">
        <v>2</v>
      </c>
      <c r="I28" s="5">
        <v>0.10526315789473679</v>
      </c>
      <c r="J28" s="3" t="s">
        <v>68</v>
      </c>
      <c r="K28" s="3"/>
      <c r="L28" s="6" t="s">
        <v>23</v>
      </c>
      <c r="M28" s="7" t="s">
        <v>39</v>
      </c>
    </row>
    <row r="29" spans="1:13">
      <c r="A29" s="8" t="s">
        <v>27</v>
      </c>
      <c r="B29" s="8" t="s">
        <v>16</v>
      </c>
      <c r="C29" s="8" t="s">
        <v>17</v>
      </c>
      <c r="D29" s="9" t="s">
        <v>65</v>
      </c>
      <c r="E29" s="9" t="s">
        <v>77</v>
      </c>
      <c r="F29" s="8" t="s">
        <v>67</v>
      </c>
      <c r="G29" s="8" t="s">
        <v>38</v>
      </c>
      <c r="H29" s="10">
        <v>2</v>
      </c>
      <c r="I29" s="10">
        <v>0.10526315789473679</v>
      </c>
      <c r="J29" s="8" t="s">
        <v>68</v>
      </c>
      <c r="K29" s="8"/>
      <c r="L29" s="8" t="s">
        <v>23</v>
      </c>
      <c r="M29" s="9" t="s">
        <v>24</v>
      </c>
    </row>
    <row r="30" spans="1:13" ht="30">
      <c r="A30" s="3" t="s">
        <v>27</v>
      </c>
      <c r="B30" s="3" t="s">
        <v>16</v>
      </c>
      <c r="C30" s="3" t="s">
        <v>17</v>
      </c>
      <c r="D30" s="4" t="s">
        <v>44</v>
      </c>
      <c r="E30" s="4" t="s">
        <v>78</v>
      </c>
      <c r="F30" s="3" t="s">
        <v>46</v>
      </c>
      <c r="G30" s="3" t="s">
        <v>42</v>
      </c>
      <c r="H30" s="5">
        <v>2</v>
      </c>
      <c r="I30" s="5">
        <v>0.10526315789473679</v>
      </c>
      <c r="J30" s="3" t="s">
        <v>68</v>
      </c>
      <c r="K30" s="3"/>
      <c r="L30" s="6" t="s">
        <v>23</v>
      </c>
      <c r="M30" s="7" t="s">
        <v>26</v>
      </c>
    </row>
    <row r="31" spans="1:13">
      <c r="A31" s="8" t="s">
        <v>27</v>
      </c>
      <c r="B31" s="8" t="s">
        <v>16</v>
      </c>
      <c r="C31" s="8" t="s">
        <v>17</v>
      </c>
      <c r="D31" s="9" t="s">
        <v>44</v>
      </c>
      <c r="E31" s="9" t="s">
        <v>79</v>
      </c>
      <c r="F31" s="8" t="s">
        <v>46</v>
      </c>
      <c r="G31" s="8" t="s">
        <v>42</v>
      </c>
      <c r="H31" s="10">
        <v>2</v>
      </c>
      <c r="I31" s="10">
        <v>0.10526315789473679</v>
      </c>
      <c r="J31" s="8" t="s">
        <v>68</v>
      </c>
      <c r="K31" s="8"/>
      <c r="L31" s="8" t="s">
        <v>23</v>
      </c>
      <c r="M31" s="9" t="s">
        <v>30</v>
      </c>
    </row>
    <row r="32" spans="1:13" ht="30">
      <c r="A32" s="3" t="s">
        <v>27</v>
      </c>
      <c r="B32" s="3" t="s">
        <v>16</v>
      </c>
      <c r="C32" s="3" t="s">
        <v>17</v>
      </c>
      <c r="D32" s="4" t="s">
        <v>44</v>
      </c>
      <c r="E32" s="4" t="s">
        <v>80</v>
      </c>
      <c r="F32" s="3" t="s">
        <v>46</v>
      </c>
      <c r="G32" s="3" t="s">
        <v>47</v>
      </c>
      <c r="H32" s="5">
        <v>2</v>
      </c>
      <c r="I32" s="5">
        <v>0.10526315789473679</v>
      </c>
      <c r="J32" s="3" t="s">
        <v>68</v>
      </c>
      <c r="K32" s="3"/>
      <c r="L32" s="6" t="s">
        <v>23</v>
      </c>
      <c r="M32" s="7" t="s">
        <v>36</v>
      </c>
    </row>
    <row r="33" spans="1:13">
      <c r="A33" s="8" t="s">
        <v>27</v>
      </c>
      <c r="B33" s="8" t="s">
        <v>16</v>
      </c>
      <c r="C33" s="8" t="s">
        <v>17</v>
      </c>
      <c r="D33" s="9" t="s">
        <v>44</v>
      </c>
      <c r="E33" s="9" t="s">
        <v>81</v>
      </c>
      <c r="F33" s="8" t="s">
        <v>46</v>
      </c>
      <c r="G33" s="8" t="s">
        <v>47</v>
      </c>
      <c r="H33" s="10">
        <v>1</v>
      </c>
      <c r="I33" s="10">
        <v>5.2631578947368418E-2</v>
      </c>
      <c r="J33" s="8" t="s">
        <v>68</v>
      </c>
      <c r="K33" s="8"/>
      <c r="L33" s="8" t="s">
        <v>23</v>
      </c>
      <c r="M33" s="9" t="s">
        <v>39</v>
      </c>
    </row>
    <row r="34" spans="1:13" ht="30">
      <c r="A34" s="3" t="s">
        <v>15</v>
      </c>
      <c r="B34" s="3" t="s">
        <v>16</v>
      </c>
      <c r="C34" s="3" t="s">
        <v>17</v>
      </c>
      <c r="D34" s="4" t="s">
        <v>65</v>
      </c>
      <c r="E34" s="4" t="s">
        <v>82</v>
      </c>
      <c r="F34" s="3" t="s">
        <v>67</v>
      </c>
      <c r="G34" s="3" t="s">
        <v>21</v>
      </c>
      <c r="H34" s="5">
        <v>2</v>
      </c>
      <c r="I34" s="5">
        <v>0.10526315789473679</v>
      </c>
      <c r="J34" s="3" t="s">
        <v>83</v>
      </c>
      <c r="K34" s="3"/>
      <c r="L34" s="6"/>
      <c r="M34" s="7"/>
    </row>
    <row r="35" spans="1:13" ht="45">
      <c r="A35" s="8" t="s">
        <v>15</v>
      </c>
      <c r="B35" s="8" t="s">
        <v>16</v>
      </c>
      <c r="C35" s="8" t="s">
        <v>17</v>
      </c>
      <c r="D35" s="9" t="s">
        <v>18</v>
      </c>
      <c r="E35" s="9" t="s">
        <v>84</v>
      </c>
      <c r="F35" s="8" t="s">
        <v>20</v>
      </c>
      <c r="G35" s="8" t="s">
        <v>21</v>
      </c>
      <c r="H35" s="10">
        <v>2</v>
      </c>
      <c r="I35" s="10">
        <v>0.10526315789473679</v>
      </c>
      <c r="J35" s="8" t="s">
        <v>83</v>
      </c>
      <c r="K35" s="8"/>
      <c r="L35" s="8"/>
      <c r="M35" s="9"/>
    </row>
    <row r="36" spans="1:13" ht="30">
      <c r="A36" s="3" t="s">
        <v>27</v>
      </c>
      <c r="B36" s="3" t="s">
        <v>49</v>
      </c>
      <c r="C36" s="3" t="s">
        <v>50</v>
      </c>
      <c r="D36" s="4" t="s">
        <v>51</v>
      </c>
      <c r="E36" s="4" t="s">
        <v>85</v>
      </c>
      <c r="F36" s="3" t="s">
        <v>53</v>
      </c>
      <c r="G36" s="3" t="s">
        <v>29</v>
      </c>
      <c r="H36" s="5">
        <v>2</v>
      </c>
      <c r="I36" s="5">
        <v>0.10526315789473679</v>
      </c>
      <c r="J36" s="3" t="s">
        <v>83</v>
      </c>
      <c r="K36" s="3"/>
      <c r="L36" s="6"/>
      <c r="M36" s="7"/>
    </row>
    <row r="37" spans="1:13" ht="45">
      <c r="A37" s="8" t="s">
        <v>27</v>
      </c>
      <c r="B37" s="8" t="s">
        <v>16</v>
      </c>
      <c r="C37" s="8" t="s">
        <v>17</v>
      </c>
      <c r="D37" s="9" t="s">
        <v>18</v>
      </c>
      <c r="E37" s="9" t="s">
        <v>84</v>
      </c>
      <c r="F37" s="8" t="s">
        <v>20</v>
      </c>
      <c r="G37" s="8" t="s">
        <v>29</v>
      </c>
      <c r="H37" s="10">
        <v>2</v>
      </c>
      <c r="I37" s="10">
        <v>0.10526315789473679</v>
      </c>
      <c r="J37" s="8" t="s">
        <v>83</v>
      </c>
      <c r="K37" s="8"/>
      <c r="L37" s="8"/>
      <c r="M37" s="9"/>
    </row>
    <row r="38" spans="1:13" ht="30">
      <c r="A38" s="3" t="s">
        <v>27</v>
      </c>
      <c r="B38" s="3" t="s">
        <v>16</v>
      </c>
      <c r="C38" s="3" t="s">
        <v>17</v>
      </c>
      <c r="D38" s="4" t="s">
        <v>55</v>
      </c>
      <c r="E38" s="4" t="s">
        <v>86</v>
      </c>
      <c r="F38" s="3" t="s">
        <v>57</v>
      </c>
      <c r="G38" s="3" t="s">
        <v>38</v>
      </c>
      <c r="H38" s="5">
        <v>2</v>
      </c>
      <c r="I38" s="5">
        <v>0.10526315789473679</v>
      </c>
      <c r="J38" s="3" t="s">
        <v>83</v>
      </c>
      <c r="K38" s="3"/>
      <c r="L38" s="6"/>
      <c r="M38" s="7"/>
    </row>
    <row r="39" spans="1:13" ht="45">
      <c r="A39" s="8" t="s">
        <v>27</v>
      </c>
      <c r="B39" s="8" t="s">
        <v>16</v>
      </c>
      <c r="C39" s="8" t="s">
        <v>17</v>
      </c>
      <c r="D39" s="9" t="s">
        <v>44</v>
      </c>
      <c r="E39" s="9" t="s">
        <v>84</v>
      </c>
      <c r="F39" s="8" t="s">
        <v>46</v>
      </c>
      <c r="G39" s="8" t="s">
        <v>38</v>
      </c>
      <c r="H39" s="10">
        <v>2</v>
      </c>
      <c r="I39" s="10">
        <v>0.10526315789473679</v>
      </c>
      <c r="J39" s="8" t="s">
        <v>83</v>
      </c>
      <c r="K39" s="8"/>
      <c r="L39" s="8"/>
      <c r="M39" s="9"/>
    </row>
    <row r="40" spans="1:13" ht="30">
      <c r="A40" s="3" t="s">
        <v>27</v>
      </c>
      <c r="B40" s="3" t="s">
        <v>16</v>
      </c>
      <c r="C40" s="3" t="s">
        <v>17</v>
      </c>
      <c r="D40" s="4" t="s">
        <v>44</v>
      </c>
      <c r="E40" s="4" t="s">
        <v>87</v>
      </c>
      <c r="F40" s="3" t="s">
        <v>46</v>
      </c>
      <c r="G40" s="3" t="s">
        <v>42</v>
      </c>
      <c r="H40" s="5">
        <v>2</v>
      </c>
      <c r="I40" s="5">
        <v>0.10526315789473679</v>
      </c>
      <c r="J40" s="3" t="s">
        <v>83</v>
      </c>
      <c r="K40" s="3"/>
      <c r="L40" s="6"/>
      <c r="M40" s="7"/>
    </row>
    <row r="41" spans="1:13" ht="45">
      <c r="A41" s="8" t="s">
        <v>27</v>
      </c>
      <c r="B41" s="8" t="s">
        <v>16</v>
      </c>
      <c r="C41" s="8" t="s">
        <v>17</v>
      </c>
      <c r="D41" s="9" t="s">
        <v>44</v>
      </c>
      <c r="E41" s="9" t="s">
        <v>84</v>
      </c>
      <c r="F41" s="8" t="s">
        <v>46</v>
      </c>
      <c r="G41" s="8" t="s">
        <v>42</v>
      </c>
      <c r="H41" s="10">
        <v>2</v>
      </c>
      <c r="I41" s="10">
        <v>0.10526315789473679</v>
      </c>
      <c r="J41" s="8" t="s">
        <v>83</v>
      </c>
      <c r="K41" s="8"/>
      <c r="L41" s="8"/>
      <c r="M41" s="9"/>
    </row>
    <row r="42" spans="1:13" ht="30">
      <c r="A42" s="3" t="s">
        <v>27</v>
      </c>
      <c r="B42" s="3" t="s">
        <v>16</v>
      </c>
      <c r="C42" s="3" t="s">
        <v>17</v>
      </c>
      <c r="D42" s="4" t="s">
        <v>44</v>
      </c>
      <c r="E42" s="4" t="s">
        <v>88</v>
      </c>
      <c r="F42" s="3" t="s">
        <v>46</v>
      </c>
      <c r="G42" s="3" t="s">
        <v>47</v>
      </c>
      <c r="H42" s="5">
        <v>2</v>
      </c>
      <c r="I42" s="5">
        <v>0.10526315789473679</v>
      </c>
      <c r="J42" s="3" t="s">
        <v>83</v>
      </c>
      <c r="K42" s="3"/>
      <c r="L42" s="6"/>
      <c r="M42" s="7"/>
    </row>
    <row r="43" spans="1:13" ht="45">
      <c r="A43" s="8" t="s">
        <v>27</v>
      </c>
      <c r="B43" s="8" t="s">
        <v>16</v>
      </c>
      <c r="C43" s="8" t="s">
        <v>17</v>
      </c>
      <c r="D43" s="9" t="s">
        <v>44</v>
      </c>
      <c r="E43" s="9" t="s">
        <v>84</v>
      </c>
      <c r="F43" s="8" t="s">
        <v>46</v>
      </c>
      <c r="G43" s="8" t="s">
        <v>47</v>
      </c>
      <c r="H43" s="10">
        <v>1</v>
      </c>
      <c r="I43" s="10">
        <v>5.2631578947368418E-2</v>
      </c>
      <c r="J43" s="8" t="s">
        <v>83</v>
      </c>
      <c r="K43" s="8"/>
      <c r="L43" s="8"/>
      <c r="M43" s="9"/>
    </row>
    <row r="44" spans="1:13" ht="30">
      <c r="A44" s="3" t="s">
        <v>15</v>
      </c>
      <c r="B44" s="3" t="s">
        <v>49</v>
      </c>
      <c r="C44" s="3" t="s">
        <v>50</v>
      </c>
      <c r="D44" s="4" t="s">
        <v>51</v>
      </c>
      <c r="E44" s="4" t="s">
        <v>89</v>
      </c>
      <c r="F44" s="3" t="s">
        <v>53</v>
      </c>
      <c r="G44" s="3" t="s">
        <v>21</v>
      </c>
      <c r="H44" s="5">
        <v>2</v>
      </c>
      <c r="I44" s="5">
        <v>0.10526315789473679</v>
      </c>
      <c r="J44" s="3" t="s">
        <v>90</v>
      </c>
      <c r="K44" s="3"/>
      <c r="L44" s="6"/>
      <c r="M44" s="7"/>
    </row>
    <row r="45" spans="1:13" ht="30">
      <c r="A45" s="8" t="s">
        <v>15</v>
      </c>
      <c r="B45" s="8" t="s">
        <v>16</v>
      </c>
      <c r="C45" s="8" t="s">
        <v>17</v>
      </c>
      <c r="D45" s="9" t="s">
        <v>18</v>
      </c>
      <c r="E45" s="9" t="s">
        <v>91</v>
      </c>
      <c r="F45" s="8" t="s">
        <v>20</v>
      </c>
      <c r="G45" s="8" t="s">
        <v>21</v>
      </c>
      <c r="H45" s="10">
        <v>2</v>
      </c>
      <c r="I45" s="10">
        <v>0.10526315789473679</v>
      </c>
      <c r="J45" s="8" t="s">
        <v>90</v>
      </c>
      <c r="K45" s="8"/>
      <c r="L45" s="8"/>
      <c r="M45" s="9"/>
    </row>
    <row r="46" spans="1:13" ht="30">
      <c r="A46" s="3" t="s">
        <v>27</v>
      </c>
      <c r="B46" s="3" t="s">
        <v>16</v>
      </c>
      <c r="C46" s="3" t="s">
        <v>17</v>
      </c>
      <c r="D46" s="4" t="s">
        <v>18</v>
      </c>
      <c r="E46" s="4" t="s">
        <v>92</v>
      </c>
      <c r="F46" s="3" t="s">
        <v>20</v>
      </c>
      <c r="G46" s="3" t="s">
        <v>29</v>
      </c>
      <c r="H46" s="5">
        <v>2</v>
      </c>
      <c r="I46" s="5">
        <v>0.10526315789473679</v>
      </c>
      <c r="J46" s="3" t="s">
        <v>90</v>
      </c>
      <c r="K46" s="3"/>
      <c r="L46" s="6"/>
      <c r="M46" s="7"/>
    </row>
    <row r="47" spans="1:13" ht="30">
      <c r="A47" s="8" t="s">
        <v>27</v>
      </c>
      <c r="B47" s="8" t="s">
        <v>16</v>
      </c>
      <c r="C47" s="8" t="s">
        <v>17</v>
      </c>
      <c r="D47" s="9" t="s">
        <v>18</v>
      </c>
      <c r="E47" s="9" t="s">
        <v>93</v>
      </c>
      <c r="F47" s="8" t="s">
        <v>20</v>
      </c>
      <c r="G47" s="8" t="s">
        <v>29</v>
      </c>
      <c r="H47" s="10">
        <v>2</v>
      </c>
      <c r="I47" s="10">
        <v>0.10526315789473679</v>
      </c>
      <c r="J47" s="8" t="s">
        <v>90</v>
      </c>
      <c r="K47" s="8"/>
      <c r="L47" s="8"/>
      <c r="M47" s="9"/>
    </row>
    <row r="48" spans="1:13" ht="30">
      <c r="A48" s="3" t="s">
        <v>27</v>
      </c>
      <c r="B48" s="3" t="s">
        <v>49</v>
      </c>
      <c r="C48" s="3" t="s">
        <v>50</v>
      </c>
      <c r="D48" s="4" t="s">
        <v>51</v>
      </c>
      <c r="E48" s="4" t="s">
        <v>94</v>
      </c>
      <c r="F48" s="3" t="s">
        <v>53</v>
      </c>
      <c r="G48" s="3" t="s">
        <v>38</v>
      </c>
      <c r="H48" s="5">
        <v>2</v>
      </c>
      <c r="I48" s="5">
        <v>0.10526315789473679</v>
      </c>
      <c r="J48" s="3" t="s">
        <v>90</v>
      </c>
      <c r="K48" s="3"/>
      <c r="L48" s="6"/>
      <c r="M48" s="7"/>
    </row>
    <row r="49" spans="1:13" ht="30">
      <c r="A49" s="8" t="s">
        <v>27</v>
      </c>
      <c r="B49" s="8" t="s">
        <v>16</v>
      </c>
      <c r="C49" s="8" t="s">
        <v>17</v>
      </c>
      <c r="D49" s="9" t="s">
        <v>44</v>
      </c>
      <c r="E49" s="9" t="s">
        <v>91</v>
      </c>
      <c r="F49" s="8" t="s">
        <v>46</v>
      </c>
      <c r="G49" s="8" t="s">
        <v>38</v>
      </c>
      <c r="H49" s="10">
        <v>2</v>
      </c>
      <c r="I49" s="10">
        <v>0.10526315789473679</v>
      </c>
      <c r="J49" s="8" t="s">
        <v>90</v>
      </c>
      <c r="K49" s="8"/>
      <c r="L49" s="8"/>
      <c r="M49" s="9"/>
    </row>
    <row r="50" spans="1:13" ht="30">
      <c r="A50" s="3" t="s">
        <v>27</v>
      </c>
      <c r="B50" s="3" t="s">
        <v>49</v>
      </c>
      <c r="C50" s="3" t="s">
        <v>50</v>
      </c>
      <c r="D50" s="4" t="s">
        <v>51</v>
      </c>
      <c r="E50" s="4" t="s">
        <v>95</v>
      </c>
      <c r="F50" s="3" t="s">
        <v>53</v>
      </c>
      <c r="G50" s="3" t="s">
        <v>42</v>
      </c>
      <c r="H50" s="5">
        <v>2</v>
      </c>
      <c r="I50" s="5">
        <v>0.10526315789473679</v>
      </c>
      <c r="J50" s="3" t="s">
        <v>90</v>
      </c>
      <c r="K50" s="3"/>
      <c r="L50" s="6"/>
      <c r="M50" s="7"/>
    </row>
    <row r="51" spans="1:13" ht="30">
      <c r="A51" s="8" t="s">
        <v>27</v>
      </c>
      <c r="B51" s="8" t="s">
        <v>16</v>
      </c>
      <c r="C51" s="8" t="s">
        <v>17</v>
      </c>
      <c r="D51" s="9" t="s">
        <v>44</v>
      </c>
      <c r="E51" s="9" t="s">
        <v>91</v>
      </c>
      <c r="F51" s="8" t="s">
        <v>46</v>
      </c>
      <c r="G51" s="8" t="s">
        <v>42</v>
      </c>
      <c r="H51" s="10">
        <v>2</v>
      </c>
      <c r="I51" s="10">
        <v>0.10526315789473679</v>
      </c>
      <c r="J51" s="8" t="s">
        <v>90</v>
      </c>
      <c r="K51" s="8"/>
      <c r="L51" s="8"/>
      <c r="M51" s="9"/>
    </row>
    <row r="52" spans="1:13" ht="30">
      <c r="A52" s="3" t="s">
        <v>27</v>
      </c>
      <c r="B52" s="3" t="s">
        <v>16</v>
      </c>
      <c r="C52" s="3" t="s">
        <v>17</v>
      </c>
      <c r="D52" s="4" t="s">
        <v>18</v>
      </c>
      <c r="E52" s="4" t="s">
        <v>96</v>
      </c>
      <c r="F52" s="3" t="s">
        <v>20</v>
      </c>
      <c r="G52" s="3" t="s">
        <v>47</v>
      </c>
      <c r="H52" s="5">
        <v>2</v>
      </c>
      <c r="I52" s="5">
        <v>0.10526315789473679</v>
      </c>
      <c r="J52" s="3" t="s">
        <v>90</v>
      </c>
      <c r="K52" s="3"/>
      <c r="L52" s="6"/>
      <c r="M52" s="7"/>
    </row>
    <row r="53" spans="1:13" ht="30">
      <c r="A53" s="8" t="s">
        <v>27</v>
      </c>
      <c r="B53" s="8" t="s">
        <v>16</v>
      </c>
      <c r="C53" s="8" t="s">
        <v>17</v>
      </c>
      <c r="D53" s="9" t="s">
        <v>44</v>
      </c>
      <c r="E53" s="9" t="s">
        <v>93</v>
      </c>
      <c r="F53" s="8" t="s">
        <v>46</v>
      </c>
      <c r="G53" s="8" t="s">
        <v>47</v>
      </c>
      <c r="H53" s="10">
        <v>1</v>
      </c>
      <c r="I53" s="10">
        <v>5.2631578947368418E-2</v>
      </c>
      <c r="J53" s="8" t="s">
        <v>90</v>
      </c>
      <c r="K53" s="8"/>
      <c r="L53" s="8"/>
      <c r="M53" s="9"/>
    </row>
    <row r="54" spans="1:13">
      <c r="A54" s="3" t="s">
        <v>27</v>
      </c>
      <c r="B54" s="3" t="s">
        <v>31</v>
      </c>
      <c r="C54" s="3" t="s">
        <v>32</v>
      </c>
      <c r="D54" s="4" t="s">
        <v>97</v>
      </c>
      <c r="E54" s="4" t="s">
        <v>98</v>
      </c>
      <c r="F54" s="3" t="s">
        <v>99</v>
      </c>
      <c r="G54" s="3" t="s">
        <v>47</v>
      </c>
      <c r="H54" s="5">
        <v>2</v>
      </c>
      <c r="I54" s="5">
        <v>0.10526315789473679</v>
      </c>
      <c r="J54" s="3" t="s">
        <v>100</v>
      </c>
      <c r="K54" s="3"/>
      <c r="L54" s="6"/>
      <c r="M54" s="7"/>
    </row>
    <row r="55" spans="1:13">
      <c r="A55" s="8" t="s">
        <v>27</v>
      </c>
      <c r="B55" s="8" t="s">
        <v>31</v>
      </c>
      <c r="C55" s="8" t="s">
        <v>32</v>
      </c>
      <c r="D55" s="9" t="s">
        <v>97</v>
      </c>
      <c r="E55" s="9" t="s">
        <v>98</v>
      </c>
      <c r="F55" s="8" t="s">
        <v>99</v>
      </c>
      <c r="G55" s="8" t="s">
        <v>47</v>
      </c>
      <c r="H55" s="10">
        <v>2</v>
      </c>
      <c r="I55" s="10">
        <v>0.10526315789473679</v>
      </c>
      <c r="J55" s="8" t="s">
        <v>101</v>
      </c>
      <c r="K55" s="8"/>
      <c r="L55" s="8"/>
      <c r="M55" s="9"/>
    </row>
    <row r="56" spans="1:13">
      <c r="A56" s="3" t="s">
        <v>27</v>
      </c>
      <c r="B56" s="3" t="s">
        <v>31</v>
      </c>
      <c r="C56" s="3" t="s">
        <v>32</v>
      </c>
      <c r="D56" s="4" t="s">
        <v>97</v>
      </c>
      <c r="E56" s="4" t="s">
        <v>98</v>
      </c>
      <c r="F56" s="3" t="s">
        <v>99</v>
      </c>
      <c r="G56" s="3" t="s">
        <v>47</v>
      </c>
      <c r="H56" s="5">
        <v>2</v>
      </c>
      <c r="I56" s="5">
        <v>0.10526315789473679</v>
      </c>
      <c r="J56" s="3" t="s">
        <v>102</v>
      </c>
      <c r="K56" s="3"/>
      <c r="L56" s="6"/>
      <c r="M56" s="7"/>
    </row>
    <row r="57" spans="1:13" ht="30">
      <c r="A57" s="8" t="s">
        <v>15</v>
      </c>
      <c r="B57" s="8" t="s">
        <v>49</v>
      </c>
      <c r="C57" s="8" t="s">
        <v>50</v>
      </c>
      <c r="D57" s="9" t="s">
        <v>51</v>
      </c>
      <c r="E57" s="9" t="s">
        <v>103</v>
      </c>
      <c r="F57" s="8" t="s">
        <v>53</v>
      </c>
      <c r="G57" s="8" t="s">
        <v>21</v>
      </c>
      <c r="H57" s="10">
        <v>2</v>
      </c>
      <c r="I57" s="10">
        <v>0.10526315789473679</v>
      </c>
      <c r="J57" s="8" t="s">
        <v>104</v>
      </c>
      <c r="K57" s="8"/>
      <c r="L57" s="8"/>
      <c r="M57" s="9"/>
    </row>
    <row r="58" spans="1:13" ht="30">
      <c r="A58" s="3" t="s">
        <v>15</v>
      </c>
      <c r="B58" s="3" t="s">
        <v>16</v>
      </c>
      <c r="C58" s="3" t="s">
        <v>17</v>
      </c>
      <c r="D58" s="4" t="s">
        <v>18</v>
      </c>
      <c r="E58" s="4" t="s">
        <v>105</v>
      </c>
      <c r="F58" s="3" t="s">
        <v>20</v>
      </c>
      <c r="G58" s="3" t="s">
        <v>21</v>
      </c>
      <c r="H58" s="5">
        <v>2</v>
      </c>
      <c r="I58" s="5">
        <v>0.10526315789473679</v>
      </c>
      <c r="J58" s="3" t="s">
        <v>104</v>
      </c>
      <c r="K58" s="3"/>
      <c r="L58" s="6"/>
      <c r="M58" s="7"/>
    </row>
    <row r="59" spans="1:13" ht="30">
      <c r="A59" s="8" t="s">
        <v>27</v>
      </c>
      <c r="B59" s="8" t="s">
        <v>49</v>
      </c>
      <c r="C59" s="8" t="s">
        <v>50</v>
      </c>
      <c r="D59" s="9" t="s">
        <v>51</v>
      </c>
      <c r="E59" s="9" t="s">
        <v>106</v>
      </c>
      <c r="F59" s="8" t="s">
        <v>53</v>
      </c>
      <c r="G59" s="8" t="s">
        <v>29</v>
      </c>
      <c r="H59" s="10">
        <v>2</v>
      </c>
      <c r="I59" s="10">
        <v>0.10526315789473679</v>
      </c>
      <c r="J59" s="8" t="s">
        <v>104</v>
      </c>
      <c r="K59" s="8"/>
      <c r="L59" s="8"/>
      <c r="M59" s="9"/>
    </row>
    <row r="60" spans="1:13">
      <c r="A60" s="3" t="s">
        <v>27</v>
      </c>
      <c r="B60" s="3" t="s">
        <v>16</v>
      </c>
      <c r="C60" s="3" t="s">
        <v>17</v>
      </c>
      <c r="D60" s="4" t="s">
        <v>18</v>
      </c>
      <c r="E60" s="4" t="s">
        <v>107</v>
      </c>
      <c r="F60" s="3" t="s">
        <v>20</v>
      </c>
      <c r="G60" s="3" t="s">
        <v>29</v>
      </c>
      <c r="H60" s="5">
        <v>2</v>
      </c>
      <c r="I60" s="5">
        <v>0.10526315789473679</v>
      </c>
      <c r="J60" s="3" t="s">
        <v>104</v>
      </c>
      <c r="K60" s="3"/>
      <c r="L60" s="6"/>
      <c r="M60" s="7"/>
    </row>
    <row r="61" spans="1:13" ht="30">
      <c r="A61" s="8" t="s">
        <v>27</v>
      </c>
      <c r="B61" s="8" t="s">
        <v>49</v>
      </c>
      <c r="C61" s="8" t="s">
        <v>50</v>
      </c>
      <c r="D61" s="9" t="s">
        <v>51</v>
      </c>
      <c r="E61" s="9" t="s">
        <v>108</v>
      </c>
      <c r="F61" s="8" t="s">
        <v>53</v>
      </c>
      <c r="G61" s="8" t="s">
        <v>38</v>
      </c>
      <c r="H61" s="10">
        <v>2</v>
      </c>
      <c r="I61" s="10">
        <v>0.10526315789473679</v>
      </c>
      <c r="J61" s="8" t="s">
        <v>104</v>
      </c>
      <c r="K61" s="8"/>
      <c r="L61" s="8"/>
      <c r="M61" s="9"/>
    </row>
    <row r="62" spans="1:13">
      <c r="A62" s="3" t="s">
        <v>27</v>
      </c>
      <c r="B62" s="3" t="s">
        <v>16</v>
      </c>
      <c r="C62" s="3" t="s">
        <v>17</v>
      </c>
      <c r="D62" s="4" t="s">
        <v>65</v>
      </c>
      <c r="E62" s="4" t="s">
        <v>109</v>
      </c>
      <c r="F62" s="3" t="s">
        <v>67</v>
      </c>
      <c r="G62" s="3" t="s">
        <v>38</v>
      </c>
      <c r="H62" s="5">
        <v>2</v>
      </c>
      <c r="I62" s="5">
        <v>0.10526315789473679</v>
      </c>
      <c r="J62" s="3" t="s">
        <v>104</v>
      </c>
      <c r="K62" s="3"/>
      <c r="L62" s="6"/>
      <c r="M62" s="7"/>
    </row>
    <row r="63" spans="1:13" ht="30">
      <c r="A63" s="8" t="s">
        <v>27</v>
      </c>
      <c r="B63" s="8" t="s">
        <v>16</v>
      </c>
      <c r="C63" s="8" t="s">
        <v>17</v>
      </c>
      <c r="D63" s="9" t="s">
        <v>44</v>
      </c>
      <c r="E63" s="9" t="s">
        <v>110</v>
      </c>
      <c r="F63" s="8" t="s">
        <v>46</v>
      </c>
      <c r="G63" s="8" t="s">
        <v>42</v>
      </c>
      <c r="H63" s="10">
        <v>2</v>
      </c>
      <c r="I63" s="10">
        <v>0.10526315789473679</v>
      </c>
      <c r="J63" s="8" t="s">
        <v>104</v>
      </c>
      <c r="K63" s="8"/>
      <c r="L63" s="8"/>
      <c r="M63" s="9"/>
    </row>
    <row r="64" spans="1:13" ht="30">
      <c r="A64" s="3" t="s">
        <v>27</v>
      </c>
      <c r="B64" s="3" t="s">
        <v>49</v>
      </c>
      <c r="C64" s="3" t="s">
        <v>50</v>
      </c>
      <c r="D64" s="4" t="s">
        <v>51</v>
      </c>
      <c r="E64" s="4" t="s">
        <v>111</v>
      </c>
      <c r="F64" s="3" t="s">
        <v>53</v>
      </c>
      <c r="G64" s="3" t="s">
        <v>42</v>
      </c>
      <c r="H64" s="5">
        <v>2</v>
      </c>
      <c r="I64" s="5">
        <v>0.10526315789473679</v>
      </c>
      <c r="J64" s="3" t="s">
        <v>104</v>
      </c>
      <c r="K64" s="3"/>
      <c r="L64" s="6"/>
      <c r="M64" s="7"/>
    </row>
    <row r="65" spans="1:13" ht="30">
      <c r="A65" s="8" t="s">
        <v>27</v>
      </c>
      <c r="B65" s="8" t="s">
        <v>16</v>
      </c>
      <c r="C65" s="8" t="s">
        <v>17</v>
      </c>
      <c r="D65" s="9" t="s">
        <v>44</v>
      </c>
      <c r="E65" s="9" t="s">
        <v>110</v>
      </c>
      <c r="F65" s="8" t="s">
        <v>46</v>
      </c>
      <c r="G65" s="8" t="s">
        <v>47</v>
      </c>
      <c r="H65" s="10">
        <v>2</v>
      </c>
      <c r="I65" s="10">
        <v>0.10526315789473679</v>
      </c>
      <c r="J65" s="8" t="s">
        <v>104</v>
      </c>
      <c r="K65" s="8"/>
      <c r="L65" s="8"/>
      <c r="M65" s="9"/>
    </row>
    <row r="66" spans="1:13" ht="30">
      <c r="A66" s="3" t="s">
        <v>27</v>
      </c>
      <c r="B66" s="3" t="s">
        <v>16</v>
      </c>
      <c r="C66" s="3" t="s">
        <v>17</v>
      </c>
      <c r="D66" s="4" t="s">
        <v>44</v>
      </c>
      <c r="E66" s="4" t="s">
        <v>112</v>
      </c>
      <c r="F66" s="3" t="s">
        <v>46</v>
      </c>
      <c r="G66" s="3" t="s">
        <v>47</v>
      </c>
      <c r="H66" s="5">
        <v>1</v>
      </c>
      <c r="I66" s="5">
        <v>5.2631578947368418E-2</v>
      </c>
      <c r="J66" s="3" t="s">
        <v>104</v>
      </c>
      <c r="K66" s="3"/>
      <c r="L66" s="6"/>
      <c r="M66" s="7"/>
    </row>
    <row r="67" spans="1:13" ht="30">
      <c r="A67" s="8" t="s">
        <v>15</v>
      </c>
      <c r="B67" s="8" t="s">
        <v>16</v>
      </c>
      <c r="C67" s="8" t="s">
        <v>17</v>
      </c>
      <c r="D67" s="9" t="s">
        <v>18</v>
      </c>
      <c r="E67" s="9" t="s">
        <v>113</v>
      </c>
      <c r="F67" s="8" t="s">
        <v>20</v>
      </c>
      <c r="G67" s="8" t="s">
        <v>21</v>
      </c>
      <c r="H67" s="10">
        <v>2</v>
      </c>
      <c r="I67" s="10">
        <v>0.10526315789473679</v>
      </c>
      <c r="J67" s="8" t="s">
        <v>114</v>
      </c>
      <c r="K67" s="8"/>
      <c r="L67" s="8"/>
      <c r="M67" s="9"/>
    </row>
    <row r="68" spans="1:13" ht="30">
      <c r="A68" s="3" t="s">
        <v>15</v>
      </c>
      <c r="B68" s="3" t="s">
        <v>16</v>
      </c>
      <c r="C68" s="3" t="s">
        <v>17</v>
      </c>
      <c r="D68" s="4" t="s">
        <v>18</v>
      </c>
      <c r="E68" s="4" t="s">
        <v>115</v>
      </c>
      <c r="F68" s="3" t="s">
        <v>20</v>
      </c>
      <c r="G68" s="3" t="s">
        <v>21</v>
      </c>
      <c r="H68" s="5">
        <v>2</v>
      </c>
      <c r="I68" s="5">
        <v>0.10526315789473679</v>
      </c>
      <c r="J68" s="3" t="s">
        <v>114</v>
      </c>
      <c r="K68" s="3"/>
      <c r="L68" s="6"/>
      <c r="M68" s="7"/>
    </row>
    <row r="69" spans="1:13" ht="30">
      <c r="A69" s="8" t="s">
        <v>27</v>
      </c>
      <c r="B69" s="8" t="s">
        <v>70</v>
      </c>
      <c r="C69" s="8" t="s">
        <v>71</v>
      </c>
      <c r="D69" s="9" t="s">
        <v>72</v>
      </c>
      <c r="E69" s="9" t="s">
        <v>116</v>
      </c>
      <c r="F69" s="8" t="s">
        <v>74</v>
      </c>
      <c r="G69" s="8" t="s">
        <v>29</v>
      </c>
      <c r="H69" s="10">
        <v>2</v>
      </c>
      <c r="I69" s="10">
        <v>0.10526315789473679</v>
      </c>
      <c r="J69" s="8" t="s">
        <v>114</v>
      </c>
      <c r="K69" s="8"/>
      <c r="L69" s="8"/>
      <c r="M69" s="9"/>
    </row>
    <row r="70" spans="1:13" ht="30">
      <c r="A70" s="3" t="s">
        <v>27</v>
      </c>
      <c r="B70" s="3" t="s">
        <v>70</v>
      </c>
      <c r="C70" s="3" t="s">
        <v>71</v>
      </c>
      <c r="D70" s="4" t="s">
        <v>72</v>
      </c>
      <c r="E70" s="4" t="s">
        <v>117</v>
      </c>
      <c r="F70" s="3" t="s">
        <v>74</v>
      </c>
      <c r="G70" s="3" t="s">
        <v>29</v>
      </c>
      <c r="H70" s="5">
        <v>2</v>
      </c>
      <c r="I70" s="5">
        <v>0.10526315789473679</v>
      </c>
      <c r="J70" s="3" t="s">
        <v>114</v>
      </c>
      <c r="K70" s="3"/>
      <c r="L70" s="6"/>
      <c r="M70" s="7"/>
    </row>
    <row r="71" spans="1:13" ht="30">
      <c r="A71" s="8" t="s">
        <v>27</v>
      </c>
      <c r="B71" s="8" t="s">
        <v>16</v>
      </c>
      <c r="C71" s="8" t="s">
        <v>17</v>
      </c>
      <c r="D71" s="9" t="s">
        <v>44</v>
      </c>
      <c r="E71" s="9" t="s">
        <v>118</v>
      </c>
      <c r="F71" s="8" t="s">
        <v>46</v>
      </c>
      <c r="G71" s="8" t="s">
        <v>38</v>
      </c>
      <c r="H71" s="10">
        <v>2</v>
      </c>
      <c r="I71" s="10">
        <v>0.10526315789473679</v>
      </c>
      <c r="J71" s="8" t="s">
        <v>114</v>
      </c>
      <c r="K71" s="8"/>
      <c r="L71" s="8"/>
      <c r="M71" s="9"/>
    </row>
    <row r="72" spans="1:13" ht="30">
      <c r="A72" s="3" t="s">
        <v>27</v>
      </c>
      <c r="B72" s="3" t="s">
        <v>16</v>
      </c>
      <c r="C72" s="3" t="s">
        <v>17</v>
      </c>
      <c r="D72" s="4" t="s">
        <v>44</v>
      </c>
      <c r="E72" s="4" t="s">
        <v>119</v>
      </c>
      <c r="F72" s="3" t="s">
        <v>46</v>
      </c>
      <c r="G72" s="3" t="s">
        <v>38</v>
      </c>
      <c r="H72" s="5">
        <v>2</v>
      </c>
      <c r="I72" s="5">
        <v>0.10526315789473679</v>
      </c>
      <c r="J72" s="3" t="s">
        <v>114</v>
      </c>
      <c r="K72" s="3"/>
      <c r="L72" s="6"/>
      <c r="M72" s="7"/>
    </row>
    <row r="73" spans="1:13" ht="30">
      <c r="A73" s="8" t="s">
        <v>27</v>
      </c>
      <c r="B73" s="8" t="s">
        <v>16</v>
      </c>
      <c r="C73" s="8" t="s">
        <v>17</v>
      </c>
      <c r="D73" s="9" t="s">
        <v>44</v>
      </c>
      <c r="E73" s="9" t="s">
        <v>120</v>
      </c>
      <c r="F73" s="8" t="s">
        <v>46</v>
      </c>
      <c r="G73" s="8" t="s">
        <v>42</v>
      </c>
      <c r="H73" s="10">
        <v>2</v>
      </c>
      <c r="I73" s="10">
        <v>0.10526315789473679</v>
      </c>
      <c r="J73" s="8" t="s">
        <v>114</v>
      </c>
      <c r="K73" s="8"/>
      <c r="L73" s="8"/>
      <c r="M73" s="9"/>
    </row>
    <row r="74" spans="1:13" ht="30">
      <c r="A74" s="3" t="s">
        <v>27</v>
      </c>
      <c r="B74" s="3" t="s">
        <v>16</v>
      </c>
      <c r="C74" s="3" t="s">
        <v>17</v>
      </c>
      <c r="D74" s="4" t="s">
        <v>44</v>
      </c>
      <c r="E74" s="4" t="s">
        <v>121</v>
      </c>
      <c r="F74" s="3" t="s">
        <v>46</v>
      </c>
      <c r="G74" s="3" t="s">
        <v>42</v>
      </c>
      <c r="H74" s="5">
        <v>2</v>
      </c>
      <c r="I74" s="5">
        <v>0.10526315789473679</v>
      </c>
      <c r="J74" s="3" t="s">
        <v>114</v>
      </c>
      <c r="K74" s="3"/>
      <c r="L74" s="6"/>
      <c r="M74" s="7"/>
    </row>
    <row r="75" spans="1:13" ht="30">
      <c r="A75" s="8" t="s">
        <v>27</v>
      </c>
      <c r="B75" s="8" t="s">
        <v>16</v>
      </c>
      <c r="C75" s="8" t="s">
        <v>17</v>
      </c>
      <c r="D75" s="9" t="s">
        <v>44</v>
      </c>
      <c r="E75" s="9" t="s">
        <v>122</v>
      </c>
      <c r="F75" s="8" t="s">
        <v>46</v>
      </c>
      <c r="G75" s="8" t="s">
        <v>47</v>
      </c>
      <c r="H75" s="10">
        <v>2</v>
      </c>
      <c r="I75" s="10">
        <v>0.10526315789473679</v>
      </c>
      <c r="J75" s="8" t="s">
        <v>114</v>
      </c>
      <c r="K75" s="8"/>
      <c r="L75" s="8"/>
      <c r="M75" s="9"/>
    </row>
    <row r="76" spans="1:13">
      <c r="A76" s="3" t="s">
        <v>27</v>
      </c>
      <c r="B76" s="3" t="s">
        <v>16</v>
      </c>
      <c r="C76" s="3" t="s">
        <v>17</v>
      </c>
      <c r="D76" s="4" t="s">
        <v>44</v>
      </c>
      <c r="E76" s="4" t="s">
        <v>123</v>
      </c>
      <c r="F76" s="3" t="s">
        <v>46</v>
      </c>
      <c r="G76" s="3" t="s">
        <v>47</v>
      </c>
      <c r="H76" s="5">
        <v>1</v>
      </c>
      <c r="I76" s="5">
        <v>5.2631578947368418E-2</v>
      </c>
      <c r="J76" s="3" t="s">
        <v>114</v>
      </c>
      <c r="K76" s="3"/>
      <c r="L76" s="6"/>
      <c r="M76" s="7"/>
    </row>
    <row r="77" spans="1:13" ht="30">
      <c r="A77" s="8" t="s">
        <v>15</v>
      </c>
      <c r="B77" s="8" t="s">
        <v>49</v>
      </c>
      <c r="C77" s="8" t="s">
        <v>50</v>
      </c>
      <c r="D77" s="9" t="s">
        <v>51</v>
      </c>
      <c r="E77" s="9" t="s">
        <v>124</v>
      </c>
      <c r="F77" s="8" t="s">
        <v>53</v>
      </c>
      <c r="G77" s="8" t="s">
        <v>21</v>
      </c>
      <c r="H77" s="10">
        <v>2</v>
      </c>
      <c r="I77" s="10">
        <v>0.10526315789473679</v>
      </c>
      <c r="J77" s="8" t="s">
        <v>125</v>
      </c>
      <c r="K77" s="8"/>
      <c r="L77" s="8"/>
      <c r="M77" s="9"/>
    </row>
    <row r="78" spans="1:13" ht="30">
      <c r="A78" s="3" t="s">
        <v>15</v>
      </c>
      <c r="B78" s="3" t="s">
        <v>16</v>
      </c>
      <c r="C78" s="3" t="s">
        <v>17</v>
      </c>
      <c r="D78" s="4" t="s">
        <v>18</v>
      </c>
      <c r="E78" s="4" t="s">
        <v>126</v>
      </c>
      <c r="F78" s="3" t="s">
        <v>20</v>
      </c>
      <c r="G78" s="3" t="s">
        <v>21</v>
      </c>
      <c r="H78" s="5">
        <v>2</v>
      </c>
      <c r="I78" s="5">
        <v>0.10526315789473679</v>
      </c>
      <c r="J78" s="3" t="s">
        <v>125</v>
      </c>
      <c r="K78" s="3"/>
      <c r="L78" s="6"/>
      <c r="M78" s="7"/>
    </row>
    <row r="79" spans="1:13" ht="30">
      <c r="A79" s="8" t="s">
        <v>27</v>
      </c>
      <c r="B79" s="8" t="s">
        <v>49</v>
      </c>
      <c r="C79" s="8" t="s">
        <v>50</v>
      </c>
      <c r="D79" s="9" t="s">
        <v>51</v>
      </c>
      <c r="E79" s="9" t="s">
        <v>127</v>
      </c>
      <c r="F79" s="8" t="s">
        <v>53</v>
      </c>
      <c r="G79" s="8" t="s">
        <v>29</v>
      </c>
      <c r="H79" s="10">
        <v>2</v>
      </c>
      <c r="I79" s="10">
        <v>0.10526315789473679</v>
      </c>
      <c r="J79" s="8" t="s">
        <v>125</v>
      </c>
      <c r="K79" s="8"/>
      <c r="L79" s="8"/>
      <c r="M79" s="9"/>
    </row>
    <row r="80" spans="1:13" ht="30">
      <c r="A80" s="3" t="s">
        <v>27</v>
      </c>
      <c r="B80" s="3" t="s">
        <v>16</v>
      </c>
      <c r="C80" s="3" t="s">
        <v>17</v>
      </c>
      <c r="D80" s="4" t="s">
        <v>18</v>
      </c>
      <c r="E80" s="4" t="s">
        <v>126</v>
      </c>
      <c r="F80" s="3" t="s">
        <v>20</v>
      </c>
      <c r="G80" s="3" t="s">
        <v>29</v>
      </c>
      <c r="H80" s="5">
        <v>2</v>
      </c>
      <c r="I80" s="5">
        <v>0.10526315789473679</v>
      </c>
      <c r="J80" s="3" t="s">
        <v>125</v>
      </c>
      <c r="K80" s="3"/>
      <c r="L80" s="6"/>
      <c r="M80" s="7"/>
    </row>
    <row r="81" spans="1:13" ht="30">
      <c r="A81" s="8" t="s">
        <v>27</v>
      </c>
      <c r="B81" s="8" t="s">
        <v>49</v>
      </c>
      <c r="C81" s="8" t="s">
        <v>50</v>
      </c>
      <c r="D81" s="9" t="s">
        <v>51</v>
      </c>
      <c r="E81" s="9" t="s">
        <v>128</v>
      </c>
      <c r="F81" s="8" t="s">
        <v>53</v>
      </c>
      <c r="G81" s="8" t="s">
        <v>38</v>
      </c>
      <c r="H81" s="10">
        <v>2</v>
      </c>
      <c r="I81" s="10">
        <v>0.10526315789473679</v>
      </c>
      <c r="J81" s="8" t="s">
        <v>125</v>
      </c>
      <c r="K81" s="8"/>
      <c r="L81" s="8"/>
      <c r="M81" s="9"/>
    </row>
    <row r="82" spans="1:13" ht="30">
      <c r="A82" s="3" t="s">
        <v>27</v>
      </c>
      <c r="B82" s="3" t="s">
        <v>16</v>
      </c>
      <c r="C82" s="3" t="s">
        <v>17</v>
      </c>
      <c r="D82" s="4" t="s">
        <v>44</v>
      </c>
      <c r="E82" s="4" t="s">
        <v>126</v>
      </c>
      <c r="F82" s="3" t="s">
        <v>46</v>
      </c>
      <c r="G82" s="3" t="s">
        <v>38</v>
      </c>
      <c r="H82" s="5">
        <v>2</v>
      </c>
      <c r="I82" s="5">
        <v>0.10526315789473679</v>
      </c>
      <c r="J82" s="3" t="s">
        <v>125</v>
      </c>
      <c r="K82" s="3"/>
      <c r="L82" s="6"/>
      <c r="M82" s="7"/>
    </row>
    <row r="83" spans="1:13" ht="30">
      <c r="A83" s="8" t="s">
        <v>27</v>
      </c>
      <c r="B83" s="8" t="s">
        <v>16</v>
      </c>
      <c r="C83" s="8" t="s">
        <v>17</v>
      </c>
      <c r="D83" s="9" t="s">
        <v>18</v>
      </c>
      <c r="E83" s="9" t="s">
        <v>129</v>
      </c>
      <c r="F83" s="8" t="s">
        <v>20</v>
      </c>
      <c r="G83" s="8" t="s">
        <v>42</v>
      </c>
      <c r="H83" s="10">
        <v>2</v>
      </c>
      <c r="I83" s="10">
        <v>0.10526315789473679</v>
      </c>
      <c r="J83" s="8" t="s">
        <v>125</v>
      </c>
      <c r="K83" s="8"/>
      <c r="L83" s="8"/>
      <c r="M83" s="9"/>
    </row>
    <row r="84" spans="1:13" ht="30">
      <c r="A84" s="3" t="s">
        <v>27</v>
      </c>
      <c r="B84" s="3" t="s">
        <v>16</v>
      </c>
      <c r="C84" s="3" t="s">
        <v>17</v>
      </c>
      <c r="D84" s="4" t="s">
        <v>18</v>
      </c>
      <c r="E84" s="4" t="s">
        <v>126</v>
      </c>
      <c r="F84" s="3" t="s">
        <v>20</v>
      </c>
      <c r="G84" s="3" t="s">
        <v>42</v>
      </c>
      <c r="H84" s="5">
        <v>2</v>
      </c>
      <c r="I84" s="5">
        <v>0.10526315789473679</v>
      </c>
      <c r="J84" s="3" t="s">
        <v>125</v>
      </c>
      <c r="K84" s="3"/>
      <c r="L84" s="6"/>
      <c r="M84" s="7"/>
    </row>
    <row r="85" spans="1:13" ht="30">
      <c r="A85" s="8" t="s">
        <v>27</v>
      </c>
      <c r="B85" s="8" t="s">
        <v>16</v>
      </c>
      <c r="C85" s="8" t="s">
        <v>17</v>
      </c>
      <c r="D85" s="9" t="s">
        <v>44</v>
      </c>
      <c r="E85" s="9" t="s">
        <v>130</v>
      </c>
      <c r="F85" s="8" t="s">
        <v>46</v>
      </c>
      <c r="G85" s="8" t="s">
        <v>47</v>
      </c>
      <c r="H85" s="10">
        <v>2</v>
      </c>
      <c r="I85" s="10">
        <v>0.10526315789473679</v>
      </c>
      <c r="J85" s="8" t="s">
        <v>125</v>
      </c>
      <c r="K85" s="8"/>
      <c r="L85" s="8"/>
      <c r="M85" s="9"/>
    </row>
    <row r="86" spans="1:13" ht="30">
      <c r="A86" s="3" t="s">
        <v>27</v>
      </c>
      <c r="B86" s="3" t="s">
        <v>16</v>
      </c>
      <c r="C86" s="3" t="s">
        <v>17</v>
      </c>
      <c r="D86" s="4" t="s">
        <v>44</v>
      </c>
      <c r="E86" s="4" t="s">
        <v>126</v>
      </c>
      <c r="F86" s="3" t="s">
        <v>46</v>
      </c>
      <c r="G86" s="3" t="s">
        <v>47</v>
      </c>
      <c r="H86" s="5">
        <v>1</v>
      </c>
      <c r="I86" s="5">
        <v>5.2631578947368418E-2</v>
      </c>
      <c r="J86" s="3" t="s">
        <v>125</v>
      </c>
      <c r="K86" s="3"/>
      <c r="L86" s="6"/>
      <c r="M86" s="7"/>
    </row>
    <row r="87" spans="1:13" ht="30">
      <c r="A87" s="8" t="s">
        <v>15</v>
      </c>
      <c r="B87" s="8" t="s">
        <v>16</v>
      </c>
      <c r="C87" s="8" t="s">
        <v>17</v>
      </c>
      <c r="D87" s="9" t="s">
        <v>131</v>
      </c>
      <c r="E87" s="9" t="s">
        <v>132</v>
      </c>
      <c r="F87" s="8" t="s">
        <v>133</v>
      </c>
      <c r="G87" s="8" t="s">
        <v>21</v>
      </c>
      <c r="H87" s="10">
        <v>2</v>
      </c>
      <c r="I87" s="10">
        <v>0.10526315789473679</v>
      </c>
      <c r="J87" s="8" t="s">
        <v>134</v>
      </c>
      <c r="K87" s="8"/>
      <c r="L87" s="8"/>
      <c r="M87" s="9"/>
    </row>
    <row r="88" spans="1:13" ht="30">
      <c r="A88" s="3" t="s">
        <v>15</v>
      </c>
      <c r="B88" s="3" t="s">
        <v>16</v>
      </c>
      <c r="C88" s="3" t="s">
        <v>17</v>
      </c>
      <c r="D88" s="4" t="s">
        <v>18</v>
      </c>
      <c r="E88" s="4" t="s">
        <v>135</v>
      </c>
      <c r="F88" s="3" t="s">
        <v>20</v>
      </c>
      <c r="G88" s="3" t="s">
        <v>21</v>
      </c>
      <c r="H88" s="5">
        <v>2</v>
      </c>
      <c r="I88" s="5">
        <v>0.10526315789473679</v>
      </c>
      <c r="J88" s="3" t="s">
        <v>134</v>
      </c>
      <c r="K88" s="3"/>
      <c r="L88" s="6"/>
      <c r="M88" s="7"/>
    </row>
    <row r="89" spans="1:13" ht="30">
      <c r="A89" s="8" t="s">
        <v>27</v>
      </c>
      <c r="B89" s="8" t="s">
        <v>70</v>
      </c>
      <c r="C89" s="8" t="s">
        <v>71</v>
      </c>
      <c r="D89" s="9" t="s">
        <v>72</v>
      </c>
      <c r="E89" s="9" t="s">
        <v>136</v>
      </c>
      <c r="F89" s="8" t="s">
        <v>74</v>
      </c>
      <c r="G89" s="8" t="s">
        <v>29</v>
      </c>
      <c r="H89" s="10">
        <v>2</v>
      </c>
      <c r="I89" s="10">
        <v>0.10526315789473679</v>
      </c>
      <c r="J89" s="8" t="s">
        <v>134</v>
      </c>
      <c r="K89" s="8"/>
      <c r="L89" s="8"/>
      <c r="M89" s="9"/>
    </row>
    <row r="90" spans="1:13" ht="30">
      <c r="A90" s="3" t="s">
        <v>27</v>
      </c>
      <c r="B90" s="3" t="s">
        <v>16</v>
      </c>
      <c r="C90" s="3" t="s">
        <v>17</v>
      </c>
      <c r="D90" s="4" t="s">
        <v>18</v>
      </c>
      <c r="E90" s="4" t="s">
        <v>135</v>
      </c>
      <c r="F90" s="3" t="s">
        <v>20</v>
      </c>
      <c r="G90" s="3" t="s">
        <v>29</v>
      </c>
      <c r="H90" s="5">
        <v>2</v>
      </c>
      <c r="I90" s="5">
        <v>0.10526315789473679</v>
      </c>
      <c r="J90" s="3" t="s">
        <v>134</v>
      </c>
      <c r="K90" s="3"/>
      <c r="L90" s="6"/>
      <c r="M90" s="7"/>
    </row>
    <row r="91" spans="1:13" ht="30">
      <c r="A91" s="8" t="s">
        <v>27</v>
      </c>
      <c r="B91" s="8" t="s">
        <v>16</v>
      </c>
      <c r="C91" s="8" t="s">
        <v>17</v>
      </c>
      <c r="D91" s="9" t="s">
        <v>18</v>
      </c>
      <c r="E91" s="9" t="s">
        <v>137</v>
      </c>
      <c r="F91" s="8" t="s">
        <v>20</v>
      </c>
      <c r="G91" s="8" t="s">
        <v>38</v>
      </c>
      <c r="H91" s="10">
        <v>2</v>
      </c>
      <c r="I91" s="10">
        <v>0.10526315789473679</v>
      </c>
      <c r="J91" s="8" t="s">
        <v>134</v>
      </c>
      <c r="K91" s="8"/>
      <c r="L91" s="8"/>
      <c r="M91" s="9"/>
    </row>
    <row r="92" spans="1:13" ht="30">
      <c r="A92" s="3" t="s">
        <v>27</v>
      </c>
      <c r="B92" s="3" t="s">
        <v>16</v>
      </c>
      <c r="C92" s="3" t="s">
        <v>17</v>
      </c>
      <c r="D92" s="4" t="s">
        <v>44</v>
      </c>
      <c r="E92" s="4" t="s">
        <v>135</v>
      </c>
      <c r="F92" s="3" t="s">
        <v>46</v>
      </c>
      <c r="G92" s="3" t="s">
        <v>38</v>
      </c>
      <c r="H92" s="5">
        <v>2</v>
      </c>
      <c r="I92" s="5">
        <v>0.10526315789473679</v>
      </c>
      <c r="J92" s="3" t="s">
        <v>134</v>
      </c>
      <c r="K92" s="3"/>
      <c r="L92" s="6"/>
      <c r="M92" s="7"/>
    </row>
    <row r="93" spans="1:13" ht="30">
      <c r="A93" s="8" t="s">
        <v>27</v>
      </c>
      <c r="B93" s="8" t="s">
        <v>49</v>
      </c>
      <c r="C93" s="8" t="s">
        <v>50</v>
      </c>
      <c r="D93" s="9" t="s">
        <v>51</v>
      </c>
      <c r="E93" s="9" t="s">
        <v>138</v>
      </c>
      <c r="F93" s="8" t="s">
        <v>53</v>
      </c>
      <c r="G93" s="8" t="s">
        <v>42</v>
      </c>
      <c r="H93" s="10">
        <v>2</v>
      </c>
      <c r="I93" s="10">
        <v>0.10526315789473679</v>
      </c>
      <c r="J93" s="8" t="s">
        <v>134</v>
      </c>
      <c r="K93" s="8"/>
      <c r="L93" s="8"/>
      <c r="M93" s="9"/>
    </row>
    <row r="94" spans="1:13" ht="30">
      <c r="A94" s="3" t="s">
        <v>27</v>
      </c>
      <c r="B94" s="3" t="s">
        <v>16</v>
      </c>
      <c r="C94" s="3" t="s">
        <v>17</v>
      </c>
      <c r="D94" s="4" t="s">
        <v>44</v>
      </c>
      <c r="E94" s="4" t="s">
        <v>135</v>
      </c>
      <c r="F94" s="3" t="s">
        <v>46</v>
      </c>
      <c r="G94" s="3" t="s">
        <v>42</v>
      </c>
      <c r="H94" s="5">
        <v>2</v>
      </c>
      <c r="I94" s="5">
        <v>0.10526315789473679</v>
      </c>
      <c r="J94" s="3" t="s">
        <v>134</v>
      </c>
      <c r="K94" s="3"/>
      <c r="L94" s="6"/>
      <c r="M94" s="7"/>
    </row>
    <row r="95" spans="1:13" ht="30">
      <c r="A95" s="8" t="s">
        <v>27</v>
      </c>
      <c r="B95" s="8" t="s">
        <v>16</v>
      </c>
      <c r="C95" s="8" t="s">
        <v>17</v>
      </c>
      <c r="D95" s="9" t="s">
        <v>18</v>
      </c>
      <c r="E95" s="9" t="s">
        <v>139</v>
      </c>
      <c r="F95" s="8" t="s">
        <v>20</v>
      </c>
      <c r="G95" s="8" t="s">
        <v>47</v>
      </c>
      <c r="H95" s="10">
        <v>2</v>
      </c>
      <c r="I95" s="10">
        <v>0.10526315789473679</v>
      </c>
      <c r="J95" s="8" t="s">
        <v>134</v>
      </c>
      <c r="K95" s="8"/>
      <c r="L95" s="8"/>
      <c r="M95" s="9"/>
    </row>
    <row r="96" spans="1:13" ht="30">
      <c r="A96" s="3" t="s">
        <v>27</v>
      </c>
      <c r="B96" s="3" t="s">
        <v>16</v>
      </c>
      <c r="C96" s="3" t="s">
        <v>17</v>
      </c>
      <c r="D96" s="4" t="s">
        <v>44</v>
      </c>
      <c r="E96" s="4" t="s">
        <v>135</v>
      </c>
      <c r="F96" s="3" t="s">
        <v>46</v>
      </c>
      <c r="G96" s="3" t="s">
        <v>47</v>
      </c>
      <c r="H96" s="5">
        <v>1</v>
      </c>
      <c r="I96" s="5">
        <v>5.2631578947368418E-2</v>
      </c>
      <c r="J96" s="3" t="s">
        <v>134</v>
      </c>
      <c r="K96" s="3"/>
      <c r="L96" s="6"/>
      <c r="M96" s="7"/>
    </row>
    <row r="97" spans="1:13" ht="30">
      <c r="A97" s="8" t="s">
        <v>15</v>
      </c>
      <c r="B97" s="8" t="s">
        <v>16</v>
      </c>
      <c r="C97" s="8" t="s">
        <v>17</v>
      </c>
      <c r="D97" s="9" t="s">
        <v>44</v>
      </c>
      <c r="E97" s="9" t="s">
        <v>140</v>
      </c>
      <c r="F97" s="8" t="s">
        <v>46</v>
      </c>
      <c r="G97" s="8" t="s">
        <v>141</v>
      </c>
      <c r="H97" s="10">
        <v>3</v>
      </c>
      <c r="I97" s="10">
        <v>0.15789473684210531</v>
      </c>
      <c r="J97" s="8" t="s">
        <v>142</v>
      </c>
      <c r="K97" s="8"/>
      <c r="L97" s="8"/>
      <c r="M97" s="9"/>
    </row>
    <row r="98" spans="1:13" ht="45">
      <c r="A98" s="3" t="s">
        <v>15</v>
      </c>
      <c r="B98" s="3" t="s">
        <v>16</v>
      </c>
      <c r="C98" s="3" t="s">
        <v>17</v>
      </c>
      <c r="D98" s="4" t="s">
        <v>44</v>
      </c>
      <c r="E98" s="4" t="s">
        <v>143</v>
      </c>
      <c r="F98" s="3" t="s">
        <v>46</v>
      </c>
      <c r="G98" s="3" t="s">
        <v>144</v>
      </c>
      <c r="H98" s="5">
        <v>4</v>
      </c>
      <c r="I98" s="5">
        <v>0.2105263157894737</v>
      </c>
      <c r="J98" s="3" t="s">
        <v>142</v>
      </c>
      <c r="K98" s="3"/>
      <c r="L98" s="6"/>
      <c r="M98" s="7"/>
    </row>
    <row r="99" spans="1:13" ht="45">
      <c r="A99" s="8" t="s">
        <v>27</v>
      </c>
      <c r="B99" s="8" t="s">
        <v>16</v>
      </c>
      <c r="C99" s="8" t="s">
        <v>17</v>
      </c>
      <c r="D99" s="9" t="s">
        <v>44</v>
      </c>
      <c r="E99" s="9" t="s">
        <v>145</v>
      </c>
      <c r="F99" s="8" t="s">
        <v>46</v>
      </c>
      <c r="G99" s="8" t="s">
        <v>146</v>
      </c>
      <c r="H99" s="10">
        <v>4</v>
      </c>
      <c r="I99" s="10">
        <v>0.2105263157894737</v>
      </c>
      <c r="J99" s="8" t="s">
        <v>142</v>
      </c>
      <c r="K99" s="8"/>
      <c r="L99" s="8"/>
      <c r="M99" s="9"/>
    </row>
    <row r="100" spans="1:13" ht="45">
      <c r="A100" s="3" t="s">
        <v>27</v>
      </c>
      <c r="B100" s="3" t="s">
        <v>16</v>
      </c>
      <c r="C100" s="3" t="s">
        <v>17</v>
      </c>
      <c r="D100" s="4" t="s">
        <v>44</v>
      </c>
      <c r="E100" s="4" t="s">
        <v>147</v>
      </c>
      <c r="F100" s="3" t="s">
        <v>46</v>
      </c>
      <c r="G100" s="3" t="s">
        <v>148</v>
      </c>
      <c r="H100" s="5">
        <v>4</v>
      </c>
      <c r="I100" s="5">
        <v>0.2105263157894737</v>
      </c>
      <c r="J100" s="3" t="s">
        <v>142</v>
      </c>
      <c r="K100" s="3"/>
      <c r="L100" s="6"/>
      <c r="M100" s="7"/>
    </row>
    <row r="101" spans="1:13" ht="30">
      <c r="A101" s="8" t="s">
        <v>27</v>
      </c>
      <c r="B101" s="8" t="s">
        <v>16</v>
      </c>
      <c r="C101" s="8" t="s">
        <v>17</v>
      </c>
      <c r="D101" s="9" t="s">
        <v>44</v>
      </c>
      <c r="E101" s="9" t="s">
        <v>149</v>
      </c>
      <c r="F101" s="8" t="s">
        <v>46</v>
      </c>
      <c r="G101" s="8" t="s">
        <v>150</v>
      </c>
      <c r="H101" s="10">
        <v>2</v>
      </c>
      <c r="I101" s="10">
        <v>0.10526315789473679</v>
      </c>
      <c r="J101" s="8" t="s">
        <v>142</v>
      </c>
      <c r="K101" s="8"/>
      <c r="L101" s="8"/>
      <c r="M101" s="9"/>
    </row>
    <row r="102" spans="1:13" ht="30">
      <c r="A102" s="3" t="s">
        <v>27</v>
      </c>
      <c r="B102" s="3" t="s">
        <v>16</v>
      </c>
      <c r="C102" s="3" t="s">
        <v>17</v>
      </c>
      <c r="D102" s="4" t="s">
        <v>44</v>
      </c>
      <c r="E102" s="4" t="s">
        <v>151</v>
      </c>
      <c r="F102" s="3" t="s">
        <v>46</v>
      </c>
      <c r="G102" s="3" t="s">
        <v>152</v>
      </c>
      <c r="H102" s="5">
        <v>2</v>
      </c>
      <c r="I102" s="5">
        <v>0.10526315789473679</v>
      </c>
      <c r="J102" s="3" t="s">
        <v>142</v>
      </c>
      <c r="K102" s="3"/>
      <c r="L102" s="6"/>
      <c r="M102" s="7"/>
    </row>
    <row r="103" spans="1:13" ht="30">
      <c r="A103" s="8" t="s">
        <v>15</v>
      </c>
      <c r="B103" s="8" t="s">
        <v>16</v>
      </c>
      <c r="C103" s="8" t="s">
        <v>17</v>
      </c>
      <c r="D103" s="9" t="s">
        <v>44</v>
      </c>
      <c r="E103" s="9" t="s">
        <v>153</v>
      </c>
      <c r="F103" s="8" t="s">
        <v>46</v>
      </c>
      <c r="G103" s="8" t="s">
        <v>141</v>
      </c>
      <c r="H103" s="10">
        <v>3</v>
      </c>
      <c r="I103" s="10">
        <v>0.15789473684210531</v>
      </c>
      <c r="J103" s="8" t="s">
        <v>154</v>
      </c>
      <c r="K103" s="8"/>
      <c r="L103" s="8"/>
      <c r="M103" s="9"/>
    </row>
    <row r="104" spans="1:13" ht="30">
      <c r="A104" s="3" t="s">
        <v>15</v>
      </c>
      <c r="B104" s="3" t="s">
        <v>16</v>
      </c>
      <c r="C104" s="3" t="s">
        <v>17</v>
      </c>
      <c r="D104" s="4" t="s">
        <v>44</v>
      </c>
      <c r="E104" s="4" t="s">
        <v>155</v>
      </c>
      <c r="F104" s="3" t="s">
        <v>46</v>
      </c>
      <c r="G104" s="3" t="s">
        <v>144</v>
      </c>
      <c r="H104" s="5">
        <v>4</v>
      </c>
      <c r="I104" s="5">
        <v>0.2105263157894737</v>
      </c>
      <c r="J104" s="3" t="s">
        <v>154</v>
      </c>
      <c r="K104" s="3"/>
      <c r="L104" s="6"/>
      <c r="M104" s="7"/>
    </row>
    <row r="105" spans="1:13" ht="30">
      <c r="A105" s="8" t="s">
        <v>27</v>
      </c>
      <c r="B105" s="8" t="s">
        <v>16</v>
      </c>
      <c r="C105" s="8" t="s">
        <v>17</v>
      </c>
      <c r="D105" s="9" t="s">
        <v>44</v>
      </c>
      <c r="E105" s="9" t="s">
        <v>155</v>
      </c>
      <c r="F105" s="8" t="s">
        <v>46</v>
      </c>
      <c r="G105" s="8" t="s">
        <v>146</v>
      </c>
      <c r="H105" s="10">
        <v>4</v>
      </c>
      <c r="I105" s="10">
        <v>0.2105263157894737</v>
      </c>
      <c r="J105" s="8" t="s">
        <v>154</v>
      </c>
      <c r="K105" s="8"/>
      <c r="L105" s="8"/>
      <c r="M105" s="9"/>
    </row>
    <row r="106" spans="1:13" ht="30">
      <c r="A106" s="3" t="s">
        <v>27</v>
      </c>
      <c r="B106" s="3" t="s">
        <v>16</v>
      </c>
      <c r="C106" s="3" t="s">
        <v>17</v>
      </c>
      <c r="D106" s="4" t="s">
        <v>44</v>
      </c>
      <c r="E106" s="4" t="s">
        <v>155</v>
      </c>
      <c r="F106" s="3" t="s">
        <v>46</v>
      </c>
      <c r="G106" s="3" t="s">
        <v>148</v>
      </c>
      <c r="H106" s="5">
        <v>4</v>
      </c>
      <c r="I106" s="5">
        <v>0.2105263157894737</v>
      </c>
      <c r="J106" s="3" t="s">
        <v>154</v>
      </c>
      <c r="K106" s="3"/>
      <c r="L106" s="6"/>
      <c r="M106" s="7"/>
    </row>
    <row r="107" spans="1:13" ht="30">
      <c r="A107" s="8" t="s">
        <v>27</v>
      </c>
      <c r="B107" s="8" t="s">
        <v>16</v>
      </c>
      <c r="C107" s="8" t="s">
        <v>17</v>
      </c>
      <c r="D107" s="9" t="s">
        <v>44</v>
      </c>
      <c r="E107" s="9" t="s">
        <v>155</v>
      </c>
      <c r="F107" s="8" t="s">
        <v>46</v>
      </c>
      <c r="G107" s="8" t="s">
        <v>150</v>
      </c>
      <c r="H107" s="10">
        <v>2</v>
      </c>
      <c r="I107" s="10">
        <v>0.10526315789473679</v>
      </c>
      <c r="J107" s="8" t="s">
        <v>154</v>
      </c>
      <c r="K107" s="8"/>
      <c r="L107" s="8"/>
      <c r="M107" s="9"/>
    </row>
    <row r="108" spans="1:13" ht="30">
      <c r="A108" s="3" t="s">
        <v>27</v>
      </c>
      <c r="B108" s="3" t="s">
        <v>16</v>
      </c>
      <c r="C108" s="3" t="s">
        <v>17</v>
      </c>
      <c r="D108" s="4" t="s">
        <v>44</v>
      </c>
      <c r="E108" s="4" t="s">
        <v>156</v>
      </c>
      <c r="F108" s="3" t="s">
        <v>46</v>
      </c>
      <c r="G108" s="3" t="s">
        <v>152</v>
      </c>
      <c r="H108" s="5">
        <v>2</v>
      </c>
      <c r="I108" s="5">
        <v>0.10526315789473679</v>
      </c>
      <c r="J108" s="3" t="s">
        <v>154</v>
      </c>
      <c r="K108" s="3"/>
      <c r="L108" s="6"/>
      <c r="M108" s="7"/>
    </row>
    <row r="109" spans="1:13" ht="30">
      <c r="A109" s="8" t="s">
        <v>15</v>
      </c>
      <c r="B109" s="8" t="s">
        <v>31</v>
      </c>
      <c r="C109" s="8" t="s">
        <v>32</v>
      </c>
      <c r="D109" s="9" t="s">
        <v>157</v>
      </c>
      <c r="E109" s="9" t="s">
        <v>158</v>
      </c>
      <c r="F109" s="8" t="s">
        <v>159</v>
      </c>
      <c r="G109" s="8" t="s">
        <v>21</v>
      </c>
      <c r="H109" s="10">
        <v>4</v>
      </c>
      <c r="I109" s="10">
        <v>0.2105263157894737</v>
      </c>
      <c r="J109" s="8" t="s">
        <v>160</v>
      </c>
      <c r="K109" s="8"/>
      <c r="L109" s="8"/>
      <c r="M109" s="9"/>
    </row>
    <row r="110" spans="1:13" ht="30">
      <c r="A110" s="3" t="s">
        <v>27</v>
      </c>
      <c r="B110" s="3" t="s">
        <v>31</v>
      </c>
      <c r="C110" s="3" t="s">
        <v>32</v>
      </c>
      <c r="D110" s="4" t="s">
        <v>157</v>
      </c>
      <c r="E110" s="4" t="s">
        <v>158</v>
      </c>
      <c r="F110" s="3" t="s">
        <v>159</v>
      </c>
      <c r="G110" s="3" t="s">
        <v>29</v>
      </c>
      <c r="H110" s="5">
        <v>4</v>
      </c>
      <c r="I110" s="5">
        <v>0.2105263157894737</v>
      </c>
      <c r="J110" s="3" t="s">
        <v>160</v>
      </c>
      <c r="K110" s="3"/>
      <c r="L110" s="6"/>
      <c r="M110" s="7"/>
    </row>
    <row r="111" spans="1:13" ht="30">
      <c r="A111" s="8" t="s">
        <v>27</v>
      </c>
      <c r="B111" s="8" t="s">
        <v>31</v>
      </c>
      <c r="C111" s="8" t="s">
        <v>32</v>
      </c>
      <c r="D111" s="9" t="s">
        <v>157</v>
      </c>
      <c r="E111" s="9" t="s">
        <v>158</v>
      </c>
      <c r="F111" s="8" t="s">
        <v>159</v>
      </c>
      <c r="G111" s="8" t="s">
        <v>38</v>
      </c>
      <c r="H111" s="10">
        <v>4</v>
      </c>
      <c r="I111" s="10">
        <v>0.2105263157894737</v>
      </c>
      <c r="J111" s="8" t="s">
        <v>160</v>
      </c>
      <c r="K111" s="8"/>
      <c r="L111" s="8"/>
      <c r="M111" s="9"/>
    </row>
    <row r="112" spans="1:13" ht="30">
      <c r="A112" s="3" t="s">
        <v>27</v>
      </c>
      <c r="B112" s="3" t="s">
        <v>31</v>
      </c>
      <c r="C112" s="3" t="s">
        <v>32</v>
      </c>
      <c r="D112" s="4" t="s">
        <v>157</v>
      </c>
      <c r="E112" s="4" t="s">
        <v>158</v>
      </c>
      <c r="F112" s="3" t="s">
        <v>159</v>
      </c>
      <c r="G112" s="3" t="s">
        <v>42</v>
      </c>
      <c r="H112" s="5">
        <v>4</v>
      </c>
      <c r="I112" s="5">
        <v>0.2105263157894737</v>
      </c>
      <c r="J112" s="3" t="s">
        <v>160</v>
      </c>
      <c r="K112" s="3"/>
      <c r="L112" s="6"/>
      <c r="M112" s="7"/>
    </row>
    <row r="113" spans="1:13" ht="30">
      <c r="A113" s="8" t="s">
        <v>27</v>
      </c>
      <c r="B113" s="8" t="s">
        <v>31</v>
      </c>
      <c r="C113" s="8" t="s">
        <v>32</v>
      </c>
      <c r="D113" s="9" t="s">
        <v>157</v>
      </c>
      <c r="E113" s="9" t="s">
        <v>158</v>
      </c>
      <c r="F113" s="8" t="s">
        <v>159</v>
      </c>
      <c r="G113" s="8" t="s">
        <v>47</v>
      </c>
      <c r="H113" s="10">
        <v>3</v>
      </c>
      <c r="I113" s="10">
        <v>0.15789473684210531</v>
      </c>
      <c r="J113" s="8" t="s">
        <v>160</v>
      </c>
      <c r="K113" s="8"/>
      <c r="L113" s="8"/>
      <c r="M113" s="9"/>
    </row>
    <row r="114" spans="1:13" ht="30">
      <c r="A114" s="3" t="s">
        <v>15</v>
      </c>
      <c r="B114" s="3" t="s">
        <v>31</v>
      </c>
      <c r="C114" s="3" t="s">
        <v>32</v>
      </c>
      <c r="D114" s="4" t="s">
        <v>157</v>
      </c>
      <c r="E114" s="4" t="s">
        <v>158</v>
      </c>
      <c r="F114" s="3" t="s">
        <v>159</v>
      </c>
      <c r="G114" s="3" t="s">
        <v>21</v>
      </c>
      <c r="H114" s="5">
        <v>3</v>
      </c>
      <c r="I114" s="5">
        <v>0.15789473684210531</v>
      </c>
      <c r="J114" s="3" t="s">
        <v>161</v>
      </c>
      <c r="K114" s="3"/>
      <c r="L114" s="6"/>
      <c r="M114" s="7"/>
    </row>
    <row r="115" spans="1:13" ht="30">
      <c r="A115" s="8" t="s">
        <v>15</v>
      </c>
      <c r="B115" s="8" t="s">
        <v>31</v>
      </c>
      <c r="C115" s="8" t="s">
        <v>32</v>
      </c>
      <c r="D115" s="9" t="s">
        <v>157</v>
      </c>
      <c r="E115" s="9" t="s">
        <v>158</v>
      </c>
      <c r="F115" s="8" t="s">
        <v>159</v>
      </c>
      <c r="G115" s="8" t="s">
        <v>162</v>
      </c>
      <c r="H115" s="10">
        <v>3</v>
      </c>
      <c r="I115" s="10">
        <v>0.15789473684210531</v>
      </c>
      <c r="J115" s="8" t="s">
        <v>161</v>
      </c>
      <c r="K115" s="8"/>
      <c r="L115" s="8"/>
      <c r="M115" s="9"/>
    </row>
    <row r="116" spans="1:13" ht="30">
      <c r="A116" s="3" t="s">
        <v>27</v>
      </c>
      <c r="B116" s="3" t="s">
        <v>31</v>
      </c>
      <c r="C116" s="3" t="s">
        <v>32</v>
      </c>
      <c r="D116" s="4" t="s">
        <v>157</v>
      </c>
      <c r="E116" s="4" t="s">
        <v>158</v>
      </c>
      <c r="F116" s="3" t="s">
        <v>159</v>
      </c>
      <c r="G116" s="3" t="s">
        <v>38</v>
      </c>
      <c r="H116" s="5">
        <v>3</v>
      </c>
      <c r="I116" s="5">
        <v>0.15789473684210531</v>
      </c>
      <c r="J116" s="3" t="s">
        <v>161</v>
      </c>
      <c r="K116" s="3"/>
      <c r="L116" s="6"/>
      <c r="M116" s="7"/>
    </row>
    <row r="117" spans="1:13">
      <c r="A117" s="8" t="s">
        <v>27</v>
      </c>
      <c r="B117" s="8" t="s">
        <v>49</v>
      </c>
      <c r="C117" s="8" t="s">
        <v>163</v>
      </c>
      <c r="D117" s="9" t="s">
        <v>164</v>
      </c>
      <c r="E117" s="9" t="s">
        <v>165</v>
      </c>
      <c r="F117" s="8" t="s">
        <v>166</v>
      </c>
      <c r="G117" s="8" t="s">
        <v>47</v>
      </c>
      <c r="H117" s="10">
        <v>2</v>
      </c>
      <c r="I117" s="10">
        <v>0.10526315789473679</v>
      </c>
      <c r="J117" s="8" t="s">
        <v>161</v>
      </c>
      <c r="K117" s="8"/>
      <c r="L117" s="8"/>
      <c r="M117" s="9"/>
    </row>
    <row r="118" spans="1:13" ht="30">
      <c r="A118" s="3" t="s">
        <v>27</v>
      </c>
      <c r="B118" s="3" t="s">
        <v>31</v>
      </c>
      <c r="C118" s="3" t="s">
        <v>32</v>
      </c>
      <c r="D118" s="4" t="s">
        <v>157</v>
      </c>
      <c r="E118" s="4" t="s">
        <v>158</v>
      </c>
      <c r="F118" s="3" t="s">
        <v>159</v>
      </c>
      <c r="G118" s="3" t="s">
        <v>42</v>
      </c>
      <c r="H118" s="5">
        <v>3</v>
      </c>
      <c r="I118" s="5">
        <v>0.15789473684210531</v>
      </c>
      <c r="J118" s="3" t="s">
        <v>161</v>
      </c>
      <c r="K118" s="3"/>
      <c r="L118" s="6"/>
      <c r="M118" s="7"/>
    </row>
    <row r="119" spans="1:13">
      <c r="A119" s="8" t="s">
        <v>27</v>
      </c>
      <c r="B119" s="8" t="s">
        <v>167</v>
      </c>
      <c r="C119" s="8" t="s">
        <v>17</v>
      </c>
      <c r="D119" s="9" t="s">
        <v>168</v>
      </c>
      <c r="E119" s="9" t="s">
        <v>169</v>
      </c>
      <c r="F119" s="8" t="s">
        <v>170</v>
      </c>
      <c r="G119" s="8" t="s">
        <v>171</v>
      </c>
      <c r="H119" s="10">
        <v>2</v>
      </c>
      <c r="I119" s="10">
        <v>0.10526315789473679</v>
      </c>
      <c r="J119" s="8" t="s">
        <v>161</v>
      </c>
      <c r="K119" s="8"/>
      <c r="L119" s="8"/>
      <c r="M119" s="9"/>
    </row>
    <row r="120" spans="1:13">
      <c r="A120" s="3" t="s">
        <v>27</v>
      </c>
      <c r="B120" s="3" t="s">
        <v>49</v>
      </c>
      <c r="C120" s="3" t="s">
        <v>163</v>
      </c>
      <c r="D120" s="4" t="s">
        <v>172</v>
      </c>
      <c r="E120" s="4" t="s">
        <v>173</v>
      </c>
      <c r="F120" s="3" t="s">
        <v>174</v>
      </c>
      <c r="G120" s="3" t="s">
        <v>42</v>
      </c>
      <c r="H120" s="5">
        <v>3</v>
      </c>
      <c r="I120" s="5">
        <v>0.15789473684210531</v>
      </c>
      <c r="J120" s="3" t="s">
        <v>161</v>
      </c>
      <c r="K120" s="3"/>
      <c r="L120" s="6"/>
      <c r="M120" s="7"/>
    </row>
    <row r="121" spans="1:13" ht="60">
      <c r="A121" s="8" t="s">
        <v>27</v>
      </c>
      <c r="B121" s="8" t="s">
        <v>49</v>
      </c>
      <c r="C121" s="8" t="s">
        <v>175</v>
      </c>
      <c r="D121" s="9" t="s">
        <v>176</v>
      </c>
      <c r="E121" s="9" t="s">
        <v>177</v>
      </c>
      <c r="F121" s="8" t="s">
        <v>178</v>
      </c>
      <c r="G121" s="8" t="s">
        <v>47</v>
      </c>
      <c r="H121" s="10">
        <v>1</v>
      </c>
      <c r="I121" s="10">
        <v>5.2631578947368418E-2</v>
      </c>
      <c r="J121" s="8" t="s">
        <v>179</v>
      </c>
      <c r="K121" s="8"/>
      <c r="L121" s="8"/>
      <c r="M121" s="9"/>
    </row>
    <row r="122" spans="1:13" ht="45">
      <c r="A122" s="3" t="s">
        <v>27</v>
      </c>
      <c r="B122" s="3" t="s">
        <v>16</v>
      </c>
      <c r="C122" s="3" t="s">
        <v>17</v>
      </c>
      <c r="D122" s="4" t="s">
        <v>180</v>
      </c>
      <c r="E122" s="4" t="s">
        <v>181</v>
      </c>
      <c r="F122" s="3" t="s">
        <v>182</v>
      </c>
      <c r="G122" s="3" t="s">
        <v>47</v>
      </c>
      <c r="H122" s="5">
        <v>3</v>
      </c>
      <c r="I122" s="5">
        <v>0.15789473684210531</v>
      </c>
      <c r="J122" s="3" t="s">
        <v>179</v>
      </c>
      <c r="K122" s="3"/>
      <c r="L122" s="6"/>
      <c r="M122" s="7"/>
    </row>
    <row r="123" spans="1:13" ht="45">
      <c r="A123" s="8" t="s">
        <v>27</v>
      </c>
      <c r="B123" s="8" t="s">
        <v>49</v>
      </c>
      <c r="C123" s="8" t="s">
        <v>175</v>
      </c>
      <c r="D123" s="9" t="s">
        <v>183</v>
      </c>
      <c r="E123" s="9" t="s">
        <v>184</v>
      </c>
      <c r="F123" s="8" t="s">
        <v>185</v>
      </c>
      <c r="G123" s="8" t="s">
        <v>47</v>
      </c>
      <c r="H123" s="10">
        <v>3</v>
      </c>
      <c r="I123" s="10">
        <v>0.15789473684210531</v>
      </c>
      <c r="J123" s="8" t="s">
        <v>179</v>
      </c>
      <c r="K123" s="8"/>
      <c r="L123" s="8"/>
      <c r="M123" s="9"/>
    </row>
    <row r="124" spans="1:13" ht="75">
      <c r="A124" s="3" t="s">
        <v>27</v>
      </c>
      <c r="B124" s="3" t="s">
        <v>16</v>
      </c>
      <c r="C124" s="3" t="s">
        <v>17</v>
      </c>
      <c r="D124" s="4" t="s">
        <v>44</v>
      </c>
      <c r="E124" s="4" t="s">
        <v>186</v>
      </c>
      <c r="F124" s="3" t="s">
        <v>46</v>
      </c>
      <c r="G124" s="3" t="s">
        <v>47</v>
      </c>
      <c r="H124" s="5">
        <v>3.5</v>
      </c>
      <c r="I124" s="5">
        <v>0.18421052631578949</v>
      </c>
      <c r="J124" s="3" t="s">
        <v>179</v>
      </c>
      <c r="K124" s="3"/>
      <c r="L124" s="6"/>
      <c r="M124" s="7"/>
    </row>
    <row r="125" spans="1:13" ht="45">
      <c r="A125" s="8" t="s">
        <v>27</v>
      </c>
      <c r="B125" s="8" t="s">
        <v>49</v>
      </c>
      <c r="C125" s="8" t="s">
        <v>175</v>
      </c>
      <c r="D125" s="9" t="s">
        <v>187</v>
      </c>
      <c r="E125" s="9" t="s">
        <v>188</v>
      </c>
      <c r="F125" s="8" t="s">
        <v>189</v>
      </c>
      <c r="G125" s="8" t="s">
        <v>190</v>
      </c>
      <c r="H125" s="10">
        <v>0.5</v>
      </c>
      <c r="I125" s="10">
        <v>2.6315789473684209E-2</v>
      </c>
      <c r="J125" s="8" t="s">
        <v>179</v>
      </c>
      <c r="K125" s="8"/>
      <c r="L125" s="8"/>
      <c r="M125" s="9"/>
    </row>
    <row r="126" spans="1:13" ht="30">
      <c r="A126" s="3" t="s">
        <v>15</v>
      </c>
      <c r="B126" s="3" t="s">
        <v>49</v>
      </c>
      <c r="C126" s="3" t="s">
        <v>175</v>
      </c>
      <c r="D126" s="4" t="s">
        <v>191</v>
      </c>
      <c r="E126" s="4" t="s">
        <v>192</v>
      </c>
      <c r="F126" s="3" t="s">
        <v>193</v>
      </c>
      <c r="G126" s="3" t="s">
        <v>194</v>
      </c>
      <c r="H126" s="5">
        <v>0.5</v>
      </c>
      <c r="I126" s="5">
        <v>2.6315789473684209E-2</v>
      </c>
      <c r="J126" s="3" t="s">
        <v>179</v>
      </c>
      <c r="K126" s="3"/>
      <c r="L126" s="6"/>
      <c r="M126" s="7"/>
    </row>
    <row r="127" spans="1:13" ht="45">
      <c r="A127" s="8" t="s">
        <v>27</v>
      </c>
      <c r="B127" s="8" t="s">
        <v>16</v>
      </c>
      <c r="C127" s="8" t="s">
        <v>17</v>
      </c>
      <c r="D127" s="9" t="s">
        <v>195</v>
      </c>
      <c r="E127" s="9" t="s">
        <v>196</v>
      </c>
      <c r="F127" s="8" t="s">
        <v>197</v>
      </c>
      <c r="G127" s="8" t="s">
        <v>198</v>
      </c>
      <c r="H127" s="10">
        <v>2</v>
      </c>
      <c r="I127" s="10">
        <v>0.10526315789473679</v>
      </c>
      <c r="J127" s="8" t="s">
        <v>179</v>
      </c>
      <c r="K127" s="8"/>
      <c r="L127" s="8"/>
      <c r="M127" s="9"/>
    </row>
    <row r="128" spans="1:13" ht="105">
      <c r="A128" s="3" t="s">
        <v>27</v>
      </c>
      <c r="B128" s="3" t="s">
        <v>31</v>
      </c>
      <c r="C128" s="3" t="s">
        <v>32</v>
      </c>
      <c r="D128" s="4" t="s">
        <v>199</v>
      </c>
      <c r="E128" s="4" t="s">
        <v>200</v>
      </c>
      <c r="F128" s="3" t="s">
        <v>201</v>
      </c>
      <c r="G128" s="3" t="s">
        <v>47</v>
      </c>
      <c r="H128" s="5">
        <v>2</v>
      </c>
      <c r="I128" s="5">
        <v>0.10526315789473679</v>
      </c>
      <c r="J128" s="3" t="s">
        <v>179</v>
      </c>
      <c r="K128" s="3"/>
      <c r="L128" s="6"/>
      <c r="M128" s="7"/>
    </row>
    <row r="129" spans="1:13" ht="45">
      <c r="A129" s="8" t="s">
        <v>27</v>
      </c>
      <c r="B129" s="8" t="s">
        <v>49</v>
      </c>
      <c r="C129" s="8" t="s">
        <v>175</v>
      </c>
      <c r="D129" s="9" t="s">
        <v>202</v>
      </c>
      <c r="E129" s="9" t="s">
        <v>203</v>
      </c>
      <c r="F129" s="8" t="s">
        <v>204</v>
      </c>
      <c r="G129" s="8" t="s">
        <v>47</v>
      </c>
      <c r="H129" s="10">
        <v>1</v>
      </c>
      <c r="I129" s="10">
        <v>5.2631578947368418E-2</v>
      </c>
      <c r="J129" s="8" t="s">
        <v>179</v>
      </c>
      <c r="K129" s="8"/>
      <c r="L129" s="8"/>
      <c r="M129" s="9"/>
    </row>
    <row r="130" spans="1:13" ht="60">
      <c r="A130" s="3" t="s">
        <v>27</v>
      </c>
      <c r="B130" s="3" t="s">
        <v>31</v>
      </c>
      <c r="C130" s="3" t="s">
        <v>32</v>
      </c>
      <c r="D130" s="4" t="s">
        <v>33</v>
      </c>
      <c r="E130" s="4" t="s">
        <v>205</v>
      </c>
      <c r="F130" s="3" t="s">
        <v>35</v>
      </c>
      <c r="G130" s="3" t="s">
        <v>206</v>
      </c>
      <c r="H130" s="5">
        <v>1</v>
      </c>
      <c r="I130" s="5">
        <v>5.2631578947368418E-2</v>
      </c>
      <c r="J130" s="3" t="s">
        <v>179</v>
      </c>
      <c r="K130" s="3"/>
      <c r="L130" s="6"/>
      <c r="M130" s="7"/>
    </row>
    <row r="131" spans="1:13" ht="75">
      <c r="A131" s="8" t="s">
        <v>27</v>
      </c>
      <c r="B131" s="8" t="s">
        <v>31</v>
      </c>
      <c r="C131" s="8" t="s">
        <v>32</v>
      </c>
      <c r="D131" s="9" t="s">
        <v>33</v>
      </c>
      <c r="E131" s="9" t="s">
        <v>207</v>
      </c>
      <c r="F131" s="8" t="s">
        <v>35</v>
      </c>
      <c r="G131" s="8" t="s">
        <v>47</v>
      </c>
      <c r="H131" s="10">
        <v>1.3</v>
      </c>
      <c r="I131" s="10">
        <v>6.8421052631578952E-2</v>
      </c>
      <c r="J131" s="8" t="s">
        <v>179</v>
      </c>
      <c r="K131" s="8"/>
      <c r="L131" s="8"/>
      <c r="M131" s="9"/>
    </row>
    <row r="132" spans="1:13" ht="30">
      <c r="A132" s="3" t="s">
        <v>27</v>
      </c>
      <c r="B132" s="3" t="s">
        <v>31</v>
      </c>
      <c r="C132" s="3" t="s">
        <v>32</v>
      </c>
      <c r="D132" s="4" t="s">
        <v>208</v>
      </c>
      <c r="E132" s="4" t="s">
        <v>209</v>
      </c>
      <c r="F132" s="3" t="s">
        <v>210</v>
      </c>
      <c r="G132" s="3" t="s">
        <v>211</v>
      </c>
      <c r="H132" s="5">
        <v>0.2</v>
      </c>
      <c r="I132" s="5">
        <v>1.0526315789473681E-2</v>
      </c>
      <c r="J132" s="3" t="s">
        <v>179</v>
      </c>
      <c r="K132" s="3"/>
      <c r="L132" s="6"/>
      <c r="M132" s="7"/>
    </row>
    <row r="133" spans="1:13" ht="90">
      <c r="A133" s="8" t="s">
        <v>15</v>
      </c>
      <c r="B133" s="8" t="s">
        <v>16</v>
      </c>
      <c r="C133" s="8" t="s">
        <v>17</v>
      </c>
      <c r="D133" s="9" t="s">
        <v>131</v>
      </c>
      <c r="E133" s="9" t="s">
        <v>212</v>
      </c>
      <c r="F133" s="8" t="s">
        <v>133</v>
      </c>
      <c r="G133" s="8" t="s">
        <v>194</v>
      </c>
      <c r="H133" s="10">
        <v>1.5</v>
      </c>
      <c r="I133" s="10">
        <v>7.8947368421052627E-2</v>
      </c>
      <c r="J133" s="8" t="s">
        <v>213</v>
      </c>
      <c r="K133" s="8"/>
      <c r="L133" s="8"/>
      <c r="M133" s="9"/>
    </row>
    <row r="134" spans="1:13" ht="45">
      <c r="A134" s="3" t="s">
        <v>15</v>
      </c>
      <c r="B134" s="3" t="s">
        <v>16</v>
      </c>
      <c r="C134" s="3" t="s">
        <v>17</v>
      </c>
      <c r="D134" s="4" t="s">
        <v>214</v>
      </c>
      <c r="E134" s="4" t="s">
        <v>215</v>
      </c>
      <c r="F134" s="3" t="s">
        <v>216</v>
      </c>
      <c r="G134" s="3" t="s">
        <v>217</v>
      </c>
      <c r="H134" s="5">
        <v>0.2</v>
      </c>
      <c r="I134" s="5">
        <v>1.0526315789473681E-2</v>
      </c>
      <c r="J134" s="3" t="s">
        <v>213</v>
      </c>
      <c r="K134" s="3"/>
      <c r="L134" s="6"/>
      <c r="M134" s="7"/>
    </row>
    <row r="135" spans="1:13" ht="60">
      <c r="A135" s="8" t="s">
        <v>15</v>
      </c>
      <c r="B135" s="8" t="s">
        <v>16</v>
      </c>
      <c r="C135" s="8" t="s">
        <v>17</v>
      </c>
      <c r="D135" s="9" t="s">
        <v>65</v>
      </c>
      <c r="E135" s="9" t="s">
        <v>218</v>
      </c>
      <c r="F135" s="8" t="s">
        <v>67</v>
      </c>
      <c r="G135" s="8" t="s">
        <v>162</v>
      </c>
      <c r="H135" s="10">
        <v>0.5</v>
      </c>
      <c r="I135" s="10">
        <v>2.6315789473684209E-2</v>
      </c>
      <c r="J135" s="8" t="s">
        <v>213</v>
      </c>
      <c r="K135" s="8"/>
      <c r="L135" s="8"/>
      <c r="M135" s="9"/>
    </row>
    <row r="136" spans="1:13" ht="90">
      <c r="A136" s="3" t="s">
        <v>15</v>
      </c>
      <c r="B136" s="3" t="s">
        <v>49</v>
      </c>
      <c r="C136" s="3" t="s">
        <v>50</v>
      </c>
      <c r="D136" s="4" t="s">
        <v>51</v>
      </c>
      <c r="E136" s="4" t="s">
        <v>219</v>
      </c>
      <c r="F136" s="3" t="s">
        <v>53</v>
      </c>
      <c r="G136" s="3" t="s">
        <v>162</v>
      </c>
      <c r="H136" s="5">
        <v>1</v>
      </c>
      <c r="I136" s="5">
        <v>5.2631578947368418E-2</v>
      </c>
      <c r="J136" s="3" t="s">
        <v>213</v>
      </c>
      <c r="K136" s="3"/>
      <c r="L136" s="6"/>
      <c r="M136" s="7"/>
    </row>
    <row r="137" spans="1:13" ht="45">
      <c r="A137" s="8" t="s">
        <v>27</v>
      </c>
      <c r="B137" s="8" t="s">
        <v>16</v>
      </c>
      <c r="C137" s="8" t="s">
        <v>17</v>
      </c>
      <c r="D137" s="9" t="s">
        <v>220</v>
      </c>
      <c r="E137" s="9" t="s">
        <v>221</v>
      </c>
      <c r="F137" s="8" t="s">
        <v>222</v>
      </c>
      <c r="G137" s="8" t="s">
        <v>206</v>
      </c>
      <c r="H137" s="10">
        <v>0.5</v>
      </c>
      <c r="I137" s="10">
        <v>2.6315789473684209E-2</v>
      </c>
      <c r="J137" s="8" t="s">
        <v>213</v>
      </c>
      <c r="K137" s="8"/>
      <c r="L137" s="8"/>
      <c r="M137" s="9"/>
    </row>
    <row r="138" spans="1:13" ht="60">
      <c r="A138" s="3" t="s">
        <v>27</v>
      </c>
      <c r="B138" s="3" t="s">
        <v>16</v>
      </c>
      <c r="C138" s="3" t="s">
        <v>17</v>
      </c>
      <c r="D138" s="4" t="s">
        <v>131</v>
      </c>
      <c r="E138" s="4" t="s">
        <v>223</v>
      </c>
      <c r="F138" s="3" t="s">
        <v>133</v>
      </c>
      <c r="G138" s="3" t="s">
        <v>224</v>
      </c>
      <c r="H138" s="5">
        <v>1</v>
      </c>
      <c r="I138" s="5">
        <v>5.2631578947368418E-2</v>
      </c>
      <c r="J138" s="3" t="s">
        <v>213</v>
      </c>
      <c r="K138" s="3"/>
      <c r="L138" s="6"/>
      <c r="M138" s="7"/>
    </row>
    <row r="139" spans="1:13">
      <c r="A139" s="8" t="s">
        <v>27</v>
      </c>
      <c r="B139" s="8" t="s">
        <v>31</v>
      </c>
      <c r="C139" s="8" t="s">
        <v>32</v>
      </c>
      <c r="D139" s="9" t="s">
        <v>157</v>
      </c>
      <c r="E139" s="9" t="s">
        <v>225</v>
      </c>
      <c r="F139" s="8" t="s">
        <v>159</v>
      </c>
      <c r="G139" s="8" t="s">
        <v>224</v>
      </c>
      <c r="H139" s="10">
        <v>0.3</v>
      </c>
      <c r="I139" s="10">
        <v>1.578947368421053E-2</v>
      </c>
      <c r="J139" s="8" t="s">
        <v>213</v>
      </c>
      <c r="K139" s="8"/>
      <c r="L139" s="8"/>
      <c r="M139" s="9"/>
    </row>
    <row r="140" spans="1:13" ht="75">
      <c r="A140" s="3" t="s">
        <v>27</v>
      </c>
      <c r="B140" s="3" t="s">
        <v>16</v>
      </c>
      <c r="C140" s="3" t="s">
        <v>17</v>
      </c>
      <c r="D140" s="4" t="s">
        <v>65</v>
      </c>
      <c r="E140" s="4" t="s">
        <v>226</v>
      </c>
      <c r="F140" s="3" t="s">
        <v>67</v>
      </c>
      <c r="G140" s="3" t="s">
        <v>38</v>
      </c>
      <c r="H140" s="5">
        <v>1.5</v>
      </c>
      <c r="I140" s="5">
        <v>7.8947368421052627E-2</v>
      </c>
      <c r="J140" s="3" t="s">
        <v>213</v>
      </c>
      <c r="K140" s="3"/>
      <c r="L140" s="6"/>
      <c r="M140" s="7"/>
    </row>
    <row r="141" spans="1:13" ht="75">
      <c r="A141" s="8" t="s">
        <v>27</v>
      </c>
      <c r="B141" s="8" t="s">
        <v>49</v>
      </c>
      <c r="C141" s="8" t="s">
        <v>50</v>
      </c>
      <c r="D141" s="9" t="s">
        <v>51</v>
      </c>
      <c r="E141" s="9" t="s">
        <v>227</v>
      </c>
      <c r="F141" s="8" t="s">
        <v>53</v>
      </c>
      <c r="G141" s="8" t="s">
        <v>38</v>
      </c>
      <c r="H141" s="10">
        <v>3</v>
      </c>
      <c r="I141" s="10">
        <v>0.15789473684210531</v>
      </c>
      <c r="J141" s="8" t="s">
        <v>213</v>
      </c>
      <c r="K141" s="8"/>
      <c r="L141" s="8"/>
      <c r="M141" s="9"/>
    </row>
    <row r="142" spans="1:13" ht="45">
      <c r="A142" s="3" t="s">
        <v>27</v>
      </c>
      <c r="B142" s="3" t="s">
        <v>16</v>
      </c>
      <c r="C142" s="3" t="s">
        <v>17</v>
      </c>
      <c r="D142" s="4" t="s">
        <v>65</v>
      </c>
      <c r="E142" s="4" t="s">
        <v>228</v>
      </c>
      <c r="F142" s="3" t="s">
        <v>67</v>
      </c>
      <c r="G142" s="3" t="s">
        <v>38</v>
      </c>
      <c r="H142" s="5">
        <v>1</v>
      </c>
      <c r="I142" s="5">
        <v>5.2631578947368418E-2</v>
      </c>
      <c r="J142" s="3" t="s">
        <v>213</v>
      </c>
      <c r="K142" s="3"/>
      <c r="L142" s="6"/>
      <c r="M142" s="7"/>
    </row>
    <row r="143" spans="1:13" ht="45">
      <c r="A143" s="8" t="s">
        <v>27</v>
      </c>
      <c r="B143" s="8" t="s">
        <v>49</v>
      </c>
      <c r="C143" s="8" t="s">
        <v>229</v>
      </c>
      <c r="D143" s="9" t="s">
        <v>230</v>
      </c>
      <c r="E143" s="9" t="s">
        <v>231</v>
      </c>
      <c r="F143" s="8" t="s">
        <v>232</v>
      </c>
      <c r="G143" s="8" t="s">
        <v>233</v>
      </c>
      <c r="H143" s="10">
        <v>0.3</v>
      </c>
      <c r="I143" s="10">
        <v>1.578947368421053E-2</v>
      </c>
      <c r="J143" s="8" t="s">
        <v>213</v>
      </c>
      <c r="K143" s="8"/>
      <c r="L143" s="8"/>
      <c r="M143" s="9"/>
    </row>
    <row r="144" spans="1:13" ht="30">
      <c r="A144" s="3" t="s">
        <v>27</v>
      </c>
      <c r="B144" s="3" t="s">
        <v>16</v>
      </c>
      <c r="C144" s="3" t="s">
        <v>17</v>
      </c>
      <c r="D144" s="4" t="s">
        <v>214</v>
      </c>
      <c r="E144" s="4" t="s">
        <v>234</v>
      </c>
      <c r="F144" s="3" t="s">
        <v>216</v>
      </c>
      <c r="G144" s="3" t="s">
        <v>233</v>
      </c>
      <c r="H144" s="5">
        <v>0.5</v>
      </c>
      <c r="I144" s="5">
        <v>2.6315789473684209E-2</v>
      </c>
      <c r="J144" s="3" t="s">
        <v>213</v>
      </c>
      <c r="K144" s="3"/>
      <c r="L144" s="6"/>
      <c r="M144" s="7"/>
    </row>
    <row r="145" spans="1:13" ht="45">
      <c r="A145" s="8" t="s">
        <v>27</v>
      </c>
      <c r="B145" s="8" t="s">
        <v>16</v>
      </c>
      <c r="C145" s="8" t="s">
        <v>17</v>
      </c>
      <c r="D145" s="9" t="s">
        <v>65</v>
      </c>
      <c r="E145" s="9" t="s">
        <v>228</v>
      </c>
      <c r="F145" s="8" t="s">
        <v>67</v>
      </c>
      <c r="G145" s="8" t="s">
        <v>171</v>
      </c>
      <c r="H145" s="10">
        <v>1.5</v>
      </c>
      <c r="I145" s="10">
        <v>7.8947368421052627E-2</v>
      </c>
      <c r="J145" s="8" t="s">
        <v>213</v>
      </c>
      <c r="K145" s="8"/>
      <c r="L145" s="8"/>
      <c r="M145" s="9"/>
    </row>
    <row r="146" spans="1:13" ht="60">
      <c r="A146" s="3" t="s">
        <v>27</v>
      </c>
      <c r="B146" s="3" t="s">
        <v>49</v>
      </c>
      <c r="C146" s="3" t="s">
        <v>50</v>
      </c>
      <c r="D146" s="4" t="s">
        <v>51</v>
      </c>
      <c r="E146" s="4" t="s">
        <v>235</v>
      </c>
      <c r="F146" s="3" t="s">
        <v>53</v>
      </c>
      <c r="G146" s="3" t="s">
        <v>42</v>
      </c>
      <c r="H146" s="5">
        <v>2.5</v>
      </c>
      <c r="I146" s="5">
        <v>0.13157894736842099</v>
      </c>
      <c r="J146" s="3" t="s">
        <v>213</v>
      </c>
      <c r="K146" s="3"/>
      <c r="L146" s="6"/>
      <c r="M146" s="7"/>
    </row>
    <row r="147" spans="1:13" ht="30">
      <c r="A147" s="8" t="s">
        <v>27</v>
      </c>
      <c r="B147" s="8" t="s">
        <v>16</v>
      </c>
      <c r="C147" s="8" t="s">
        <v>17</v>
      </c>
      <c r="D147" s="9" t="s">
        <v>131</v>
      </c>
      <c r="E147" s="9" t="s">
        <v>236</v>
      </c>
      <c r="F147" s="8" t="s">
        <v>133</v>
      </c>
      <c r="G147" s="8" t="s">
        <v>190</v>
      </c>
      <c r="H147" s="10">
        <v>0.2</v>
      </c>
      <c r="I147" s="10">
        <v>1.0526315789473681E-2</v>
      </c>
      <c r="J147" s="8" t="s">
        <v>213</v>
      </c>
      <c r="K147" s="8"/>
      <c r="L147" s="8"/>
      <c r="M147" s="9"/>
    </row>
    <row r="148" spans="1:13" ht="105">
      <c r="A148" s="3" t="s">
        <v>27</v>
      </c>
      <c r="B148" s="3" t="s">
        <v>31</v>
      </c>
      <c r="C148" s="3" t="s">
        <v>32</v>
      </c>
      <c r="D148" s="4" t="s">
        <v>199</v>
      </c>
      <c r="E148" s="4" t="s">
        <v>237</v>
      </c>
      <c r="F148" s="3" t="s">
        <v>201</v>
      </c>
      <c r="G148" s="3" t="s">
        <v>47</v>
      </c>
      <c r="H148" s="5">
        <v>0.5</v>
      </c>
      <c r="I148" s="5">
        <v>2.6315789473684209E-2</v>
      </c>
      <c r="J148" s="3" t="s">
        <v>213</v>
      </c>
      <c r="K148" s="3"/>
      <c r="L148" s="6"/>
      <c r="M148" s="7"/>
    </row>
    <row r="149" spans="1:13" ht="105">
      <c r="A149" s="8" t="s">
        <v>27</v>
      </c>
      <c r="B149" s="8" t="s">
        <v>16</v>
      </c>
      <c r="C149" s="8" t="s">
        <v>17</v>
      </c>
      <c r="D149" s="9" t="s">
        <v>65</v>
      </c>
      <c r="E149" s="9" t="s">
        <v>238</v>
      </c>
      <c r="F149" s="8" t="s">
        <v>67</v>
      </c>
      <c r="G149" s="8" t="s">
        <v>47</v>
      </c>
      <c r="H149" s="10">
        <v>0.5</v>
      </c>
      <c r="I149" s="10">
        <v>2.6315789473684209E-2</v>
      </c>
      <c r="J149" s="8" t="s">
        <v>213</v>
      </c>
      <c r="K149" s="8"/>
      <c r="L149" s="8"/>
      <c r="M149" s="9"/>
    </row>
    <row r="150" spans="1:13" ht="60">
      <c r="A150" s="3" t="s">
        <v>27</v>
      </c>
      <c r="B150" s="3" t="s">
        <v>49</v>
      </c>
      <c r="C150" s="3" t="s">
        <v>50</v>
      </c>
      <c r="D150" s="4" t="s">
        <v>51</v>
      </c>
      <c r="E150" s="4" t="s">
        <v>239</v>
      </c>
      <c r="F150" s="3" t="s">
        <v>53</v>
      </c>
      <c r="G150" s="3" t="s">
        <v>47</v>
      </c>
      <c r="H150" s="5">
        <v>2.5</v>
      </c>
      <c r="I150" s="5">
        <v>0.13157894736842099</v>
      </c>
      <c r="J150" s="3" t="s">
        <v>213</v>
      </c>
      <c r="K150" s="3"/>
      <c r="L150" s="6"/>
      <c r="M150" s="7"/>
    </row>
    <row r="151" spans="1:13" ht="30">
      <c r="A151" s="8" t="s">
        <v>27</v>
      </c>
      <c r="B151" s="8" t="s">
        <v>31</v>
      </c>
      <c r="C151" s="8" t="s">
        <v>32</v>
      </c>
      <c r="D151" s="9" t="s">
        <v>199</v>
      </c>
      <c r="E151" s="9" t="s">
        <v>240</v>
      </c>
      <c r="F151" s="8" t="s">
        <v>201</v>
      </c>
      <c r="G151" s="8" t="s">
        <v>38</v>
      </c>
      <c r="H151" s="10">
        <v>0.5</v>
      </c>
      <c r="I151" s="10">
        <v>2.6315789473684209E-2</v>
      </c>
      <c r="J151" s="8" t="s">
        <v>241</v>
      </c>
      <c r="K151" s="8"/>
      <c r="L151" s="8"/>
      <c r="M151" s="9"/>
    </row>
    <row r="152" spans="1:13" ht="30">
      <c r="A152" s="3" t="s">
        <v>27</v>
      </c>
      <c r="B152" s="3" t="s">
        <v>70</v>
      </c>
      <c r="C152" s="3" t="s">
        <v>71</v>
      </c>
      <c r="D152" s="4" t="s">
        <v>72</v>
      </c>
      <c r="E152" s="4" t="s">
        <v>242</v>
      </c>
      <c r="F152" s="3" t="s">
        <v>74</v>
      </c>
      <c r="G152" s="3" t="s">
        <v>243</v>
      </c>
      <c r="H152" s="5">
        <v>1.5</v>
      </c>
      <c r="I152" s="5">
        <v>5.2631578947368418E-2</v>
      </c>
      <c r="J152" s="3" t="s">
        <v>241</v>
      </c>
      <c r="K152" s="3"/>
      <c r="L152" s="6"/>
      <c r="M152" s="7"/>
    </row>
    <row r="153" spans="1:13" ht="45">
      <c r="A153" s="8" t="s">
        <v>27</v>
      </c>
      <c r="B153" s="8" t="s">
        <v>31</v>
      </c>
      <c r="C153" s="8" t="s">
        <v>32</v>
      </c>
      <c r="D153" s="9" t="s">
        <v>33</v>
      </c>
      <c r="E153" s="9" t="s">
        <v>244</v>
      </c>
      <c r="F153" s="8" t="s">
        <v>35</v>
      </c>
      <c r="G153" s="8" t="s">
        <v>233</v>
      </c>
      <c r="H153" s="10">
        <v>1</v>
      </c>
      <c r="I153" s="10">
        <v>5.2631578947368418E-2</v>
      </c>
      <c r="J153" s="8" t="s">
        <v>241</v>
      </c>
      <c r="K153" s="8"/>
      <c r="L153" s="8"/>
      <c r="M153" s="9"/>
    </row>
    <row r="154" spans="1:13" ht="30">
      <c r="A154" s="3" t="s">
        <v>27</v>
      </c>
      <c r="B154" s="3" t="s">
        <v>70</v>
      </c>
      <c r="C154" s="3" t="s">
        <v>245</v>
      </c>
      <c r="D154" s="4" t="s">
        <v>246</v>
      </c>
      <c r="E154" s="4" t="s">
        <v>247</v>
      </c>
      <c r="F154" s="3" t="s">
        <v>248</v>
      </c>
      <c r="G154" s="3" t="s">
        <v>233</v>
      </c>
      <c r="H154" s="5">
        <v>1.5</v>
      </c>
      <c r="I154" s="5">
        <v>7.8947368421052627E-2</v>
      </c>
      <c r="J154" s="3" t="s">
        <v>241</v>
      </c>
      <c r="K154" s="3"/>
      <c r="L154" s="6"/>
      <c r="M154" s="7"/>
    </row>
    <row r="155" spans="1:13" ht="30">
      <c r="A155" s="8" t="s">
        <v>27</v>
      </c>
      <c r="B155" s="8" t="s">
        <v>70</v>
      </c>
      <c r="C155" s="8" t="s">
        <v>245</v>
      </c>
      <c r="D155" s="9" t="s">
        <v>246</v>
      </c>
      <c r="E155" s="9" t="s">
        <v>249</v>
      </c>
      <c r="F155" s="8" t="s">
        <v>248</v>
      </c>
      <c r="G155" s="8" t="s">
        <v>233</v>
      </c>
      <c r="H155" s="10">
        <v>1.5</v>
      </c>
      <c r="I155" s="10">
        <v>7.8947368421052627E-2</v>
      </c>
      <c r="J155" s="8" t="s">
        <v>241</v>
      </c>
      <c r="K155" s="8"/>
      <c r="L155" s="8"/>
      <c r="M155" s="9"/>
    </row>
    <row r="156" spans="1:13" ht="30">
      <c r="A156" s="3" t="s">
        <v>27</v>
      </c>
      <c r="B156" s="3" t="s">
        <v>31</v>
      </c>
      <c r="C156" s="3" t="s">
        <v>32</v>
      </c>
      <c r="D156" s="4" t="s">
        <v>33</v>
      </c>
      <c r="E156" s="4" t="s">
        <v>250</v>
      </c>
      <c r="F156" s="3" t="s">
        <v>35</v>
      </c>
      <c r="G156" s="3" t="s">
        <v>171</v>
      </c>
      <c r="H156" s="5">
        <v>0.5</v>
      </c>
      <c r="I156" s="5">
        <v>2.6315789473684209E-2</v>
      </c>
      <c r="J156" s="3" t="s">
        <v>241</v>
      </c>
      <c r="K156" s="3"/>
      <c r="L156" s="6"/>
      <c r="M156" s="7"/>
    </row>
    <row r="157" spans="1:13" ht="45">
      <c r="A157" s="8" t="s">
        <v>27</v>
      </c>
      <c r="B157" s="8" t="s">
        <v>31</v>
      </c>
      <c r="C157" s="8" t="s">
        <v>32</v>
      </c>
      <c r="D157" s="9" t="s">
        <v>208</v>
      </c>
      <c r="E157" s="9" t="s">
        <v>251</v>
      </c>
      <c r="F157" s="8" t="s">
        <v>210</v>
      </c>
      <c r="G157" s="8" t="s">
        <v>42</v>
      </c>
      <c r="H157" s="10">
        <v>0.5</v>
      </c>
      <c r="I157" s="10">
        <v>2.6315789473684209E-2</v>
      </c>
      <c r="J157" s="8" t="s">
        <v>241</v>
      </c>
      <c r="K157" s="8"/>
      <c r="L157" s="8"/>
      <c r="M157" s="9"/>
    </row>
    <row r="158" spans="1:13" ht="60">
      <c r="A158" s="3" t="s">
        <v>27</v>
      </c>
      <c r="B158" s="3" t="s">
        <v>70</v>
      </c>
      <c r="C158" s="3" t="s">
        <v>71</v>
      </c>
      <c r="D158" s="4" t="s">
        <v>252</v>
      </c>
      <c r="E158" s="4" t="s">
        <v>253</v>
      </c>
      <c r="F158" s="3" t="s">
        <v>254</v>
      </c>
      <c r="G158" s="3" t="s">
        <v>47</v>
      </c>
      <c r="H158" s="5">
        <v>1.5</v>
      </c>
      <c r="I158" s="5">
        <v>7.8947368421052627E-2</v>
      </c>
      <c r="J158" s="3" t="s">
        <v>241</v>
      </c>
      <c r="K158" s="3"/>
      <c r="L158" s="6"/>
      <c r="M158" s="7"/>
    </row>
    <row r="159" spans="1:13" ht="45">
      <c r="A159" s="8" t="s">
        <v>27</v>
      </c>
      <c r="B159" s="8" t="s">
        <v>70</v>
      </c>
      <c r="C159" s="8" t="s">
        <v>245</v>
      </c>
      <c r="D159" s="9" t="s">
        <v>255</v>
      </c>
      <c r="E159" s="9" t="s">
        <v>256</v>
      </c>
      <c r="F159" s="8" t="s">
        <v>257</v>
      </c>
      <c r="G159" s="8" t="s">
        <v>47</v>
      </c>
      <c r="H159" s="10">
        <v>0.5</v>
      </c>
      <c r="I159" s="10">
        <v>2.6315789473684209E-2</v>
      </c>
      <c r="J159" s="8" t="s">
        <v>241</v>
      </c>
      <c r="K159" s="8"/>
      <c r="L159" s="8"/>
      <c r="M159" s="9"/>
    </row>
    <row r="160" spans="1:13" ht="45">
      <c r="A160" s="3" t="s">
        <v>27</v>
      </c>
      <c r="B160" s="3" t="s">
        <v>70</v>
      </c>
      <c r="C160" s="3" t="s">
        <v>245</v>
      </c>
      <c r="D160" s="4" t="s">
        <v>255</v>
      </c>
      <c r="E160" s="4" t="s">
        <v>258</v>
      </c>
      <c r="F160" s="3" t="s">
        <v>257</v>
      </c>
      <c r="G160" s="3" t="s">
        <v>47</v>
      </c>
      <c r="H160" s="5">
        <v>0.5</v>
      </c>
      <c r="I160" s="5">
        <v>2.6315789473684209E-2</v>
      </c>
      <c r="J160" s="3" t="s">
        <v>241</v>
      </c>
      <c r="K160" s="3"/>
      <c r="L160" s="6"/>
      <c r="M160" s="7"/>
    </row>
    <row r="161" spans="1:13" ht="75">
      <c r="A161" s="8" t="s">
        <v>27</v>
      </c>
      <c r="B161" s="8" t="s">
        <v>31</v>
      </c>
      <c r="C161" s="8" t="s">
        <v>32</v>
      </c>
      <c r="D161" s="9" t="s">
        <v>259</v>
      </c>
      <c r="E161" s="9" t="s">
        <v>260</v>
      </c>
      <c r="F161" s="8" t="s">
        <v>261</v>
      </c>
      <c r="G161" s="8" t="s">
        <v>47</v>
      </c>
      <c r="H161" s="10">
        <v>0.5</v>
      </c>
      <c r="I161" s="10">
        <v>2.6315789473684209E-2</v>
      </c>
      <c r="J161" s="8" t="s">
        <v>241</v>
      </c>
      <c r="K161" s="8"/>
      <c r="L161" s="8"/>
      <c r="M161" s="9"/>
    </row>
    <row r="162" spans="1:13" ht="60">
      <c r="A162" s="3" t="s">
        <v>27</v>
      </c>
      <c r="B162" s="3" t="s">
        <v>16</v>
      </c>
      <c r="C162" s="3" t="s">
        <v>17</v>
      </c>
      <c r="D162" s="4" t="s">
        <v>262</v>
      </c>
      <c r="E162" s="4" t="s">
        <v>263</v>
      </c>
      <c r="F162" s="3" t="s">
        <v>264</v>
      </c>
      <c r="G162" s="3" t="s">
        <v>47</v>
      </c>
      <c r="H162" s="5">
        <v>1.5</v>
      </c>
      <c r="I162" s="5">
        <v>7.8947368421052627E-2</v>
      </c>
      <c r="J162" s="3" t="s">
        <v>241</v>
      </c>
      <c r="K162" s="3"/>
      <c r="L162" s="6"/>
      <c r="M162" s="7"/>
    </row>
    <row r="163" spans="1:13" ht="45">
      <c r="A163" s="8" t="s">
        <v>27</v>
      </c>
      <c r="B163" s="8" t="s">
        <v>31</v>
      </c>
      <c r="C163" s="8" t="s">
        <v>32</v>
      </c>
      <c r="D163" s="9" t="s">
        <v>259</v>
      </c>
      <c r="E163" s="9" t="s">
        <v>265</v>
      </c>
      <c r="F163" s="8" t="s">
        <v>261</v>
      </c>
      <c r="G163" s="8" t="s">
        <v>47</v>
      </c>
      <c r="H163" s="10">
        <v>0.5</v>
      </c>
      <c r="I163" s="10">
        <v>2.6315789473684209E-2</v>
      </c>
      <c r="J163" s="8" t="s">
        <v>241</v>
      </c>
      <c r="K163" s="8"/>
      <c r="L163" s="8"/>
      <c r="M163" s="9"/>
    </row>
    <row r="164" spans="1:13" ht="45">
      <c r="A164" s="3" t="s">
        <v>27</v>
      </c>
      <c r="B164" s="3" t="s">
        <v>70</v>
      </c>
      <c r="C164" s="3" t="s">
        <v>71</v>
      </c>
      <c r="D164" s="4" t="s">
        <v>266</v>
      </c>
      <c r="E164" s="4" t="s">
        <v>267</v>
      </c>
      <c r="F164" s="3" t="s">
        <v>268</v>
      </c>
      <c r="G164" s="3" t="s">
        <v>47</v>
      </c>
      <c r="H164" s="5">
        <v>1</v>
      </c>
      <c r="I164" s="5">
        <v>5.2631578947368418E-2</v>
      </c>
      <c r="J164" s="3" t="s">
        <v>241</v>
      </c>
      <c r="K164" s="3"/>
      <c r="L164" s="6"/>
      <c r="M164" s="7"/>
    </row>
    <row r="165" spans="1:13" ht="210">
      <c r="A165" s="8" t="s">
        <v>27</v>
      </c>
      <c r="B165" s="8" t="s">
        <v>70</v>
      </c>
      <c r="C165" s="8" t="s">
        <v>245</v>
      </c>
      <c r="D165" s="9" t="s">
        <v>269</v>
      </c>
      <c r="E165" s="9" t="s">
        <v>270</v>
      </c>
      <c r="F165" s="8" t="s">
        <v>271</v>
      </c>
      <c r="G165" s="8" t="s">
        <v>47</v>
      </c>
      <c r="H165" s="10">
        <v>1.5</v>
      </c>
      <c r="I165" s="10">
        <v>7.8947368421052627E-2</v>
      </c>
      <c r="J165" s="8" t="s">
        <v>241</v>
      </c>
      <c r="K165" s="8"/>
      <c r="L165" s="8"/>
      <c r="M165" s="9"/>
    </row>
    <row r="166" spans="1:13" ht="60">
      <c r="A166" s="3" t="s">
        <v>27</v>
      </c>
      <c r="B166" s="3" t="s">
        <v>70</v>
      </c>
      <c r="C166" s="3" t="s">
        <v>245</v>
      </c>
      <c r="D166" s="4" t="s">
        <v>272</v>
      </c>
      <c r="E166" s="4" t="s">
        <v>273</v>
      </c>
      <c r="F166" s="3" t="s">
        <v>274</v>
      </c>
      <c r="G166" s="3" t="s">
        <v>47</v>
      </c>
      <c r="H166" s="5">
        <v>1</v>
      </c>
      <c r="I166" s="5">
        <v>5.2631578947368418E-2</v>
      </c>
      <c r="J166" s="3" t="s">
        <v>241</v>
      </c>
      <c r="K166" s="3"/>
      <c r="L166" s="6"/>
      <c r="M166" s="7"/>
    </row>
    <row r="167" spans="1:13" ht="45">
      <c r="A167" s="8" t="s">
        <v>27</v>
      </c>
      <c r="B167" s="8" t="s">
        <v>31</v>
      </c>
      <c r="C167" s="8" t="s">
        <v>32</v>
      </c>
      <c r="D167" s="9" t="s">
        <v>199</v>
      </c>
      <c r="E167" s="9" t="s">
        <v>275</v>
      </c>
      <c r="F167" s="8" t="s">
        <v>201</v>
      </c>
      <c r="G167" s="8" t="s">
        <v>47</v>
      </c>
      <c r="H167" s="10">
        <v>0.5</v>
      </c>
      <c r="I167" s="10">
        <v>2.6315789473684209E-2</v>
      </c>
      <c r="J167" s="8" t="s">
        <v>241</v>
      </c>
      <c r="K167" s="8"/>
      <c r="L167" s="8"/>
      <c r="M167" s="9"/>
    </row>
    <row r="168" spans="1:13" ht="45">
      <c r="A168" s="3" t="s">
        <v>27</v>
      </c>
      <c r="B168" s="3" t="s">
        <v>16</v>
      </c>
      <c r="C168" s="3" t="s">
        <v>17</v>
      </c>
      <c r="D168" s="4" t="s">
        <v>276</v>
      </c>
      <c r="E168" s="4" t="s">
        <v>277</v>
      </c>
      <c r="F168" s="3" t="s">
        <v>278</v>
      </c>
      <c r="G168" s="3" t="s">
        <v>47</v>
      </c>
      <c r="H168" s="5">
        <v>1.5</v>
      </c>
      <c r="I168" s="5">
        <v>7.8947368421052627E-2</v>
      </c>
      <c r="J168" s="3" t="s">
        <v>241</v>
      </c>
      <c r="K168" s="3"/>
      <c r="L168" s="6"/>
      <c r="M168" s="7"/>
    </row>
    <row r="169" spans="1:13" ht="30">
      <c r="A169" s="8" t="s">
        <v>27</v>
      </c>
      <c r="B169" s="8" t="s">
        <v>70</v>
      </c>
      <c r="C169" s="8" t="s">
        <v>245</v>
      </c>
      <c r="D169" s="9" t="s">
        <v>255</v>
      </c>
      <c r="E169" s="9" t="s">
        <v>279</v>
      </c>
      <c r="F169" s="8" t="s">
        <v>257</v>
      </c>
      <c r="G169" s="8" t="s">
        <v>47</v>
      </c>
      <c r="H169" s="10">
        <v>0.5</v>
      </c>
      <c r="I169" s="10">
        <v>2.6315789473684209E-2</v>
      </c>
      <c r="J169" s="8" t="s">
        <v>241</v>
      </c>
      <c r="K169" s="8"/>
      <c r="L169" s="8"/>
      <c r="M169" s="9"/>
    </row>
    <row r="170" spans="1:13" ht="45">
      <c r="A170" s="3" t="s">
        <v>27</v>
      </c>
      <c r="B170" s="3" t="s">
        <v>31</v>
      </c>
      <c r="C170" s="3" t="s">
        <v>32</v>
      </c>
      <c r="D170" s="4" t="s">
        <v>33</v>
      </c>
      <c r="E170" s="4" t="s">
        <v>280</v>
      </c>
      <c r="F170" s="3" t="s">
        <v>35</v>
      </c>
      <c r="G170" s="3" t="s">
        <v>47</v>
      </c>
      <c r="H170" s="5">
        <v>0.5</v>
      </c>
      <c r="I170" s="5">
        <v>2.6315789473684209E-2</v>
      </c>
      <c r="J170" s="3" t="s">
        <v>241</v>
      </c>
      <c r="K170" s="3"/>
      <c r="L170" s="6"/>
      <c r="M170" s="7"/>
    </row>
    <row r="171" spans="1:13" ht="75">
      <c r="A171" s="8" t="s">
        <v>27</v>
      </c>
      <c r="B171" s="8" t="s">
        <v>70</v>
      </c>
      <c r="C171" s="8" t="s">
        <v>245</v>
      </c>
      <c r="D171" s="9" t="s">
        <v>281</v>
      </c>
      <c r="E171" s="9" t="s">
        <v>282</v>
      </c>
      <c r="F171" s="8" t="s">
        <v>283</v>
      </c>
      <c r="G171" s="8" t="s">
        <v>47</v>
      </c>
      <c r="H171" s="10">
        <v>1</v>
      </c>
      <c r="I171" s="10">
        <v>5.2631578947368418E-2</v>
      </c>
      <c r="J171" s="8" t="s">
        <v>241</v>
      </c>
      <c r="K171" s="8"/>
      <c r="L171" s="8"/>
      <c r="M171" s="9"/>
    </row>
    <row r="172" spans="1:13" ht="30">
      <c r="A172" s="3" t="s">
        <v>15</v>
      </c>
      <c r="B172" s="3" t="s">
        <v>167</v>
      </c>
      <c r="C172" s="3" t="s">
        <v>17</v>
      </c>
      <c r="D172" s="4" t="s">
        <v>55</v>
      </c>
      <c r="E172" s="4" t="s">
        <v>284</v>
      </c>
      <c r="F172" s="3" t="s">
        <v>57</v>
      </c>
      <c r="G172" s="3" t="s">
        <v>217</v>
      </c>
      <c r="H172" s="5">
        <v>3</v>
      </c>
      <c r="I172" s="5">
        <v>0.15789473684210531</v>
      </c>
      <c r="J172" s="3" t="s">
        <v>285</v>
      </c>
      <c r="K172" s="3"/>
      <c r="L172" s="6"/>
      <c r="M172" s="7"/>
    </row>
    <row r="173" spans="1:13" ht="30">
      <c r="A173" s="8" t="s">
        <v>27</v>
      </c>
      <c r="B173" s="8" t="s">
        <v>167</v>
      </c>
      <c r="C173" s="8" t="s">
        <v>17</v>
      </c>
      <c r="D173" s="9" t="s">
        <v>286</v>
      </c>
      <c r="E173" s="9" t="s">
        <v>287</v>
      </c>
      <c r="F173" s="8" t="s">
        <v>288</v>
      </c>
      <c r="G173" s="8" t="s">
        <v>148</v>
      </c>
      <c r="H173" s="10">
        <v>5</v>
      </c>
      <c r="I173" s="10">
        <v>0.26315789473684209</v>
      </c>
      <c r="J173" s="8" t="s">
        <v>285</v>
      </c>
      <c r="K173" s="8"/>
      <c r="L173" s="8"/>
      <c r="M173" s="9"/>
    </row>
    <row r="174" spans="1:13" ht="30">
      <c r="A174" s="3" t="s">
        <v>15</v>
      </c>
      <c r="B174" s="3" t="s">
        <v>167</v>
      </c>
      <c r="C174" s="3" t="s">
        <v>17</v>
      </c>
      <c r="D174" s="4" t="s">
        <v>55</v>
      </c>
      <c r="E174" s="4" t="s">
        <v>289</v>
      </c>
      <c r="F174" s="3" t="s">
        <v>57</v>
      </c>
      <c r="G174" s="3" t="s">
        <v>290</v>
      </c>
      <c r="H174" s="5">
        <v>3</v>
      </c>
      <c r="I174" s="5">
        <v>0.15789473684210531</v>
      </c>
      <c r="J174" s="3" t="s">
        <v>285</v>
      </c>
      <c r="K174" s="3"/>
      <c r="L174" s="6"/>
      <c r="M174" s="7"/>
    </row>
    <row r="175" spans="1:13" ht="30">
      <c r="A175" s="8" t="s">
        <v>27</v>
      </c>
      <c r="B175" s="8" t="s">
        <v>31</v>
      </c>
      <c r="C175" s="8" t="s">
        <v>32</v>
      </c>
      <c r="D175" s="9" t="s">
        <v>199</v>
      </c>
      <c r="E175" s="9" t="s">
        <v>291</v>
      </c>
      <c r="F175" s="8" t="s">
        <v>201</v>
      </c>
      <c r="G175" s="8" t="s">
        <v>47</v>
      </c>
      <c r="H175" s="10">
        <v>1</v>
      </c>
      <c r="I175" s="10">
        <v>5.2631578947368418E-2</v>
      </c>
      <c r="J175" s="8" t="s">
        <v>285</v>
      </c>
      <c r="K175" s="8"/>
      <c r="L175" s="8"/>
      <c r="M175" s="9"/>
    </row>
    <row r="176" spans="1:13" ht="30">
      <c r="A176" s="3" t="s">
        <v>27</v>
      </c>
      <c r="B176" s="3" t="s">
        <v>31</v>
      </c>
      <c r="C176" s="3" t="s">
        <v>32</v>
      </c>
      <c r="D176" s="4" t="s">
        <v>199</v>
      </c>
      <c r="E176" s="4" t="s">
        <v>292</v>
      </c>
      <c r="F176" s="3" t="s">
        <v>201</v>
      </c>
      <c r="G176" s="3" t="s">
        <v>217</v>
      </c>
      <c r="H176" s="5">
        <v>1</v>
      </c>
      <c r="I176" s="5">
        <v>5.2631578947368418E-2</v>
      </c>
      <c r="J176" s="3" t="s">
        <v>285</v>
      </c>
      <c r="K176" s="3"/>
      <c r="L176" s="6"/>
      <c r="M176" s="7"/>
    </row>
    <row r="177" spans="1:13" ht="30">
      <c r="A177" s="8" t="s">
        <v>27</v>
      </c>
      <c r="B177" s="8" t="s">
        <v>31</v>
      </c>
      <c r="C177" s="8" t="s">
        <v>32</v>
      </c>
      <c r="D177" s="9" t="s">
        <v>199</v>
      </c>
      <c r="E177" s="9" t="s">
        <v>293</v>
      </c>
      <c r="F177" s="8" t="s">
        <v>201</v>
      </c>
      <c r="G177" s="8" t="s">
        <v>150</v>
      </c>
      <c r="H177" s="10">
        <v>3</v>
      </c>
      <c r="I177" s="10">
        <v>0.15789473684210531</v>
      </c>
      <c r="J177" s="8" t="s">
        <v>285</v>
      </c>
      <c r="K177" s="8"/>
      <c r="L177" s="8"/>
      <c r="M177" s="9"/>
    </row>
    <row r="178" spans="1:13">
      <c r="A178" s="3" t="s">
        <v>27</v>
      </c>
      <c r="B178" s="3" t="s">
        <v>49</v>
      </c>
      <c r="C178" s="3" t="s">
        <v>163</v>
      </c>
      <c r="D178" s="4" t="s">
        <v>172</v>
      </c>
      <c r="E178" s="4" t="s">
        <v>294</v>
      </c>
      <c r="F178" s="3" t="s">
        <v>174</v>
      </c>
      <c r="G178" s="3" t="s">
        <v>190</v>
      </c>
      <c r="H178" s="5">
        <v>3</v>
      </c>
      <c r="I178" s="5">
        <v>0.15789473684210531</v>
      </c>
      <c r="J178" s="3" t="s">
        <v>285</v>
      </c>
      <c r="K178" s="3"/>
      <c r="L178" s="6"/>
      <c r="M178" s="7"/>
    </row>
    <row r="179" spans="1:13" ht="30">
      <c r="A179" s="8" t="s">
        <v>15</v>
      </c>
      <c r="B179" s="8" t="s">
        <v>16</v>
      </c>
      <c r="C179" s="8" t="s">
        <v>17</v>
      </c>
      <c r="D179" s="9" t="s">
        <v>55</v>
      </c>
      <c r="E179" s="9" t="s">
        <v>295</v>
      </c>
      <c r="F179" s="8" t="s">
        <v>57</v>
      </c>
      <c r="G179" s="8" t="s">
        <v>296</v>
      </c>
      <c r="H179" s="10">
        <v>2</v>
      </c>
      <c r="I179" s="10">
        <v>0.10526315789473679</v>
      </c>
      <c r="J179" s="8" t="s">
        <v>297</v>
      </c>
      <c r="K179" s="8"/>
      <c r="L179" s="8"/>
      <c r="M179" s="9"/>
    </row>
    <row r="180" spans="1:13">
      <c r="A180" s="3" t="s">
        <v>15</v>
      </c>
      <c r="B180" s="3" t="s">
        <v>49</v>
      </c>
      <c r="C180" s="3" t="s">
        <v>50</v>
      </c>
      <c r="D180" s="4" t="s">
        <v>298</v>
      </c>
      <c r="E180" s="4" t="s">
        <v>299</v>
      </c>
      <c r="F180" s="3" t="s">
        <v>300</v>
      </c>
      <c r="G180" s="3" t="s">
        <v>141</v>
      </c>
      <c r="H180" s="5">
        <v>2</v>
      </c>
      <c r="I180" s="5">
        <v>0.10526315789473679</v>
      </c>
      <c r="J180" s="3" t="s">
        <v>297</v>
      </c>
      <c r="K180" s="3"/>
      <c r="L180" s="6"/>
      <c r="M180" s="7"/>
    </row>
    <row r="181" spans="1:13">
      <c r="A181" s="8" t="s">
        <v>15</v>
      </c>
      <c r="B181" s="8" t="s">
        <v>16</v>
      </c>
      <c r="C181" s="8" t="s">
        <v>17</v>
      </c>
      <c r="D181" s="9" t="s">
        <v>131</v>
      </c>
      <c r="E181" s="9" t="s">
        <v>301</v>
      </c>
      <c r="F181" s="8" t="s">
        <v>133</v>
      </c>
      <c r="G181" s="8" t="s">
        <v>302</v>
      </c>
      <c r="H181" s="10">
        <v>1</v>
      </c>
      <c r="I181" s="10">
        <v>5.2631578947368418E-2</v>
      </c>
      <c r="J181" s="8" t="s">
        <v>297</v>
      </c>
      <c r="K181" s="8"/>
      <c r="L181" s="8"/>
      <c r="M181" s="9"/>
    </row>
    <row r="182" spans="1:13" ht="45">
      <c r="A182" s="3" t="s">
        <v>27</v>
      </c>
      <c r="B182" s="3" t="s">
        <v>16</v>
      </c>
      <c r="C182" s="3" t="s">
        <v>17</v>
      </c>
      <c r="D182" s="4" t="s">
        <v>131</v>
      </c>
      <c r="E182" s="4" t="s">
        <v>303</v>
      </c>
      <c r="F182" s="3" t="s">
        <v>133</v>
      </c>
      <c r="G182" s="3" t="s">
        <v>290</v>
      </c>
      <c r="H182" s="5">
        <v>4</v>
      </c>
      <c r="I182" s="5">
        <v>0.2105263157894737</v>
      </c>
      <c r="J182" s="3" t="s">
        <v>297</v>
      </c>
      <c r="K182" s="3"/>
      <c r="L182" s="6"/>
      <c r="M182" s="7"/>
    </row>
    <row r="183" spans="1:13" ht="30">
      <c r="A183" s="8" t="s">
        <v>27</v>
      </c>
      <c r="B183" s="8" t="s">
        <v>70</v>
      </c>
      <c r="C183" s="8" t="s">
        <v>245</v>
      </c>
      <c r="D183" s="9" t="s">
        <v>281</v>
      </c>
      <c r="E183" s="9" t="s">
        <v>304</v>
      </c>
      <c r="F183" s="8" t="s">
        <v>283</v>
      </c>
      <c r="G183" s="8" t="s">
        <v>305</v>
      </c>
      <c r="H183" s="10">
        <v>4</v>
      </c>
      <c r="I183" s="10">
        <v>0.2105263157894737</v>
      </c>
      <c r="J183" s="8" t="s">
        <v>297</v>
      </c>
      <c r="K183" s="8"/>
      <c r="L183" s="8"/>
      <c r="M183" s="9"/>
    </row>
    <row r="184" spans="1:13" ht="30">
      <c r="A184" s="3" t="s">
        <v>27</v>
      </c>
      <c r="B184" s="3" t="s">
        <v>31</v>
      </c>
      <c r="C184" s="3" t="s">
        <v>32</v>
      </c>
      <c r="D184" s="4" t="s">
        <v>208</v>
      </c>
      <c r="E184" s="4" t="s">
        <v>306</v>
      </c>
      <c r="F184" s="3" t="s">
        <v>210</v>
      </c>
      <c r="G184" s="3" t="s">
        <v>307</v>
      </c>
      <c r="H184" s="5">
        <v>2</v>
      </c>
      <c r="I184" s="5">
        <v>0.10526315789473679</v>
      </c>
      <c r="J184" s="3" t="s">
        <v>297</v>
      </c>
      <c r="K184" s="3"/>
      <c r="L184" s="6"/>
      <c r="M184" s="7"/>
    </row>
    <row r="185" spans="1:13">
      <c r="A185" s="8" t="s">
        <v>27</v>
      </c>
      <c r="B185" s="8" t="s">
        <v>16</v>
      </c>
      <c r="C185" s="8" t="s">
        <v>17</v>
      </c>
      <c r="D185" s="9" t="s">
        <v>18</v>
      </c>
      <c r="E185" s="9" t="s">
        <v>308</v>
      </c>
      <c r="F185" s="8" t="s">
        <v>20</v>
      </c>
      <c r="G185" s="8" t="s">
        <v>309</v>
      </c>
      <c r="H185" s="10">
        <v>4</v>
      </c>
      <c r="I185" s="10">
        <v>0.2105263157894737</v>
      </c>
      <c r="J185" s="8" t="s">
        <v>297</v>
      </c>
      <c r="K185" s="8"/>
      <c r="L185" s="8"/>
      <c r="M185" s="9"/>
    </row>
    <row r="186" spans="1:13" ht="30">
      <c r="A186" s="3" t="s">
        <v>15</v>
      </c>
      <c r="B186" s="3" t="s">
        <v>16</v>
      </c>
      <c r="C186" s="3" t="s">
        <v>17</v>
      </c>
      <c r="D186" s="4" t="s">
        <v>214</v>
      </c>
      <c r="E186" s="4" t="s">
        <v>310</v>
      </c>
      <c r="F186" s="3" t="s">
        <v>216</v>
      </c>
      <c r="G186" s="3" t="s">
        <v>311</v>
      </c>
      <c r="H186" s="5">
        <v>1</v>
      </c>
      <c r="I186" s="5">
        <v>5.2631578947368418E-2</v>
      </c>
      <c r="J186" s="3" t="s">
        <v>312</v>
      </c>
      <c r="K186" s="3"/>
      <c r="L186" s="6"/>
      <c r="M186" s="7"/>
    </row>
    <row r="187" spans="1:13">
      <c r="A187" s="8" t="s">
        <v>15</v>
      </c>
      <c r="B187" s="8" t="s">
        <v>16</v>
      </c>
      <c r="C187" s="8" t="s">
        <v>17</v>
      </c>
      <c r="D187" s="9" t="s">
        <v>131</v>
      </c>
      <c r="E187" s="9" t="s">
        <v>313</v>
      </c>
      <c r="F187" s="8" t="s">
        <v>133</v>
      </c>
      <c r="G187" s="8" t="s">
        <v>311</v>
      </c>
      <c r="H187" s="10">
        <v>1</v>
      </c>
      <c r="I187" s="10">
        <v>5.2631578947368418E-2</v>
      </c>
      <c r="J187" s="8" t="s">
        <v>312</v>
      </c>
      <c r="K187" s="8"/>
      <c r="L187" s="8"/>
      <c r="M187" s="9"/>
    </row>
    <row r="188" spans="1:13">
      <c r="A188" s="3" t="s">
        <v>15</v>
      </c>
      <c r="B188" s="3" t="s">
        <v>16</v>
      </c>
      <c r="C188" s="3" t="s">
        <v>17</v>
      </c>
      <c r="D188" s="4" t="s">
        <v>65</v>
      </c>
      <c r="E188" s="4" t="s">
        <v>314</v>
      </c>
      <c r="F188" s="3" t="s">
        <v>67</v>
      </c>
      <c r="G188" s="3" t="s">
        <v>302</v>
      </c>
      <c r="H188" s="5">
        <v>5</v>
      </c>
      <c r="I188" s="5">
        <v>0.26315789473684209</v>
      </c>
      <c r="J188" s="3" t="s">
        <v>312</v>
      </c>
      <c r="K188" s="3"/>
      <c r="L188" s="6"/>
      <c r="M188" s="7"/>
    </row>
    <row r="189" spans="1:13">
      <c r="A189" s="8" t="s">
        <v>15</v>
      </c>
      <c r="B189" s="8" t="s">
        <v>49</v>
      </c>
      <c r="C189" s="8" t="s">
        <v>175</v>
      </c>
      <c r="D189" s="9" t="s">
        <v>202</v>
      </c>
      <c r="E189" s="9" t="s">
        <v>315</v>
      </c>
      <c r="F189" s="8" t="s">
        <v>204</v>
      </c>
      <c r="G189" s="8" t="s">
        <v>316</v>
      </c>
      <c r="H189" s="10">
        <v>2</v>
      </c>
      <c r="I189" s="10">
        <v>0.10526315789473679</v>
      </c>
      <c r="J189" s="8" t="s">
        <v>312</v>
      </c>
      <c r="K189" s="8"/>
      <c r="L189" s="8"/>
      <c r="M189" s="9"/>
    </row>
    <row r="190" spans="1:13" ht="45">
      <c r="A190" s="3" t="s">
        <v>27</v>
      </c>
      <c r="B190" s="3" t="s">
        <v>16</v>
      </c>
      <c r="C190" s="3" t="s">
        <v>17</v>
      </c>
      <c r="D190" s="4" t="s">
        <v>262</v>
      </c>
      <c r="E190" s="4" t="s">
        <v>317</v>
      </c>
      <c r="F190" s="3" t="s">
        <v>264</v>
      </c>
      <c r="G190" s="3" t="s">
        <v>318</v>
      </c>
      <c r="H190" s="5">
        <v>1</v>
      </c>
      <c r="I190" s="5">
        <v>5.2631578947368418E-2</v>
      </c>
      <c r="J190" s="3" t="s">
        <v>312</v>
      </c>
      <c r="K190" s="3"/>
      <c r="L190" s="6"/>
      <c r="M190" s="7"/>
    </row>
    <row r="191" spans="1:13" ht="30">
      <c r="A191" s="8" t="s">
        <v>27</v>
      </c>
      <c r="B191" s="8" t="s">
        <v>70</v>
      </c>
      <c r="C191" s="8" t="s">
        <v>245</v>
      </c>
      <c r="D191" s="9" t="s">
        <v>281</v>
      </c>
      <c r="E191" s="9" t="s">
        <v>319</v>
      </c>
      <c r="F191" s="8" t="s">
        <v>283</v>
      </c>
      <c r="G191" s="8" t="s">
        <v>305</v>
      </c>
      <c r="H191" s="10">
        <v>2</v>
      </c>
      <c r="I191" s="10">
        <v>0.10526315789473679</v>
      </c>
      <c r="J191" s="8" t="s">
        <v>312</v>
      </c>
      <c r="K191" s="8"/>
      <c r="L191" s="8"/>
      <c r="M191" s="9"/>
    </row>
    <row r="192" spans="1:13" ht="45">
      <c r="A192" s="3" t="s">
        <v>27</v>
      </c>
      <c r="B192" s="3" t="s">
        <v>16</v>
      </c>
      <c r="C192" s="3" t="s">
        <v>17</v>
      </c>
      <c r="D192" s="4" t="s">
        <v>262</v>
      </c>
      <c r="E192" s="4" t="s">
        <v>317</v>
      </c>
      <c r="F192" s="3" t="s">
        <v>264</v>
      </c>
      <c r="G192" s="3" t="s">
        <v>320</v>
      </c>
      <c r="H192" s="5">
        <v>1</v>
      </c>
      <c r="I192" s="5">
        <v>5.2631578947368418E-2</v>
      </c>
      <c r="J192" s="3" t="s">
        <v>312</v>
      </c>
      <c r="K192" s="3"/>
      <c r="L192" s="6"/>
      <c r="M192" s="7"/>
    </row>
    <row r="193" spans="1:13">
      <c r="A193" s="8" t="s">
        <v>27</v>
      </c>
      <c r="B193" s="8" t="s">
        <v>16</v>
      </c>
      <c r="C193" s="8" t="s">
        <v>17</v>
      </c>
      <c r="D193" s="9" t="s">
        <v>18</v>
      </c>
      <c r="E193" s="9" t="s">
        <v>321</v>
      </c>
      <c r="F193" s="8" t="s">
        <v>20</v>
      </c>
      <c r="G193" s="8" t="s">
        <v>309</v>
      </c>
      <c r="H193" s="10">
        <v>5</v>
      </c>
      <c r="I193" s="10">
        <v>0.26315789473684209</v>
      </c>
      <c r="J193" s="8" t="s">
        <v>312</v>
      </c>
      <c r="K193" s="8"/>
      <c r="L193" s="8"/>
      <c r="M193" s="9"/>
    </row>
    <row r="194" spans="1:13" ht="30">
      <c r="A194" s="3" t="s">
        <v>27</v>
      </c>
      <c r="B194" s="3" t="s">
        <v>31</v>
      </c>
      <c r="C194" s="3" t="s">
        <v>32</v>
      </c>
      <c r="D194" s="4" t="s">
        <v>157</v>
      </c>
      <c r="E194" s="4" t="s">
        <v>158</v>
      </c>
      <c r="F194" s="3" t="s">
        <v>159</v>
      </c>
      <c r="G194" s="3" t="s">
        <v>47</v>
      </c>
      <c r="H194" s="5">
        <v>3</v>
      </c>
      <c r="I194" s="5">
        <v>0.15789473684210531</v>
      </c>
      <c r="J194" s="3" t="s">
        <v>322</v>
      </c>
      <c r="K194" s="3"/>
      <c r="L194" s="6"/>
      <c r="M194" s="7"/>
    </row>
    <row r="195" spans="1:13" ht="30">
      <c r="A195" s="8" t="s">
        <v>15</v>
      </c>
      <c r="B195" s="8" t="s">
        <v>49</v>
      </c>
      <c r="C195" s="8" t="s">
        <v>175</v>
      </c>
      <c r="D195" s="9" t="s">
        <v>202</v>
      </c>
      <c r="E195" s="9" t="s">
        <v>323</v>
      </c>
      <c r="F195" s="8" t="s">
        <v>204</v>
      </c>
      <c r="G195" s="8" t="s">
        <v>21</v>
      </c>
      <c r="H195" s="10">
        <v>2</v>
      </c>
      <c r="I195" s="10">
        <v>0.10526315789473679</v>
      </c>
      <c r="J195" s="8" t="s">
        <v>324</v>
      </c>
      <c r="K195" s="8"/>
      <c r="L195" s="8"/>
      <c r="M195" s="9"/>
    </row>
    <row r="196" spans="1:13" ht="30">
      <c r="A196" s="3" t="s">
        <v>15</v>
      </c>
      <c r="B196" s="3" t="s">
        <v>49</v>
      </c>
      <c r="C196" s="3" t="s">
        <v>175</v>
      </c>
      <c r="D196" s="4" t="s">
        <v>191</v>
      </c>
      <c r="E196" s="4" t="s">
        <v>325</v>
      </c>
      <c r="F196" s="3" t="s">
        <v>193</v>
      </c>
      <c r="G196" s="3" t="s">
        <v>21</v>
      </c>
      <c r="H196" s="5">
        <v>2</v>
      </c>
      <c r="I196" s="5">
        <v>0.10526315789473679</v>
      </c>
      <c r="J196" s="3" t="s">
        <v>324</v>
      </c>
      <c r="K196" s="3"/>
      <c r="L196" s="6"/>
      <c r="M196" s="7"/>
    </row>
    <row r="197" spans="1:13" ht="30">
      <c r="A197" s="8" t="s">
        <v>27</v>
      </c>
      <c r="B197" s="8" t="s">
        <v>49</v>
      </c>
      <c r="C197" s="8" t="s">
        <v>175</v>
      </c>
      <c r="D197" s="9" t="s">
        <v>202</v>
      </c>
      <c r="E197" s="9" t="s">
        <v>326</v>
      </c>
      <c r="F197" s="8" t="s">
        <v>204</v>
      </c>
      <c r="G197" s="8" t="s">
        <v>29</v>
      </c>
      <c r="H197" s="10">
        <v>2</v>
      </c>
      <c r="I197" s="10">
        <v>0.10526315789473679</v>
      </c>
      <c r="J197" s="8" t="s">
        <v>324</v>
      </c>
      <c r="K197" s="8"/>
      <c r="L197" s="8"/>
      <c r="M197" s="9"/>
    </row>
    <row r="198" spans="1:13">
      <c r="A198" s="3" t="s">
        <v>27</v>
      </c>
      <c r="B198" s="3" t="s">
        <v>16</v>
      </c>
      <c r="C198" s="3" t="s">
        <v>17</v>
      </c>
      <c r="D198" s="4" t="s">
        <v>18</v>
      </c>
      <c r="E198" s="4" t="s">
        <v>327</v>
      </c>
      <c r="F198" s="3" t="s">
        <v>20</v>
      </c>
      <c r="G198" s="3" t="s">
        <v>29</v>
      </c>
      <c r="H198" s="5">
        <v>2</v>
      </c>
      <c r="I198" s="5">
        <v>0.10526315789473679</v>
      </c>
      <c r="J198" s="3" t="s">
        <v>324</v>
      </c>
      <c r="K198" s="3"/>
      <c r="L198" s="6"/>
      <c r="M198" s="7"/>
    </row>
    <row r="199" spans="1:13" ht="30">
      <c r="A199" s="8" t="s">
        <v>27</v>
      </c>
      <c r="B199" s="8" t="s">
        <v>49</v>
      </c>
      <c r="C199" s="8" t="s">
        <v>175</v>
      </c>
      <c r="D199" s="9" t="s">
        <v>202</v>
      </c>
      <c r="E199" s="9" t="s">
        <v>328</v>
      </c>
      <c r="F199" s="8" t="s">
        <v>204</v>
      </c>
      <c r="G199" s="8" t="s">
        <v>38</v>
      </c>
      <c r="H199" s="10">
        <v>2</v>
      </c>
      <c r="I199" s="10">
        <v>0.10526315789473679</v>
      </c>
      <c r="J199" s="8" t="s">
        <v>324</v>
      </c>
      <c r="K199" s="8"/>
      <c r="L199" s="8"/>
      <c r="M199" s="9"/>
    </row>
    <row r="200" spans="1:13">
      <c r="A200" s="3" t="s">
        <v>27</v>
      </c>
      <c r="B200" s="3" t="s">
        <v>16</v>
      </c>
      <c r="C200" s="3" t="s">
        <v>17</v>
      </c>
      <c r="D200" s="4" t="s">
        <v>44</v>
      </c>
      <c r="E200" s="4" t="s">
        <v>329</v>
      </c>
      <c r="F200" s="3" t="s">
        <v>46</v>
      </c>
      <c r="G200" s="3" t="s">
        <v>38</v>
      </c>
      <c r="H200" s="5">
        <v>2</v>
      </c>
      <c r="I200" s="5">
        <v>0.10526315789473679</v>
      </c>
      <c r="J200" s="3" t="s">
        <v>324</v>
      </c>
      <c r="K200" s="3"/>
      <c r="L200" s="6"/>
      <c r="M200" s="7"/>
    </row>
    <row r="201" spans="1:13" ht="30">
      <c r="A201" s="8" t="s">
        <v>27</v>
      </c>
      <c r="B201" s="8" t="s">
        <v>49</v>
      </c>
      <c r="C201" s="8" t="s">
        <v>175</v>
      </c>
      <c r="D201" s="9" t="s">
        <v>202</v>
      </c>
      <c r="E201" s="9" t="s">
        <v>330</v>
      </c>
      <c r="F201" s="8" t="s">
        <v>204</v>
      </c>
      <c r="G201" s="8" t="s">
        <v>42</v>
      </c>
      <c r="H201" s="10">
        <v>2</v>
      </c>
      <c r="I201" s="10">
        <v>0.10526315789473679</v>
      </c>
      <c r="J201" s="8" t="s">
        <v>324</v>
      </c>
      <c r="K201" s="8"/>
      <c r="L201" s="8"/>
      <c r="M201" s="9"/>
    </row>
    <row r="202" spans="1:13">
      <c r="A202" s="3" t="s">
        <v>27</v>
      </c>
      <c r="B202" s="3" t="s">
        <v>16</v>
      </c>
      <c r="C202" s="3" t="s">
        <v>17</v>
      </c>
      <c r="D202" s="4" t="s">
        <v>44</v>
      </c>
      <c r="E202" s="4" t="s">
        <v>331</v>
      </c>
      <c r="F202" s="3" t="s">
        <v>46</v>
      </c>
      <c r="G202" s="3" t="s">
        <v>42</v>
      </c>
      <c r="H202" s="5">
        <v>2</v>
      </c>
      <c r="I202" s="5">
        <v>0.10526315789473679</v>
      </c>
      <c r="J202" s="3" t="s">
        <v>324</v>
      </c>
      <c r="K202" s="3"/>
      <c r="L202" s="6"/>
      <c r="M202" s="7"/>
    </row>
    <row r="203" spans="1:13" ht="30">
      <c r="A203" s="8" t="s">
        <v>27</v>
      </c>
      <c r="B203" s="8" t="s">
        <v>49</v>
      </c>
      <c r="C203" s="8" t="s">
        <v>175</v>
      </c>
      <c r="D203" s="9" t="s">
        <v>202</v>
      </c>
      <c r="E203" s="9" t="s">
        <v>332</v>
      </c>
      <c r="F203" s="8" t="s">
        <v>204</v>
      </c>
      <c r="G203" s="8" t="s">
        <v>47</v>
      </c>
      <c r="H203" s="10">
        <v>2</v>
      </c>
      <c r="I203" s="10">
        <v>0.10526315789473679</v>
      </c>
      <c r="J203" s="8" t="s">
        <v>324</v>
      </c>
      <c r="K203" s="8"/>
      <c r="L203" s="8"/>
      <c r="M203" s="9"/>
    </row>
    <row r="204" spans="1:13">
      <c r="A204" s="3" t="s">
        <v>27</v>
      </c>
      <c r="B204" s="3" t="s">
        <v>16</v>
      </c>
      <c r="C204" s="3" t="s">
        <v>17</v>
      </c>
      <c r="D204" s="4" t="s">
        <v>44</v>
      </c>
      <c r="E204" s="4" t="s">
        <v>333</v>
      </c>
      <c r="F204" s="3" t="s">
        <v>46</v>
      </c>
      <c r="G204" s="3" t="s">
        <v>47</v>
      </c>
      <c r="H204" s="5">
        <v>1</v>
      </c>
      <c r="I204" s="5">
        <v>5.2631578947368418E-2</v>
      </c>
      <c r="J204" s="3" t="s">
        <v>324</v>
      </c>
      <c r="K204" s="3"/>
      <c r="L204" s="6"/>
      <c r="M204" s="7"/>
    </row>
    <row r="205" spans="1:13" ht="30">
      <c r="A205" s="8" t="s">
        <v>15</v>
      </c>
      <c r="B205" s="8" t="s">
        <v>16</v>
      </c>
      <c r="C205" s="8" t="s">
        <v>17</v>
      </c>
      <c r="D205" s="9" t="s">
        <v>18</v>
      </c>
      <c r="E205" s="9" t="s">
        <v>334</v>
      </c>
      <c r="F205" s="8" t="s">
        <v>20</v>
      </c>
      <c r="G205" s="8" t="s">
        <v>21</v>
      </c>
      <c r="H205" s="10">
        <v>2</v>
      </c>
      <c r="I205" s="10">
        <v>0.10526315789473679</v>
      </c>
      <c r="J205" s="8" t="s">
        <v>335</v>
      </c>
      <c r="K205" s="8"/>
      <c r="L205" s="8"/>
      <c r="M205" s="9"/>
    </row>
    <row r="206" spans="1:13" ht="30">
      <c r="A206" s="3" t="s">
        <v>15</v>
      </c>
      <c r="B206" s="3" t="s">
        <v>31</v>
      </c>
      <c r="C206" s="3" t="s">
        <v>336</v>
      </c>
      <c r="D206" s="4" t="s">
        <v>337</v>
      </c>
      <c r="E206" s="4" t="s">
        <v>338</v>
      </c>
      <c r="F206" s="3" t="s">
        <v>339</v>
      </c>
      <c r="G206" s="3" t="s">
        <v>21</v>
      </c>
      <c r="H206" s="5">
        <v>2</v>
      </c>
      <c r="I206" s="5">
        <v>0.10526315789473679</v>
      </c>
      <c r="J206" s="3" t="s">
        <v>335</v>
      </c>
      <c r="K206" s="3"/>
      <c r="L206" s="6"/>
      <c r="M206" s="7"/>
    </row>
    <row r="207" spans="1:13" ht="30">
      <c r="A207" s="8" t="s">
        <v>27</v>
      </c>
      <c r="B207" s="8" t="s">
        <v>31</v>
      </c>
      <c r="C207" s="8" t="s">
        <v>336</v>
      </c>
      <c r="D207" s="9" t="s">
        <v>337</v>
      </c>
      <c r="E207" s="9" t="s">
        <v>340</v>
      </c>
      <c r="F207" s="8" t="s">
        <v>339</v>
      </c>
      <c r="G207" s="8" t="s">
        <v>29</v>
      </c>
      <c r="H207" s="10">
        <v>2</v>
      </c>
      <c r="I207" s="10">
        <v>0.10526315789473679</v>
      </c>
      <c r="J207" s="8" t="s">
        <v>335</v>
      </c>
      <c r="K207" s="8"/>
      <c r="L207" s="8"/>
      <c r="M207" s="9"/>
    </row>
    <row r="208" spans="1:13" ht="30">
      <c r="A208" s="3" t="s">
        <v>27</v>
      </c>
      <c r="B208" s="3" t="s">
        <v>16</v>
      </c>
      <c r="C208" s="3" t="s">
        <v>17</v>
      </c>
      <c r="D208" s="4" t="s">
        <v>18</v>
      </c>
      <c r="E208" s="4" t="s">
        <v>341</v>
      </c>
      <c r="F208" s="3" t="s">
        <v>20</v>
      </c>
      <c r="G208" s="3" t="s">
        <v>29</v>
      </c>
      <c r="H208" s="5">
        <v>2</v>
      </c>
      <c r="I208" s="5">
        <v>0.10526315789473679</v>
      </c>
      <c r="J208" s="3" t="s">
        <v>335</v>
      </c>
      <c r="K208" s="3"/>
      <c r="L208" s="6"/>
      <c r="M208" s="7"/>
    </row>
    <row r="209" spans="1:13" ht="30">
      <c r="A209" s="8" t="s">
        <v>27</v>
      </c>
      <c r="B209" s="8" t="s">
        <v>70</v>
      </c>
      <c r="C209" s="8" t="s">
        <v>245</v>
      </c>
      <c r="D209" s="9" t="s">
        <v>246</v>
      </c>
      <c r="E209" s="9" t="s">
        <v>342</v>
      </c>
      <c r="F209" s="8" t="s">
        <v>248</v>
      </c>
      <c r="G209" s="8" t="s">
        <v>38</v>
      </c>
      <c r="H209" s="10">
        <v>2</v>
      </c>
      <c r="I209" s="10">
        <v>0.10526315789473679</v>
      </c>
      <c r="J209" s="8" t="s">
        <v>335</v>
      </c>
      <c r="K209" s="8"/>
      <c r="L209" s="8"/>
      <c r="M209" s="9"/>
    </row>
    <row r="210" spans="1:13" ht="30">
      <c r="A210" s="3" t="s">
        <v>27</v>
      </c>
      <c r="B210" s="3" t="s">
        <v>16</v>
      </c>
      <c r="C210" s="3" t="s">
        <v>17</v>
      </c>
      <c r="D210" s="4" t="s">
        <v>18</v>
      </c>
      <c r="E210" s="4" t="s">
        <v>343</v>
      </c>
      <c r="F210" s="3" t="s">
        <v>20</v>
      </c>
      <c r="G210" s="3" t="s">
        <v>38</v>
      </c>
      <c r="H210" s="5">
        <v>2</v>
      </c>
      <c r="I210" s="5">
        <v>0.10526315789473679</v>
      </c>
      <c r="J210" s="3" t="s">
        <v>335</v>
      </c>
      <c r="K210" s="3"/>
      <c r="L210" s="6"/>
      <c r="M210" s="7"/>
    </row>
    <row r="211" spans="1:13" ht="30">
      <c r="A211" s="8" t="s">
        <v>27</v>
      </c>
      <c r="B211" s="8" t="s">
        <v>31</v>
      </c>
      <c r="C211" s="8" t="s">
        <v>32</v>
      </c>
      <c r="D211" s="9" t="s">
        <v>33</v>
      </c>
      <c r="E211" s="9" t="s">
        <v>344</v>
      </c>
      <c r="F211" s="8" t="s">
        <v>35</v>
      </c>
      <c r="G211" s="8" t="s">
        <v>42</v>
      </c>
      <c r="H211" s="10">
        <v>2</v>
      </c>
      <c r="I211" s="10">
        <v>0.10526315789473679</v>
      </c>
      <c r="J211" s="8" t="s">
        <v>335</v>
      </c>
      <c r="K211" s="8"/>
      <c r="L211" s="8"/>
      <c r="M211" s="9"/>
    </row>
    <row r="212" spans="1:13" ht="30">
      <c r="A212" s="3" t="s">
        <v>27</v>
      </c>
      <c r="B212" s="3" t="s">
        <v>16</v>
      </c>
      <c r="C212" s="3" t="s">
        <v>17</v>
      </c>
      <c r="D212" s="4" t="s">
        <v>345</v>
      </c>
      <c r="E212" s="4" t="s">
        <v>346</v>
      </c>
      <c r="F212" s="3" t="s">
        <v>347</v>
      </c>
      <c r="G212" s="3" t="s">
        <v>42</v>
      </c>
      <c r="H212" s="5">
        <v>2</v>
      </c>
      <c r="I212" s="5">
        <v>0.10526315789473679</v>
      </c>
      <c r="J212" s="3" t="s">
        <v>335</v>
      </c>
      <c r="K212" s="3"/>
      <c r="L212" s="6"/>
      <c r="M212" s="7"/>
    </row>
    <row r="213" spans="1:13" ht="30">
      <c r="A213" s="8" t="s">
        <v>27</v>
      </c>
      <c r="B213" s="8" t="s">
        <v>31</v>
      </c>
      <c r="C213" s="8" t="s">
        <v>32</v>
      </c>
      <c r="D213" s="9" t="s">
        <v>33</v>
      </c>
      <c r="E213" s="9" t="s">
        <v>348</v>
      </c>
      <c r="F213" s="8" t="s">
        <v>35</v>
      </c>
      <c r="G213" s="8" t="s">
        <v>47</v>
      </c>
      <c r="H213" s="10">
        <v>2</v>
      </c>
      <c r="I213" s="10">
        <v>0.10526315789473679</v>
      </c>
      <c r="J213" s="8" t="s">
        <v>335</v>
      </c>
      <c r="K213" s="8"/>
      <c r="L213" s="8"/>
      <c r="M213" s="9"/>
    </row>
    <row r="214" spans="1:13" ht="30">
      <c r="A214" s="3" t="s">
        <v>27</v>
      </c>
      <c r="B214" s="3" t="s">
        <v>16</v>
      </c>
      <c r="C214" s="3" t="s">
        <v>17</v>
      </c>
      <c r="D214" s="4" t="s">
        <v>44</v>
      </c>
      <c r="E214" s="4" t="s">
        <v>349</v>
      </c>
      <c r="F214" s="3" t="s">
        <v>46</v>
      </c>
      <c r="G214" s="3" t="s">
        <v>47</v>
      </c>
      <c r="H214" s="5">
        <v>1</v>
      </c>
      <c r="I214" s="5">
        <v>5.2631578947368418E-2</v>
      </c>
      <c r="J214" s="3" t="s">
        <v>335</v>
      </c>
      <c r="K214" s="3"/>
      <c r="L214" s="6"/>
      <c r="M214" s="7"/>
    </row>
    <row r="215" spans="1:13" ht="30">
      <c r="A215" s="8" t="s">
        <v>15</v>
      </c>
      <c r="B215" s="8" t="s">
        <v>16</v>
      </c>
      <c r="C215" s="8" t="s">
        <v>17</v>
      </c>
      <c r="D215" s="9" t="s">
        <v>18</v>
      </c>
      <c r="E215" s="9" t="s">
        <v>350</v>
      </c>
      <c r="F215" s="8" t="s">
        <v>20</v>
      </c>
      <c r="G215" s="8" t="s">
        <v>21</v>
      </c>
      <c r="H215" s="10">
        <v>2</v>
      </c>
      <c r="I215" s="10">
        <v>0.10526315789473679</v>
      </c>
      <c r="J215" s="8" t="s">
        <v>351</v>
      </c>
      <c r="K215" s="8"/>
      <c r="L215" s="8"/>
      <c r="M215" s="9"/>
    </row>
    <row r="216" spans="1:13" ht="30">
      <c r="A216" s="3" t="s">
        <v>15</v>
      </c>
      <c r="B216" s="3" t="s">
        <v>16</v>
      </c>
      <c r="C216" s="3" t="s">
        <v>17</v>
      </c>
      <c r="D216" s="4" t="s">
        <v>345</v>
      </c>
      <c r="E216" s="4" t="s">
        <v>352</v>
      </c>
      <c r="F216" s="3" t="s">
        <v>347</v>
      </c>
      <c r="G216" s="3" t="s">
        <v>21</v>
      </c>
      <c r="H216" s="5">
        <v>2</v>
      </c>
      <c r="I216" s="5">
        <v>0.10526315789473679</v>
      </c>
      <c r="J216" s="3" t="s">
        <v>351</v>
      </c>
      <c r="K216" s="3"/>
      <c r="L216" s="6"/>
      <c r="M216" s="7"/>
    </row>
    <row r="217" spans="1:13" ht="30">
      <c r="A217" s="8" t="s">
        <v>27</v>
      </c>
      <c r="B217" s="8" t="s">
        <v>16</v>
      </c>
      <c r="C217" s="8" t="s">
        <v>17</v>
      </c>
      <c r="D217" s="9" t="s">
        <v>18</v>
      </c>
      <c r="E217" s="9" t="s">
        <v>353</v>
      </c>
      <c r="F217" s="8" t="s">
        <v>20</v>
      </c>
      <c r="G217" s="8" t="s">
        <v>29</v>
      </c>
      <c r="H217" s="10">
        <v>2</v>
      </c>
      <c r="I217" s="10">
        <v>0.10526315789473679</v>
      </c>
      <c r="J217" s="8" t="s">
        <v>351</v>
      </c>
      <c r="K217" s="8"/>
      <c r="L217" s="8"/>
      <c r="M217" s="9"/>
    </row>
    <row r="218" spans="1:13" ht="30">
      <c r="A218" s="3" t="s">
        <v>27</v>
      </c>
      <c r="B218" s="3" t="s">
        <v>16</v>
      </c>
      <c r="C218" s="3" t="s">
        <v>17</v>
      </c>
      <c r="D218" s="4" t="s">
        <v>18</v>
      </c>
      <c r="E218" s="4" t="s">
        <v>354</v>
      </c>
      <c r="F218" s="3" t="s">
        <v>20</v>
      </c>
      <c r="G218" s="3" t="s">
        <v>29</v>
      </c>
      <c r="H218" s="5">
        <v>2</v>
      </c>
      <c r="I218" s="5">
        <v>0.10526315789473679</v>
      </c>
      <c r="J218" s="3" t="s">
        <v>351</v>
      </c>
      <c r="K218" s="3"/>
      <c r="L218" s="6"/>
      <c r="M218" s="7"/>
    </row>
    <row r="219" spans="1:13" ht="30">
      <c r="A219" s="8" t="s">
        <v>27</v>
      </c>
      <c r="B219" s="8" t="s">
        <v>16</v>
      </c>
      <c r="C219" s="8" t="s">
        <v>17</v>
      </c>
      <c r="D219" s="9" t="s">
        <v>18</v>
      </c>
      <c r="E219" s="9" t="s">
        <v>355</v>
      </c>
      <c r="F219" s="8" t="s">
        <v>20</v>
      </c>
      <c r="G219" s="8" t="s">
        <v>38</v>
      </c>
      <c r="H219" s="10">
        <v>2</v>
      </c>
      <c r="I219" s="10">
        <v>0.10526315789473679</v>
      </c>
      <c r="J219" s="8" t="s">
        <v>351</v>
      </c>
      <c r="K219" s="8"/>
      <c r="L219" s="8"/>
      <c r="M219" s="9"/>
    </row>
    <row r="220" spans="1:13">
      <c r="A220" s="3" t="s">
        <v>27</v>
      </c>
      <c r="B220" s="3" t="s">
        <v>16</v>
      </c>
      <c r="C220" s="3" t="s">
        <v>17</v>
      </c>
      <c r="D220" s="4" t="s">
        <v>18</v>
      </c>
      <c r="E220" s="4" t="s">
        <v>356</v>
      </c>
      <c r="F220" s="3" t="s">
        <v>20</v>
      </c>
      <c r="G220" s="3" t="s">
        <v>38</v>
      </c>
      <c r="H220" s="5">
        <v>2</v>
      </c>
      <c r="I220" s="5">
        <v>0.10526315789473679</v>
      </c>
      <c r="J220" s="3" t="s">
        <v>351</v>
      </c>
      <c r="K220" s="3"/>
      <c r="L220" s="6"/>
      <c r="M220" s="7"/>
    </row>
    <row r="221" spans="1:13" ht="30">
      <c r="A221" s="8" t="s">
        <v>27</v>
      </c>
      <c r="B221" s="8" t="s">
        <v>31</v>
      </c>
      <c r="C221" s="8" t="s">
        <v>336</v>
      </c>
      <c r="D221" s="9" t="s">
        <v>357</v>
      </c>
      <c r="E221" s="9" t="s">
        <v>358</v>
      </c>
      <c r="F221" s="8" t="s">
        <v>359</v>
      </c>
      <c r="G221" s="8" t="s">
        <v>42</v>
      </c>
      <c r="H221" s="10">
        <v>2</v>
      </c>
      <c r="I221" s="10">
        <v>0.10526315789473679</v>
      </c>
      <c r="J221" s="8" t="s">
        <v>351</v>
      </c>
      <c r="K221" s="8"/>
      <c r="L221" s="8"/>
      <c r="M221" s="9"/>
    </row>
    <row r="222" spans="1:13" ht="30">
      <c r="A222" s="3" t="s">
        <v>27</v>
      </c>
      <c r="B222" s="3" t="s">
        <v>31</v>
      </c>
      <c r="C222" s="3" t="s">
        <v>336</v>
      </c>
      <c r="D222" s="4" t="s">
        <v>357</v>
      </c>
      <c r="E222" s="4" t="s">
        <v>360</v>
      </c>
      <c r="F222" s="3" t="s">
        <v>359</v>
      </c>
      <c r="G222" s="3" t="s">
        <v>42</v>
      </c>
      <c r="H222" s="5">
        <v>2</v>
      </c>
      <c r="I222" s="5">
        <v>0.10526315789473679</v>
      </c>
      <c r="J222" s="3" t="s">
        <v>351</v>
      </c>
      <c r="K222" s="3"/>
      <c r="L222" s="6"/>
      <c r="M222" s="7"/>
    </row>
    <row r="223" spans="1:13" ht="30">
      <c r="A223" s="8" t="s">
        <v>27</v>
      </c>
      <c r="B223" s="8" t="s">
        <v>16</v>
      </c>
      <c r="C223" s="8" t="s">
        <v>17</v>
      </c>
      <c r="D223" s="9" t="s">
        <v>18</v>
      </c>
      <c r="E223" s="9" t="s">
        <v>361</v>
      </c>
      <c r="F223" s="8" t="s">
        <v>20</v>
      </c>
      <c r="G223" s="8" t="s">
        <v>47</v>
      </c>
      <c r="H223" s="10">
        <v>2</v>
      </c>
      <c r="I223" s="10">
        <v>0.10526315789473679</v>
      </c>
      <c r="J223" s="8" t="s">
        <v>351</v>
      </c>
      <c r="K223" s="8"/>
      <c r="L223" s="8"/>
      <c r="M223" s="9"/>
    </row>
    <row r="224" spans="1:13">
      <c r="A224" s="3" t="s">
        <v>27</v>
      </c>
      <c r="B224" s="3" t="s">
        <v>16</v>
      </c>
      <c r="C224" s="3" t="s">
        <v>17</v>
      </c>
      <c r="D224" s="4" t="s">
        <v>18</v>
      </c>
      <c r="E224" s="4" t="s">
        <v>362</v>
      </c>
      <c r="F224" s="3" t="s">
        <v>20</v>
      </c>
      <c r="G224" s="3" t="s">
        <v>47</v>
      </c>
      <c r="H224" s="5">
        <v>1</v>
      </c>
      <c r="I224" s="5">
        <v>5.2631578947368418E-2</v>
      </c>
      <c r="J224" s="3" t="s">
        <v>351</v>
      </c>
      <c r="K224" s="3"/>
      <c r="L224" s="6"/>
      <c r="M224" s="7"/>
    </row>
    <row r="225" spans="1:13" ht="45">
      <c r="A225" s="8" t="s">
        <v>15</v>
      </c>
      <c r="B225" s="8" t="s">
        <v>16</v>
      </c>
      <c r="C225" s="8" t="s">
        <v>17</v>
      </c>
      <c r="D225" s="9" t="s">
        <v>18</v>
      </c>
      <c r="E225" s="9" t="s">
        <v>363</v>
      </c>
      <c r="F225" s="8" t="s">
        <v>20</v>
      </c>
      <c r="G225" s="8" t="s">
        <v>21</v>
      </c>
      <c r="H225" s="10">
        <v>2</v>
      </c>
      <c r="I225" s="10">
        <v>0.10526315789473679</v>
      </c>
      <c r="J225" s="8" t="s">
        <v>364</v>
      </c>
      <c r="K225" s="8"/>
      <c r="L225" s="8"/>
      <c r="M225" s="9"/>
    </row>
    <row r="226" spans="1:13" ht="30">
      <c r="A226" s="3" t="s">
        <v>15</v>
      </c>
      <c r="B226" s="3" t="s">
        <v>70</v>
      </c>
      <c r="C226" s="3" t="s">
        <v>71</v>
      </c>
      <c r="D226" s="4" t="s">
        <v>252</v>
      </c>
      <c r="E226" s="4" t="s">
        <v>365</v>
      </c>
      <c r="F226" s="3" t="s">
        <v>254</v>
      </c>
      <c r="G226" s="3" t="s">
        <v>21</v>
      </c>
      <c r="H226" s="5">
        <v>2</v>
      </c>
      <c r="I226" s="5">
        <v>0.10526315789473679</v>
      </c>
      <c r="J226" s="3" t="s">
        <v>364</v>
      </c>
      <c r="K226" s="3"/>
      <c r="L226" s="6"/>
      <c r="M226" s="7"/>
    </row>
    <row r="227" spans="1:13" ht="30">
      <c r="A227" s="8" t="s">
        <v>27</v>
      </c>
      <c r="B227" s="8" t="s">
        <v>31</v>
      </c>
      <c r="C227" s="8" t="s">
        <v>336</v>
      </c>
      <c r="D227" s="9" t="s">
        <v>337</v>
      </c>
      <c r="E227" s="9" t="s">
        <v>366</v>
      </c>
      <c r="F227" s="8" t="s">
        <v>339</v>
      </c>
      <c r="G227" s="8" t="s">
        <v>29</v>
      </c>
      <c r="H227" s="10">
        <v>2</v>
      </c>
      <c r="I227" s="10">
        <v>0.10526315789473679</v>
      </c>
      <c r="J227" s="8" t="s">
        <v>364</v>
      </c>
      <c r="K227" s="8"/>
      <c r="L227" s="8"/>
      <c r="M227" s="9"/>
    </row>
    <row r="228" spans="1:13" ht="30">
      <c r="A228" s="3" t="s">
        <v>27</v>
      </c>
      <c r="B228" s="3" t="s">
        <v>31</v>
      </c>
      <c r="C228" s="3" t="s">
        <v>336</v>
      </c>
      <c r="D228" s="4" t="s">
        <v>337</v>
      </c>
      <c r="E228" s="4" t="s">
        <v>367</v>
      </c>
      <c r="F228" s="3" t="s">
        <v>339</v>
      </c>
      <c r="G228" s="3" t="s">
        <v>29</v>
      </c>
      <c r="H228" s="5">
        <v>2</v>
      </c>
      <c r="I228" s="5">
        <v>0.10526315789473679</v>
      </c>
      <c r="J228" s="3" t="s">
        <v>364</v>
      </c>
      <c r="K228" s="3"/>
      <c r="L228" s="6"/>
      <c r="M228" s="7"/>
    </row>
    <row r="229" spans="1:13" ht="30">
      <c r="A229" s="8" t="s">
        <v>27</v>
      </c>
      <c r="B229" s="8" t="s">
        <v>16</v>
      </c>
      <c r="C229" s="8" t="s">
        <v>17</v>
      </c>
      <c r="D229" s="9" t="s">
        <v>345</v>
      </c>
      <c r="E229" s="9" t="s">
        <v>368</v>
      </c>
      <c r="F229" s="8" t="s">
        <v>347</v>
      </c>
      <c r="G229" s="8" t="s">
        <v>38</v>
      </c>
      <c r="H229" s="10">
        <v>2</v>
      </c>
      <c r="I229" s="10">
        <v>0.10526315789473679</v>
      </c>
      <c r="J229" s="8" t="s">
        <v>364</v>
      </c>
      <c r="K229" s="8"/>
      <c r="L229" s="8"/>
      <c r="M229" s="9"/>
    </row>
    <row r="230" spans="1:13" ht="30">
      <c r="A230" s="3" t="s">
        <v>27</v>
      </c>
      <c r="B230" s="3" t="s">
        <v>16</v>
      </c>
      <c r="C230" s="3" t="s">
        <v>17</v>
      </c>
      <c r="D230" s="4" t="s">
        <v>345</v>
      </c>
      <c r="E230" s="4" t="s">
        <v>369</v>
      </c>
      <c r="F230" s="3" t="s">
        <v>347</v>
      </c>
      <c r="G230" s="3" t="s">
        <v>38</v>
      </c>
      <c r="H230" s="5">
        <v>2</v>
      </c>
      <c r="I230" s="5">
        <v>0.10526315789473679</v>
      </c>
      <c r="J230" s="3" t="s">
        <v>364</v>
      </c>
      <c r="K230" s="3"/>
      <c r="L230" s="6"/>
      <c r="M230" s="7"/>
    </row>
    <row r="231" spans="1:13" ht="30">
      <c r="A231" s="8" t="s">
        <v>27</v>
      </c>
      <c r="B231" s="8" t="s">
        <v>16</v>
      </c>
      <c r="C231" s="8" t="s">
        <v>17</v>
      </c>
      <c r="D231" s="9" t="s">
        <v>345</v>
      </c>
      <c r="E231" s="9" t="s">
        <v>370</v>
      </c>
      <c r="F231" s="8" t="s">
        <v>347</v>
      </c>
      <c r="G231" s="8" t="s">
        <v>42</v>
      </c>
      <c r="H231" s="10">
        <v>2</v>
      </c>
      <c r="I231" s="10">
        <v>0.10526315789473679</v>
      </c>
      <c r="J231" s="8" t="s">
        <v>364</v>
      </c>
      <c r="K231" s="8"/>
      <c r="L231" s="8"/>
      <c r="M231" s="9"/>
    </row>
    <row r="232" spans="1:13" ht="30">
      <c r="A232" s="3" t="s">
        <v>27</v>
      </c>
      <c r="B232" s="3" t="s">
        <v>31</v>
      </c>
      <c r="C232" s="3" t="s">
        <v>336</v>
      </c>
      <c r="D232" s="4" t="s">
        <v>357</v>
      </c>
      <c r="E232" s="4" t="s">
        <v>371</v>
      </c>
      <c r="F232" s="3" t="s">
        <v>359</v>
      </c>
      <c r="G232" s="3" t="s">
        <v>42</v>
      </c>
      <c r="H232" s="5">
        <v>2</v>
      </c>
      <c r="I232" s="5">
        <v>0.10526315789473679</v>
      </c>
      <c r="J232" s="3" t="s">
        <v>364</v>
      </c>
      <c r="K232" s="3"/>
      <c r="L232" s="6"/>
      <c r="M232" s="7"/>
    </row>
    <row r="233" spans="1:13" ht="30">
      <c r="A233" s="8" t="s">
        <v>27</v>
      </c>
      <c r="B233" s="8" t="s">
        <v>16</v>
      </c>
      <c r="C233" s="8" t="s">
        <v>17</v>
      </c>
      <c r="D233" s="9" t="s">
        <v>18</v>
      </c>
      <c r="E233" s="9" t="s">
        <v>372</v>
      </c>
      <c r="F233" s="8" t="s">
        <v>20</v>
      </c>
      <c r="G233" s="8" t="s">
        <v>47</v>
      </c>
      <c r="H233" s="10">
        <v>2</v>
      </c>
      <c r="I233" s="10">
        <v>0.10526315789473679</v>
      </c>
      <c r="J233" s="8" t="s">
        <v>364</v>
      </c>
      <c r="K233" s="8"/>
      <c r="L233" s="8"/>
      <c r="M233" s="9"/>
    </row>
    <row r="234" spans="1:13" ht="30">
      <c r="A234" s="3" t="s">
        <v>27</v>
      </c>
      <c r="B234" s="3" t="s">
        <v>31</v>
      </c>
      <c r="C234" s="3" t="s">
        <v>32</v>
      </c>
      <c r="D234" s="4" t="s">
        <v>33</v>
      </c>
      <c r="E234" s="4" t="s">
        <v>373</v>
      </c>
      <c r="F234" s="3" t="s">
        <v>35</v>
      </c>
      <c r="G234" s="3" t="s">
        <v>47</v>
      </c>
      <c r="H234" s="5">
        <v>1</v>
      </c>
      <c r="I234" s="5">
        <v>5.2631578947368418E-2</v>
      </c>
      <c r="J234" s="3" t="s">
        <v>364</v>
      </c>
      <c r="K234" s="3"/>
      <c r="L234" s="6"/>
      <c r="M234" s="7"/>
    </row>
    <row r="235" spans="1:13" ht="30">
      <c r="A235" s="8" t="s">
        <v>15</v>
      </c>
      <c r="B235" s="8" t="s">
        <v>16</v>
      </c>
      <c r="C235" s="8" t="s">
        <v>17</v>
      </c>
      <c r="D235" s="9" t="s">
        <v>345</v>
      </c>
      <c r="E235" s="9" t="s">
        <v>374</v>
      </c>
      <c r="F235" s="8" t="s">
        <v>347</v>
      </c>
      <c r="G235" s="8" t="s">
        <v>21</v>
      </c>
      <c r="H235" s="10">
        <v>2</v>
      </c>
      <c r="I235" s="10">
        <v>0.10526315789473679</v>
      </c>
      <c r="J235" s="8" t="s">
        <v>375</v>
      </c>
      <c r="K235" s="8"/>
      <c r="L235" s="8"/>
      <c r="M235" s="9"/>
    </row>
    <row r="236" spans="1:13" ht="30">
      <c r="A236" s="3" t="s">
        <v>15</v>
      </c>
      <c r="B236" s="3" t="s">
        <v>31</v>
      </c>
      <c r="C236" s="3" t="s">
        <v>336</v>
      </c>
      <c r="D236" s="4" t="s">
        <v>337</v>
      </c>
      <c r="E236" s="4" t="s">
        <v>376</v>
      </c>
      <c r="F236" s="3" t="s">
        <v>339</v>
      </c>
      <c r="G236" s="3" t="s">
        <v>21</v>
      </c>
      <c r="H236" s="5">
        <v>2</v>
      </c>
      <c r="I236" s="5">
        <v>0.10526315789473679</v>
      </c>
      <c r="J236" s="3" t="s">
        <v>375</v>
      </c>
      <c r="K236" s="3"/>
      <c r="L236" s="6"/>
      <c r="M236" s="7"/>
    </row>
    <row r="237" spans="1:13" ht="30">
      <c r="A237" s="8" t="s">
        <v>27</v>
      </c>
      <c r="B237" s="8" t="s">
        <v>31</v>
      </c>
      <c r="C237" s="8" t="s">
        <v>336</v>
      </c>
      <c r="D237" s="9" t="s">
        <v>337</v>
      </c>
      <c r="E237" s="9" t="s">
        <v>377</v>
      </c>
      <c r="F237" s="8" t="s">
        <v>339</v>
      </c>
      <c r="G237" s="8" t="s">
        <v>29</v>
      </c>
      <c r="H237" s="10">
        <v>2</v>
      </c>
      <c r="I237" s="10">
        <v>0.10526315789473679</v>
      </c>
      <c r="J237" s="8" t="s">
        <v>375</v>
      </c>
      <c r="K237" s="8"/>
      <c r="L237" s="8"/>
      <c r="M237" s="9"/>
    </row>
    <row r="238" spans="1:13" ht="30">
      <c r="A238" s="3" t="s">
        <v>27</v>
      </c>
      <c r="B238" s="3" t="s">
        <v>31</v>
      </c>
      <c r="C238" s="3" t="s">
        <v>336</v>
      </c>
      <c r="D238" s="4" t="s">
        <v>337</v>
      </c>
      <c r="E238" s="4" t="s">
        <v>378</v>
      </c>
      <c r="F238" s="3" t="s">
        <v>339</v>
      </c>
      <c r="G238" s="3" t="s">
        <v>29</v>
      </c>
      <c r="H238" s="5">
        <v>2</v>
      </c>
      <c r="I238" s="5">
        <v>0.10526315789473679</v>
      </c>
      <c r="J238" s="3" t="s">
        <v>375</v>
      </c>
      <c r="K238" s="3"/>
      <c r="L238" s="6"/>
      <c r="M238" s="7"/>
    </row>
    <row r="239" spans="1:13" ht="30">
      <c r="A239" s="8" t="s">
        <v>27</v>
      </c>
      <c r="B239" s="8" t="s">
        <v>16</v>
      </c>
      <c r="C239" s="8" t="s">
        <v>17</v>
      </c>
      <c r="D239" s="9" t="s">
        <v>18</v>
      </c>
      <c r="E239" s="9" t="s">
        <v>379</v>
      </c>
      <c r="F239" s="8" t="s">
        <v>20</v>
      </c>
      <c r="G239" s="8" t="s">
        <v>38</v>
      </c>
      <c r="H239" s="10">
        <v>2</v>
      </c>
      <c r="I239" s="10">
        <v>0.10526315789473679</v>
      </c>
      <c r="J239" s="8" t="s">
        <v>375</v>
      </c>
      <c r="K239" s="8"/>
      <c r="L239" s="8"/>
      <c r="M239" s="9"/>
    </row>
    <row r="240" spans="1:13" ht="30">
      <c r="A240" s="3" t="s">
        <v>27</v>
      </c>
      <c r="B240" s="3" t="s">
        <v>16</v>
      </c>
      <c r="C240" s="3" t="s">
        <v>17</v>
      </c>
      <c r="D240" s="4" t="s">
        <v>345</v>
      </c>
      <c r="E240" s="4" t="s">
        <v>380</v>
      </c>
      <c r="F240" s="3" t="s">
        <v>347</v>
      </c>
      <c r="G240" s="3" t="s">
        <v>38</v>
      </c>
      <c r="H240" s="5">
        <v>2</v>
      </c>
      <c r="I240" s="5">
        <v>0.10526315789473679</v>
      </c>
      <c r="J240" s="3" t="s">
        <v>375</v>
      </c>
      <c r="K240" s="3"/>
      <c r="L240" s="6"/>
      <c r="M240" s="7"/>
    </row>
    <row r="241" spans="1:13" ht="30">
      <c r="A241" s="8" t="s">
        <v>27</v>
      </c>
      <c r="B241" s="8" t="s">
        <v>31</v>
      </c>
      <c r="C241" s="8" t="s">
        <v>336</v>
      </c>
      <c r="D241" s="9" t="s">
        <v>337</v>
      </c>
      <c r="E241" s="9" t="s">
        <v>381</v>
      </c>
      <c r="F241" s="8" t="s">
        <v>339</v>
      </c>
      <c r="G241" s="8" t="s">
        <v>42</v>
      </c>
      <c r="H241" s="10">
        <v>2</v>
      </c>
      <c r="I241" s="10">
        <v>0.10526315789473679</v>
      </c>
      <c r="J241" s="8" t="s">
        <v>375</v>
      </c>
      <c r="K241" s="8"/>
      <c r="L241" s="8"/>
      <c r="M241" s="9"/>
    </row>
    <row r="242" spans="1:13" ht="30">
      <c r="A242" s="3" t="s">
        <v>27</v>
      </c>
      <c r="B242" s="3" t="s">
        <v>31</v>
      </c>
      <c r="C242" s="3" t="s">
        <v>336</v>
      </c>
      <c r="D242" s="4" t="s">
        <v>337</v>
      </c>
      <c r="E242" s="4" t="s">
        <v>382</v>
      </c>
      <c r="F242" s="3" t="s">
        <v>339</v>
      </c>
      <c r="G242" s="3" t="s">
        <v>42</v>
      </c>
      <c r="H242" s="5">
        <v>2</v>
      </c>
      <c r="I242" s="5">
        <v>0.10526315789473679</v>
      </c>
      <c r="J242" s="3" t="s">
        <v>375</v>
      </c>
      <c r="K242" s="3"/>
      <c r="L242" s="6"/>
      <c r="M242" s="7"/>
    </row>
    <row r="243" spans="1:13" ht="45">
      <c r="A243" s="8" t="s">
        <v>27</v>
      </c>
      <c r="B243" s="8" t="s">
        <v>16</v>
      </c>
      <c r="C243" s="8" t="s">
        <v>17</v>
      </c>
      <c r="D243" s="9" t="s">
        <v>18</v>
      </c>
      <c r="E243" s="9" t="s">
        <v>383</v>
      </c>
      <c r="F243" s="8" t="s">
        <v>20</v>
      </c>
      <c r="G243" s="8" t="s">
        <v>47</v>
      </c>
      <c r="H243" s="10">
        <v>2</v>
      </c>
      <c r="I243" s="10">
        <v>0.10526315789473679</v>
      </c>
      <c r="J243" s="8" t="s">
        <v>375</v>
      </c>
      <c r="K243" s="8"/>
      <c r="L243" s="8"/>
      <c r="M243" s="9"/>
    </row>
    <row r="244" spans="1:13" ht="30">
      <c r="A244" s="3" t="s">
        <v>27</v>
      </c>
      <c r="B244" s="3" t="s">
        <v>31</v>
      </c>
      <c r="C244" s="3" t="s">
        <v>336</v>
      </c>
      <c r="D244" s="4" t="s">
        <v>337</v>
      </c>
      <c r="E244" s="4" t="s">
        <v>384</v>
      </c>
      <c r="F244" s="3" t="s">
        <v>339</v>
      </c>
      <c r="G244" s="3" t="s">
        <v>47</v>
      </c>
      <c r="H244" s="5">
        <v>1</v>
      </c>
      <c r="I244" s="5">
        <v>5.2631578947368418E-2</v>
      </c>
      <c r="J244" s="3" t="s">
        <v>375</v>
      </c>
      <c r="K244" s="3"/>
      <c r="L244" s="6"/>
      <c r="M244" s="7"/>
    </row>
    <row r="245" spans="1:13" ht="45">
      <c r="A245" s="8" t="s">
        <v>15</v>
      </c>
      <c r="B245" s="8" t="s">
        <v>16</v>
      </c>
      <c r="C245" s="8" t="s">
        <v>17</v>
      </c>
      <c r="D245" s="9" t="s">
        <v>345</v>
      </c>
      <c r="E245" s="9" t="s">
        <v>385</v>
      </c>
      <c r="F245" s="8" t="s">
        <v>347</v>
      </c>
      <c r="G245" s="8" t="s">
        <v>21</v>
      </c>
      <c r="H245" s="10">
        <v>2</v>
      </c>
      <c r="I245" s="10">
        <v>0.10526315789473679</v>
      </c>
      <c r="J245" s="8" t="s">
        <v>386</v>
      </c>
      <c r="K245" s="8"/>
      <c r="L245" s="8"/>
      <c r="M245" s="9"/>
    </row>
    <row r="246" spans="1:13" ht="30">
      <c r="A246" s="3" t="s">
        <v>15</v>
      </c>
      <c r="B246" s="3" t="s">
        <v>16</v>
      </c>
      <c r="C246" s="3" t="s">
        <v>17</v>
      </c>
      <c r="D246" s="4" t="s">
        <v>345</v>
      </c>
      <c r="E246" s="4" t="s">
        <v>387</v>
      </c>
      <c r="F246" s="3" t="s">
        <v>347</v>
      </c>
      <c r="G246" s="3" t="s">
        <v>21</v>
      </c>
      <c r="H246" s="5">
        <v>2</v>
      </c>
      <c r="I246" s="5">
        <v>0.10526315789473679</v>
      </c>
      <c r="J246" s="3" t="s">
        <v>386</v>
      </c>
      <c r="K246" s="3"/>
      <c r="L246" s="6"/>
      <c r="M246" s="7"/>
    </row>
    <row r="247" spans="1:13" ht="30">
      <c r="A247" s="8" t="s">
        <v>27</v>
      </c>
      <c r="B247" s="8" t="s">
        <v>16</v>
      </c>
      <c r="C247" s="8" t="s">
        <v>17</v>
      </c>
      <c r="D247" s="9" t="s">
        <v>345</v>
      </c>
      <c r="E247" s="9" t="s">
        <v>353</v>
      </c>
      <c r="F247" s="8" t="s">
        <v>347</v>
      </c>
      <c r="G247" s="8" t="s">
        <v>29</v>
      </c>
      <c r="H247" s="10">
        <v>2</v>
      </c>
      <c r="I247" s="10">
        <v>0.10526315789473679</v>
      </c>
      <c r="J247" s="8" t="s">
        <v>386</v>
      </c>
      <c r="K247" s="8"/>
      <c r="L247" s="8"/>
      <c r="M247" s="9"/>
    </row>
    <row r="248" spans="1:13" ht="30">
      <c r="A248" s="3" t="s">
        <v>27</v>
      </c>
      <c r="B248" s="3" t="s">
        <v>16</v>
      </c>
      <c r="C248" s="3" t="s">
        <v>17</v>
      </c>
      <c r="D248" s="4" t="s">
        <v>345</v>
      </c>
      <c r="E248" s="4" t="s">
        <v>354</v>
      </c>
      <c r="F248" s="3" t="s">
        <v>347</v>
      </c>
      <c r="G248" s="3" t="s">
        <v>29</v>
      </c>
      <c r="H248" s="5">
        <v>2</v>
      </c>
      <c r="I248" s="5">
        <v>0.10526315789473679</v>
      </c>
      <c r="J248" s="3" t="s">
        <v>386</v>
      </c>
      <c r="K248" s="3"/>
      <c r="L248" s="6"/>
      <c r="M248" s="7"/>
    </row>
    <row r="249" spans="1:13" ht="45">
      <c r="A249" s="8" t="s">
        <v>27</v>
      </c>
      <c r="B249" s="8" t="s">
        <v>16</v>
      </c>
      <c r="C249" s="8" t="s">
        <v>17</v>
      </c>
      <c r="D249" s="9" t="s">
        <v>345</v>
      </c>
      <c r="E249" s="9" t="s">
        <v>388</v>
      </c>
      <c r="F249" s="8" t="s">
        <v>347</v>
      </c>
      <c r="G249" s="8" t="s">
        <v>38</v>
      </c>
      <c r="H249" s="10">
        <v>2</v>
      </c>
      <c r="I249" s="10">
        <v>0.10526315789473679</v>
      </c>
      <c r="J249" s="8" t="s">
        <v>386</v>
      </c>
      <c r="K249" s="8"/>
      <c r="L249" s="8"/>
      <c r="M249" s="9"/>
    </row>
    <row r="250" spans="1:13" ht="30">
      <c r="A250" s="3" t="s">
        <v>27</v>
      </c>
      <c r="B250" s="3" t="s">
        <v>16</v>
      </c>
      <c r="C250" s="3" t="s">
        <v>17</v>
      </c>
      <c r="D250" s="4" t="s">
        <v>345</v>
      </c>
      <c r="E250" s="4" t="s">
        <v>389</v>
      </c>
      <c r="F250" s="3" t="s">
        <v>347</v>
      </c>
      <c r="G250" s="3" t="s">
        <v>38</v>
      </c>
      <c r="H250" s="5">
        <v>2</v>
      </c>
      <c r="I250" s="5">
        <v>0.10526315789473679</v>
      </c>
      <c r="J250" s="3" t="s">
        <v>386</v>
      </c>
      <c r="K250" s="3"/>
      <c r="L250" s="6"/>
      <c r="M250" s="7"/>
    </row>
    <row r="251" spans="1:13" ht="30">
      <c r="A251" s="8" t="s">
        <v>27</v>
      </c>
      <c r="B251" s="8" t="s">
        <v>16</v>
      </c>
      <c r="C251" s="8" t="s">
        <v>17</v>
      </c>
      <c r="D251" s="9" t="s">
        <v>345</v>
      </c>
      <c r="E251" s="9" t="s">
        <v>390</v>
      </c>
      <c r="F251" s="8" t="s">
        <v>347</v>
      </c>
      <c r="G251" s="8" t="s">
        <v>42</v>
      </c>
      <c r="H251" s="10">
        <v>2</v>
      </c>
      <c r="I251" s="10">
        <v>0.10526315789473679</v>
      </c>
      <c r="J251" s="8" t="s">
        <v>386</v>
      </c>
      <c r="K251" s="8"/>
      <c r="L251" s="8"/>
      <c r="M251" s="9"/>
    </row>
    <row r="252" spans="1:13" ht="30">
      <c r="A252" s="3" t="s">
        <v>27</v>
      </c>
      <c r="B252" s="3" t="s">
        <v>16</v>
      </c>
      <c r="C252" s="3" t="s">
        <v>17</v>
      </c>
      <c r="D252" s="4" t="s">
        <v>345</v>
      </c>
      <c r="E252" s="4" t="s">
        <v>391</v>
      </c>
      <c r="F252" s="3" t="s">
        <v>347</v>
      </c>
      <c r="G252" s="3" t="s">
        <v>42</v>
      </c>
      <c r="H252" s="5">
        <v>2</v>
      </c>
      <c r="I252" s="5">
        <v>0.10526315789473679</v>
      </c>
      <c r="J252" s="3" t="s">
        <v>386</v>
      </c>
      <c r="K252" s="3"/>
      <c r="L252" s="6"/>
      <c r="M252" s="7"/>
    </row>
    <row r="253" spans="1:13" ht="30">
      <c r="A253" s="8" t="s">
        <v>27</v>
      </c>
      <c r="B253" s="8" t="s">
        <v>16</v>
      </c>
      <c r="C253" s="8" t="s">
        <v>17</v>
      </c>
      <c r="D253" s="9" t="s">
        <v>18</v>
      </c>
      <c r="E253" s="9" t="s">
        <v>392</v>
      </c>
      <c r="F253" s="8" t="s">
        <v>20</v>
      </c>
      <c r="G253" s="8" t="s">
        <v>47</v>
      </c>
      <c r="H253" s="10">
        <v>2</v>
      </c>
      <c r="I253" s="10">
        <v>0.10526315789473679</v>
      </c>
      <c r="J253" s="8" t="s">
        <v>386</v>
      </c>
      <c r="K253" s="8"/>
      <c r="L253" s="8"/>
      <c r="M253" s="9"/>
    </row>
    <row r="254" spans="1:13" ht="30">
      <c r="A254" s="3" t="s">
        <v>27</v>
      </c>
      <c r="B254" s="3" t="s">
        <v>16</v>
      </c>
      <c r="C254" s="3" t="s">
        <v>17</v>
      </c>
      <c r="D254" s="4" t="s">
        <v>44</v>
      </c>
      <c r="E254" s="4" t="s">
        <v>393</v>
      </c>
      <c r="F254" s="3" t="s">
        <v>46</v>
      </c>
      <c r="G254" s="3" t="s">
        <v>47</v>
      </c>
      <c r="H254" s="5">
        <v>1</v>
      </c>
      <c r="I254" s="5">
        <v>5.2631578947368418E-2</v>
      </c>
      <c r="J254" s="3" t="s">
        <v>386</v>
      </c>
      <c r="K254" s="3"/>
      <c r="L254" s="6"/>
      <c r="M254" s="7"/>
    </row>
    <row r="255" spans="1:13" ht="30">
      <c r="A255" s="8" t="s">
        <v>15</v>
      </c>
      <c r="B255" s="8" t="s">
        <v>70</v>
      </c>
      <c r="C255" s="8" t="s">
        <v>245</v>
      </c>
      <c r="D255" s="9" t="s">
        <v>272</v>
      </c>
      <c r="E255" s="9" t="s">
        <v>394</v>
      </c>
      <c r="F255" s="8" t="s">
        <v>274</v>
      </c>
      <c r="G255" s="8" t="s">
        <v>21</v>
      </c>
      <c r="H255" s="10">
        <v>2</v>
      </c>
      <c r="I255" s="10">
        <v>0.10526315789473679</v>
      </c>
      <c r="J255" s="8" t="s">
        <v>395</v>
      </c>
      <c r="K255" s="8"/>
      <c r="L255" s="8"/>
      <c r="M255" s="9"/>
    </row>
    <row r="256" spans="1:13" ht="30">
      <c r="A256" s="3" t="s">
        <v>15</v>
      </c>
      <c r="B256" s="3" t="s">
        <v>31</v>
      </c>
      <c r="C256" s="3" t="s">
        <v>32</v>
      </c>
      <c r="D256" s="4" t="s">
        <v>33</v>
      </c>
      <c r="E256" s="4" t="s">
        <v>396</v>
      </c>
      <c r="F256" s="3" t="s">
        <v>35</v>
      </c>
      <c r="G256" s="3" t="s">
        <v>21</v>
      </c>
      <c r="H256" s="5">
        <v>2</v>
      </c>
      <c r="I256" s="5">
        <v>0.10526315789473679</v>
      </c>
      <c r="J256" s="3" t="s">
        <v>395</v>
      </c>
      <c r="K256" s="3"/>
      <c r="L256" s="6"/>
      <c r="M256" s="7"/>
    </row>
    <row r="257" spans="1:13" ht="30">
      <c r="A257" s="8" t="s">
        <v>27</v>
      </c>
      <c r="B257" s="8" t="s">
        <v>31</v>
      </c>
      <c r="C257" s="8" t="s">
        <v>32</v>
      </c>
      <c r="D257" s="9" t="s">
        <v>33</v>
      </c>
      <c r="E257" s="9" t="s">
        <v>397</v>
      </c>
      <c r="F257" s="8" t="s">
        <v>35</v>
      </c>
      <c r="G257" s="8" t="s">
        <v>29</v>
      </c>
      <c r="H257" s="10">
        <v>2</v>
      </c>
      <c r="I257" s="10">
        <v>0.10526315789473679</v>
      </c>
      <c r="J257" s="8" t="s">
        <v>395</v>
      </c>
      <c r="K257" s="8"/>
      <c r="L257" s="8"/>
      <c r="M257" s="9"/>
    </row>
    <row r="258" spans="1:13" ht="30">
      <c r="A258" s="3" t="s">
        <v>27</v>
      </c>
      <c r="B258" s="3" t="s">
        <v>70</v>
      </c>
      <c r="C258" s="3" t="s">
        <v>245</v>
      </c>
      <c r="D258" s="4" t="s">
        <v>272</v>
      </c>
      <c r="E258" s="4" t="s">
        <v>398</v>
      </c>
      <c r="F258" s="3" t="s">
        <v>274</v>
      </c>
      <c r="G258" s="3" t="s">
        <v>29</v>
      </c>
      <c r="H258" s="5">
        <v>2</v>
      </c>
      <c r="I258" s="5">
        <v>0.10526315789473679</v>
      </c>
      <c r="J258" s="3" t="s">
        <v>395</v>
      </c>
      <c r="K258" s="3"/>
      <c r="L258" s="6"/>
      <c r="M258" s="7"/>
    </row>
    <row r="259" spans="1:13" ht="30">
      <c r="A259" s="8" t="s">
        <v>27</v>
      </c>
      <c r="B259" s="8" t="s">
        <v>16</v>
      </c>
      <c r="C259" s="8" t="s">
        <v>17</v>
      </c>
      <c r="D259" s="9" t="s">
        <v>18</v>
      </c>
      <c r="E259" s="9" t="s">
        <v>399</v>
      </c>
      <c r="F259" s="8" t="s">
        <v>20</v>
      </c>
      <c r="G259" s="8" t="s">
        <v>38</v>
      </c>
      <c r="H259" s="10">
        <v>2</v>
      </c>
      <c r="I259" s="10">
        <v>0.10526315789473679</v>
      </c>
      <c r="J259" s="8" t="s">
        <v>395</v>
      </c>
      <c r="K259" s="8"/>
      <c r="L259" s="8"/>
      <c r="M259" s="9"/>
    </row>
    <row r="260" spans="1:13">
      <c r="A260" s="3" t="s">
        <v>27</v>
      </c>
      <c r="B260" s="3" t="s">
        <v>16</v>
      </c>
      <c r="C260" s="3" t="s">
        <v>17</v>
      </c>
      <c r="D260" s="4" t="s">
        <v>345</v>
      </c>
      <c r="E260" s="4" t="s">
        <v>400</v>
      </c>
      <c r="F260" s="3" t="s">
        <v>347</v>
      </c>
      <c r="G260" s="3" t="s">
        <v>38</v>
      </c>
      <c r="H260" s="5">
        <v>2</v>
      </c>
      <c r="I260" s="5">
        <v>0.10526315789473679</v>
      </c>
      <c r="J260" s="3" t="s">
        <v>395</v>
      </c>
      <c r="K260" s="3"/>
      <c r="L260" s="6"/>
      <c r="M260" s="7"/>
    </row>
    <row r="261" spans="1:13" ht="45">
      <c r="A261" s="8" t="s">
        <v>27</v>
      </c>
      <c r="B261" s="8" t="s">
        <v>16</v>
      </c>
      <c r="C261" s="8" t="s">
        <v>17</v>
      </c>
      <c r="D261" s="9" t="s">
        <v>18</v>
      </c>
      <c r="E261" s="9" t="s">
        <v>401</v>
      </c>
      <c r="F261" s="8" t="s">
        <v>20</v>
      </c>
      <c r="G261" s="8" t="s">
        <v>42</v>
      </c>
      <c r="H261" s="10">
        <v>2</v>
      </c>
      <c r="I261" s="10">
        <v>0.10526315789473679</v>
      </c>
      <c r="J261" s="8" t="s">
        <v>395</v>
      </c>
      <c r="K261" s="8"/>
      <c r="L261" s="8"/>
      <c r="M261" s="9"/>
    </row>
    <row r="262" spans="1:13">
      <c r="A262" s="3" t="s">
        <v>27</v>
      </c>
      <c r="B262" s="3" t="s">
        <v>16</v>
      </c>
      <c r="C262" s="3" t="s">
        <v>17</v>
      </c>
      <c r="D262" s="4" t="s">
        <v>345</v>
      </c>
      <c r="E262" s="4" t="s">
        <v>400</v>
      </c>
      <c r="F262" s="3" t="s">
        <v>347</v>
      </c>
      <c r="G262" s="3" t="s">
        <v>42</v>
      </c>
      <c r="H262" s="5">
        <v>2</v>
      </c>
      <c r="I262" s="5">
        <v>0.10526315789473679</v>
      </c>
      <c r="J262" s="3" t="s">
        <v>395</v>
      </c>
      <c r="K262" s="3"/>
      <c r="L262" s="6"/>
      <c r="M262" s="7"/>
    </row>
    <row r="263" spans="1:13" ht="30">
      <c r="A263" s="8" t="s">
        <v>27</v>
      </c>
      <c r="B263" s="8" t="s">
        <v>16</v>
      </c>
      <c r="C263" s="8" t="s">
        <v>17</v>
      </c>
      <c r="D263" s="9" t="s">
        <v>18</v>
      </c>
      <c r="E263" s="9" t="s">
        <v>402</v>
      </c>
      <c r="F263" s="8" t="s">
        <v>20</v>
      </c>
      <c r="G263" s="8" t="s">
        <v>47</v>
      </c>
      <c r="H263" s="10">
        <v>2</v>
      </c>
      <c r="I263" s="10">
        <v>0.10526315789473679</v>
      </c>
      <c r="J263" s="8" t="s">
        <v>395</v>
      </c>
      <c r="K263" s="8"/>
      <c r="L263" s="8"/>
      <c r="M263" s="9"/>
    </row>
    <row r="264" spans="1:13">
      <c r="A264" s="3" t="s">
        <v>27</v>
      </c>
      <c r="B264" s="3" t="s">
        <v>16</v>
      </c>
      <c r="C264" s="3" t="s">
        <v>17</v>
      </c>
      <c r="D264" s="4" t="s">
        <v>44</v>
      </c>
      <c r="E264" s="4" t="s">
        <v>403</v>
      </c>
      <c r="F264" s="3" t="s">
        <v>46</v>
      </c>
      <c r="G264" s="3" t="s">
        <v>47</v>
      </c>
      <c r="H264" s="5">
        <v>1</v>
      </c>
      <c r="I264" s="5">
        <v>5.2631578947368418E-2</v>
      </c>
      <c r="J264" s="3" t="s">
        <v>395</v>
      </c>
      <c r="K264" s="3"/>
      <c r="L264" s="6"/>
      <c r="M264" s="7"/>
    </row>
    <row r="265" spans="1:13" ht="30">
      <c r="A265" s="8" t="s">
        <v>15</v>
      </c>
      <c r="B265" s="8" t="s">
        <v>70</v>
      </c>
      <c r="C265" s="8" t="s">
        <v>245</v>
      </c>
      <c r="D265" s="9" t="s">
        <v>272</v>
      </c>
      <c r="E265" s="9" t="s">
        <v>404</v>
      </c>
      <c r="F265" s="8" t="s">
        <v>274</v>
      </c>
      <c r="G265" s="8" t="s">
        <v>405</v>
      </c>
      <c r="H265" s="10">
        <v>2</v>
      </c>
      <c r="I265" s="10">
        <v>0.10526315789473679</v>
      </c>
      <c r="J265" s="8" t="s">
        <v>406</v>
      </c>
      <c r="K265" s="8"/>
      <c r="L265" s="8"/>
      <c r="M265" s="9"/>
    </row>
  </sheetData>
  <mergeCells count="2">
    <mergeCell ref="A1:M1"/>
    <mergeCell ref="A2:E2"/>
  </mergeCells>
  <phoneticPr fontId="9" type="noConversion"/>
  <dataValidations count="1">
    <dataValidation type="list" allowBlank="1" errorTitle="입력 오류" error="AI활용 수준을 선택하세요" promptTitle="AI활용 수준" prompt="AI 활용 수준을 선택하세요" sqref="L4:L265" xr:uid="{00000000-0002-0000-0B00-000000000000}">
      <formula1>"상,중,하,미활용"</formula1>
    </dataValidation>
  </dataValidations>
  <pageMargins left="0.75" right="0.75" top="1" bottom="1" header="0.5" footer="0.5"/>
  <headerFooter>
    <oddHeader>&amp;L&amp;"Aptos"&amp;11&amp;KFF0000 LGUplus-InternalUseOnly(사내한)/2026-06-10T14:17:54/aliet@lguplus.co.kr&amp;1#_x000D_</oddHeader>
    <oddFooter>&amp;R_x000D_&amp;1#&amp;"Aptos"&amp;11&amp;KFF0000 LGUplus-InternalUseOnly(사내한)/2026-06-10T14:17:54/aliet@lguplus.co.kr</oddFooter>
  </headerFooter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4</vt:i4>
      </vt:variant>
    </vt:vector>
  </HeadingPairs>
  <TitlesOfParts>
    <vt:vector size="16" baseType="lpstr">
      <vt:lpstr>CSR</vt:lpstr>
      <vt:lpstr>26년06월</vt:lpstr>
      <vt:lpstr>AI활용 현황 분석_유플러스 작성 예정</vt:lpstr>
      <vt:lpstr>26년05월</vt:lpstr>
      <vt:lpstr>26년04월</vt:lpstr>
      <vt:lpstr>26년03월</vt:lpstr>
      <vt:lpstr>26년02월</vt:lpstr>
      <vt:lpstr>26년01월</vt:lpstr>
      <vt:lpstr>25년12월</vt:lpstr>
      <vt:lpstr>25년11월</vt:lpstr>
      <vt:lpstr>AI활용 가이드</vt:lpstr>
      <vt:lpstr>26년05월(AI활용)</vt:lpstr>
      <vt:lpstr>공통</vt:lpstr>
      <vt:lpstr>서비스운영</vt:lpstr>
      <vt:lpstr>PASS기능개발</vt:lpstr>
      <vt:lpstr>PASS활성화이벤트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 강철</cp:lastModifiedBy>
  <dcterms:created xsi:type="dcterms:W3CDTF">2026-06-10T04:50:28Z</dcterms:created>
  <dcterms:modified xsi:type="dcterms:W3CDTF">2026-06-22T05:42:05Z</dcterms:modified>
</cp:coreProperties>
</file>